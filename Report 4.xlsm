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drawings/drawing3.xml" ContentType="application/vnd.openxmlformats-officedocument.drawing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drawings/drawing5.xml" ContentType="application/vnd.openxmlformats-officedocument.drawing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drawings/drawing6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drawings/drawing7.xml" ContentType="application/vnd.openxmlformats-officedocument.drawing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drawings/drawing8.xml" ContentType="application/vnd.openxmlformats-officedocument.drawing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drawings/drawing9.xml" ContentType="application/vnd.openxmlformats-officedocument.drawing+xml"/>
  <Override PartName="/xl/charts/chart4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4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4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4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50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53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charts/chart54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130" codeName="{AE6600E7-7A62-396C-DE95-9942FA9DD81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E:\Stochastic\"/>
    </mc:Choice>
  </mc:AlternateContent>
  <xr:revisionPtr revIDLastSave="0" documentId="13_ncr:1_{BFF92EB0-EC6D-448B-ADB2-D154025019DA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Sheet1" sheetId="1" r:id="rId1"/>
    <sheet name="report" sheetId="9" r:id="rId2"/>
    <sheet name="secontPart_new" sheetId="11" r:id="rId3"/>
    <sheet name="ThirdPart_new" sheetId="12" r:id="rId4"/>
    <sheet name="first_part_delta" sheetId="2" r:id="rId5"/>
    <sheet name="first_part_gamma" sheetId="3" r:id="rId6"/>
    <sheet name="first_part_theta" sheetId="6" r:id="rId7"/>
    <sheet name="first_part_rho" sheetId="4" r:id="rId8"/>
    <sheet name="first_part_vega" sheetId="5" r:id="rId9"/>
    <sheet name="second_part2" sheetId="10" r:id="rId10"/>
    <sheet name="Second_part" sheetId="7" r:id="rId11"/>
    <sheet name="Third_part" sheetId="8" r:id="rId12"/>
  </sheets>
  <functionGroups builtInGroupCount="19"/>
  <definedNames>
    <definedName name="_xlnm.Print_Area" localSheetId="1">report!$A$1:$N$611</definedName>
  </definedNames>
  <calcPr calcId="191029"/>
  <extLst>
    <ext xmlns:x14="http://schemas.microsoft.com/office/spreadsheetml/2009/9/main" uri="{79F54976-1DA5-4618-B147-4CDE4B953A38}">
      <x14:workbookPr defaultImageDpi="32767" discardImageEditData="1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U30" i="12" l="1"/>
  <c r="U28" i="12"/>
  <c r="U26" i="12"/>
  <c r="U24" i="12"/>
  <c r="U22" i="12"/>
  <c r="U20" i="12"/>
  <c r="U18" i="12"/>
  <c r="U16" i="12"/>
  <c r="U14" i="12"/>
  <c r="U12" i="12"/>
  <c r="U10" i="12"/>
  <c r="U8" i="12"/>
  <c r="T29" i="12"/>
  <c r="T27" i="12"/>
  <c r="T25" i="12"/>
  <c r="T19" i="12"/>
  <c r="T15" i="12"/>
  <c r="T13" i="12"/>
  <c r="V15" i="12"/>
  <c r="V11" i="12"/>
  <c r="U29" i="12"/>
  <c r="V29" i="12" s="1"/>
  <c r="U27" i="12"/>
  <c r="V27" i="12" s="1"/>
  <c r="U25" i="12"/>
  <c r="V25" i="12" s="1"/>
  <c r="U23" i="12"/>
  <c r="V23" i="12" s="1"/>
  <c r="U21" i="12"/>
  <c r="V21" i="12" s="1"/>
  <c r="U19" i="12"/>
  <c r="V19" i="12" s="1"/>
  <c r="U17" i="12"/>
  <c r="V17" i="12" s="1"/>
  <c r="U15" i="12"/>
  <c r="U13" i="12"/>
  <c r="V13" i="12" s="1"/>
  <c r="U11" i="12"/>
  <c r="U9" i="12"/>
  <c r="V9" i="12" s="1"/>
  <c r="U7" i="12"/>
  <c r="V7" i="12" s="1"/>
  <c r="J8" i="12"/>
  <c r="J9" i="12"/>
  <c r="J10" i="12"/>
  <c r="J11" i="12"/>
  <c r="J12" i="12"/>
  <c r="J13" i="12"/>
  <c r="J14" i="12"/>
  <c r="J15" i="12"/>
  <c r="J16" i="12"/>
  <c r="J17" i="12"/>
  <c r="J18" i="12"/>
  <c r="J19" i="12"/>
  <c r="J20" i="12"/>
  <c r="J21" i="12"/>
  <c r="J22" i="12"/>
  <c r="J23" i="12"/>
  <c r="J24" i="12"/>
  <c r="J25" i="12"/>
  <c r="J26" i="12"/>
  <c r="J27" i="12"/>
  <c r="J28" i="12"/>
  <c r="J29" i="12"/>
  <c r="J30" i="12"/>
  <c r="J31" i="12"/>
  <c r="J32" i="12"/>
  <c r="J33" i="12"/>
  <c r="J34" i="12"/>
  <c r="J35" i="12"/>
  <c r="J36" i="12"/>
  <c r="J37" i="12"/>
  <c r="J38" i="12"/>
  <c r="J39" i="12"/>
  <c r="J40" i="12"/>
  <c r="J41" i="12"/>
  <c r="J42" i="12"/>
  <c r="J43" i="12"/>
  <c r="J44" i="12"/>
  <c r="J45" i="12"/>
  <c r="J46" i="12"/>
  <c r="J47" i="12"/>
  <c r="J48" i="12"/>
  <c r="J49" i="12"/>
  <c r="J50" i="12"/>
  <c r="J51" i="12"/>
  <c r="J52" i="12"/>
  <c r="J53" i="12"/>
  <c r="J54" i="12"/>
  <c r="J55" i="12"/>
  <c r="J56" i="12"/>
  <c r="J57" i="12"/>
  <c r="J58" i="12"/>
  <c r="J59" i="12"/>
  <c r="J60" i="12"/>
  <c r="J61" i="12"/>
  <c r="J62" i="12"/>
  <c r="J63" i="12"/>
  <c r="J64" i="12"/>
  <c r="J65" i="12"/>
  <c r="J66" i="12"/>
  <c r="J67" i="12"/>
  <c r="J68" i="12"/>
  <c r="J69" i="12"/>
  <c r="J70" i="12"/>
  <c r="J71" i="12"/>
  <c r="J72" i="12"/>
  <c r="J73" i="12"/>
  <c r="J74" i="12"/>
  <c r="J75" i="12"/>
  <c r="J76" i="12"/>
  <c r="J77" i="12"/>
  <c r="J78" i="12"/>
  <c r="J79" i="12"/>
  <c r="J80" i="12"/>
  <c r="J81" i="12"/>
  <c r="J82" i="12"/>
  <c r="J83" i="12"/>
  <c r="J84" i="12"/>
  <c r="J85" i="12"/>
  <c r="J86" i="12"/>
  <c r="J87" i="12"/>
  <c r="J88" i="12"/>
  <c r="J89" i="12"/>
  <c r="J90" i="12"/>
  <c r="J91" i="12"/>
  <c r="J92" i="12"/>
  <c r="J93" i="12"/>
  <c r="J94" i="12"/>
  <c r="J95" i="12"/>
  <c r="J96" i="12"/>
  <c r="J97" i="12"/>
  <c r="J98" i="12"/>
  <c r="J99" i="12"/>
  <c r="J100" i="12"/>
  <c r="J101" i="12"/>
  <c r="J102" i="12"/>
  <c r="J103" i="12"/>
  <c r="J104" i="12"/>
  <c r="J105" i="12"/>
  <c r="J106" i="12"/>
  <c r="J107" i="12"/>
  <c r="J108" i="12"/>
  <c r="J109" i="12"/>
  <c r="J110" i="12"/>
  <c r="J111" i="12"/>
  <c r="J112" i="12"/>
  <c r="J113" i="12"/>
  <c r="J114" i="12"/>
  <c r="J115" i="12"/>
  <c r="J116" i="12"/>
  <c r="J117" i="12"/>
  <c r="J118" i="12"/>
  <c r="J119" i="12"/>
  <c r="J120" i="12"/>
  <c r="J121" i="12"/>
  <c r="J122" i="12"/>
  <c r="J123" i="12"/>
  <c r="J124" i="12"/>
  <c r="J125" i="12"/>
  <c r="J126" i="12"/>
  <c r="J127" i="12"/>
  <c r="J128" i="12"/>
  <c r="J129" i="12"/>
  <c r="J130" i="12"/>
  <c r="J131" i="12"/>
  <c r="J7" i="12"/>
  <c r="L6" i="12" s="1"/>
  <c r="L9" i="12" s="1"/>
  <c r="K85" i="11"/>
  <c r="W85" i="11"/>
  <c r="K72" i="11"/>
  <c r="W72" i="11"/>
  <c r="W59" i="11"/>
  <c r="K59" i="11"/>
  <c r="K46" i="11"/>
  <c r="W46" i="11"/>
  <c r="W32" i="11"/>
  <c r="K32" i="11"/>
  <c r="W19" i="11"/>
  <c r="K19" i="11"/>
  <c r="U13" i="8"/>
  <c r="U12" i="8"/>
  <c r="U11" i="8"/>
  <c r="U10" i="8"/>
  <c r="U9" i="8"/>
  <c r="AC24" i="8"/>
  <c r="Z30" i="12"/>
  <c r="Z28" i="12"/>
  <c r="Z26" i="12"/>
  <c r="Z24" i="12"/>
  <c r="Z22" i="12"/>
  <c r="Z20" i="12"/>
  <c r="Z18" i="12"/>
  <c r="Z16" i="12"/>
  <c r="Z14" i="12"/>
  <c r="Z12" i="12"/>
  <c r="Z10" i="12"/>
  <c r="Z8" i="12"/>
  <c r="BF196" i="11"/>
  <c r="BF198" i="11"/>
  <c r="BF199" i="11"/>
  <c r="BF197" i="11"/>
  <c r="BF200" i="11"/>
  <c r="BF203" i="11"/>
  <c r="BF205" i="11"/>
  <c r="BF201" i="11"/>
  <c r="BF204" i="11"/>
  <c r="BF202" i="11"/>
  <c r="BF195" i="11"/>
  <c r="BD196" i="11"/>
  <c r="BD197" i="11"/>
  <c r="BD198" i="11"/>
  <c r="BD199" i="11"/>
  <c r="BD200" i="11"/>
  <c r="BD201" i="11"/>
  <c r="BD202" i="11"/>
  <c r="BD203" i="11"/>
  <c r="BD205" i="11"/>
  <c r="BD204" i="11"/>
  <c r="BD195" i="11"/>
  <c r="BB202" i="11"/>
  <c r="BB203" i="11"/>
  <c r="BB197" i="11"/>
  <c r="BB199" i="11"/>
  <c r="BB201" i="11"/>
  <c r="BB204" i="11"/>
  <c r="BB205" i="11"/>
  <c r="BB198" i="11"/>
  <c r="BB200" i="11"/>
  <c r="BB196" i="11"/>
  <c r="BB195" i="11"/>
  <c r="AZ202" i="11"/>
  <c r="AZ204" i="11"/>
  <c r="AZ197" i="11"/>
  <c r="AZ199" i="11"/>
  <c r="AZ203" i="11"/>
  <c r="AZ205" i="11"/>
  <c r="AZ198" i="11"/>
  <c r="AZ200" i="11"/>
  <c r="AZ196" i="11"/>
  <c r="AZ201" i="11"/>
  <c r="AZ195" i="11"/>
  <c r="AX196" i="11"/>
  <c r="AX197" i="11"/>
  <c r="AX201" i="11"/>
  <c r="AX204" i="11"/>
  <c r="AX198" i="11"/>
  <c r="AX199" i="11"/>
  <c r="AX200" i="11"/>
  <c r="AX203" i="11"/>
  <c r="AX205" i="11"/>
  <c r="AX202" i="11"/>
  <c r="AX195" i="11"/>
  <c r="AV196" i="11"/>
  <c r="AV197" i="11"/>
  <c r="AV198" i="11"/>
  <c r="AV199" i="11"/>
  <c r="AV200" i="11"/>
  <c r="AV201" i="11"/>
  <c r="AV202" i="11"/>
  <c r="AV204" i="11"/>
  <c r="AV203" i="11"/>
  <c r="AV205" i="11"/>
  <c r="AV195" i="11"/>
  <c r="AT202" i="11"/>
  <c r="AT204" i="11"/>
  <c r="AT205" i="11"/>
  <c r="AT197" i="11"/>
  <c r="AT198" i="11"/>
  <c r="AT200" i="11"/>
  <c r="AT203" i="11"/>
  <c r="AT196" i="11"/>
  <c r="AT199" i="11"/>
  <c r="AT201" i="11"/>
  <c r="AT195" i="11"/>
  <c r="AR196" i="11"/>
  <c r="AR197" i="11"/>
  <c r="AR198" i="11"/>
  <c r="AR201" i="11"/>
  <c r="AR199" i="11"/>
  <c r="AR200" i="11"/>
  <c r="AR202" i="11"/>
  <c r="AR203" i="11"/>
  <c r="AR204" i="11"/>
  <c r="AR205" i="11"/>
  <c r="AR195" i="11"/>
  <c r="AP196" i="11"/>
  <c r="AP197" i="11"/>
  <c r="AP199" i="11"/>
  <c r="AP198" i="11"/>
  <c r="AP200" i="11"/>
  <c r="AP201" i="11"/>
  <c r="AP202" i="11"/>
  <c r="AP204" i="11"/>
  <c r="AP203" i="11"/>
  <c r="AP205" i="11"/>
  <c r="AP195" i="11"/>
  <c r="AN196" i="11"/>
  <c r="AN197" i="11"/>
  <c r="AN198" i="11"/>
  <c r="AN199" i="11"/>
  <c r="AN200" i="11"/>
  <c r="AN201" i="11"/>
  <c r="AN202" i="11"/>
  <c r="AN205" i="11"/>
  <c r="AN203" i="11"/>
  <c r="AN204" i="11"/>
  <c r="AN195" i="11"/>
  <c r="AL196" i="11"/>
  <c r="AL197" i="11"/>
  <c r="AL198" i="11"/>
  <c r="AL199" i="11"/>
  <c r="AL200" i="11"/>
  <c r="AL201" i="11"/>
  <c r="AL202" i="11"/>
  <c r="AL203" i="11"/>
  <c r="AL204" i="11"/>
  <c r="AL205" i="11"/>
  <c r="AL195" i="11"/>
  <c r="AJ196" i="11"/>
  <c r="AJ197" i="11"/>
  <c r="AJ198" i="11"/>
  <c r="AJ199" i="11"/>
  <c r="AJ200" i="11"/>
  <c r="AJ201" i="11"/>
  <c r="AJ202" i="11"/>
  <c r="AJ203" i="11"/>
  <c r="AJ204" i="11"/>
  <c r="AJ205" i="11"/>
  <c r="AJ195" i="11"/>
  <c r="BF154" i="11"/>
  <c r="BF155" i="11"/>
  <c r="BF156" i="11"/>
  <c r="BF157" i="11"/>
  <c r="BF158" i="11"/>
  <c r="BF159" i="11"/>
  <c r="BF160" i="11"/>
  <c r="BF163" i="11"/>
  <c r="BF161" i="11"/>
  <c r="BF162" i="11"/>
  <c r="BF153" i="11"/>
  <c r="BD154" i="11"/>
  <c r="BD155" i="11"/>
  <c r="BD159" i="11"/>
  <c r="BD156" i="11"/>
  <c r="BD157" i="11"/>
  <c r="BD158" i="11"/>
  <c r="BD160" i="11"/>
  <c r="BD161" i="11"/>
  <c r="BD162" i="11"/>
  <c r="BD163" i="11"/>
  <c r="BD153" i="11"/>
  <c r="BB154" i="11"/>
  <c r="BB155" i="11"/>
  <c r="BB156" i="11"/>
  <c r="BB157" i="11"/>
  <c r="BB158" i="11"/>
  <c r="BB159" i="11"/>
  <c r="BB160" i="11"/>
  <c r="BB161" i="11"/>
  <c r="BB162" i="11"/>
  <c r="BB163" i="11"/>
  <c r="BB153" i="11"/>
  <c r="AZ160" i="11"/>
  <c r="AZ161" i="11"/>
  <c r="AZ163" i="11"/>
  <c r="AZ155" i="11"/>
  <c r="AZ156" i="11"/>
  <c r="AZ158" i="11"/>
  <c r="AZ162" i="11"/>
  <c r="AZ154" i="11"/>
  <c r="AZ157" i="11"/>
  <c r="AZ159" i="11"/>
  <c r="AZ153" i="11"/>
  <c r="AX154" i="11"/>
  <c r="AX155" i="11"/>
  <c r="AX156" i="11"/>
  <c r="AX157" i="11"/>
  <c r="AX158" i="11"/>
  <c r="AX159" i="11"/>
  <c r="AX160" i="11"/>
  <c r="AX161" i="11"/>
  <c r="AX163" i="11"/>
  <c r="AX162" i="11"/>
  <c r="AX153" i="11"/>
  <c r="AV160" i="11"/>
  <c r="AV162" i="11"/>
  <c r="AV163" i="11"/>
  <c r="AV154" i="11"/>
  <c r="AV157" i="11"/>
  <c r="AV158" i="11"/>
  <c r="AV159" i="11"/>
  <c r="AV161" i="11"/>
  <c r="AV155" i="11"/>
  <c r="AV156" i="11"/>
  <c r="AV153" i="11"/>
  <c r="AT154" i="11"/>
  <c r="AT163" i="11"/>
  <c r="AT155" i="11"/>
  <c r="AT156" i="11"/>
  <c r="AT157" i="11"/>
  <c r="AT158" i="11"/>
  <c r="AT159" i="11"/>
  <c r="AT160" i="11"/>
  <c r="AT161" i="11"/>
  <c r="AT162" i="11"/>
  <c r="AT153" i="11"/>
  <c r="AR154" i="11"/>
  <c r="AR155" i="11"/>
  <c r="AR156" i="11"/>
  <c r="AR157" i="11"/>
  <c r="AR158" i="11"/>
  <c r="AR159" i="11"/>
  <c r="AR160" i="11"/>
  <c r="AR161" i="11"/>
  <c r="AR162" i="11"/>
  <c r="AR163" i="11"/>
  <c r="AR153" i="11"/>
  <c r="AP154" i="11"/>
  <c r="AP156" i="11"/>
  <c r="AP159" i="11"/>
  <c r="AP160" i="11"/>
  <c r="AP162" i="11"/>
  <c r="AP163" i="11"/>
  <c r="AP155" i="11"/>
  <c r="AP157" i="11"/>
  <c r="AP158" i="11"/>
  <c r="AP161" i="11"/>
  <c r="AP153" i="11"/>
  <c r="AN154" i="11"/>
  <c r="AN155" i="11"/>
  <c r="AN156" i="11"/>
  <c r="AN157" i="11"/>
  <c r="AN158" i="11"/>
  <c r="AN159" i="11"/>
  <c r="AN160" i="11"/>
  <c r="AN161" i="11"/>
  <c r="AN162" i="11"/>
  <c r="AN163" i="11"/>
  <c r="AN153" i="11"/>
  <c r="AL154" i="11"/>
  <c r="AL157" i="11"/>
  <c r="AL162" i="11"/>
  <c r="AL155" i="11"/>
  <c r="AL158" i="11"/>
  <c r="AL156" i="11"/>
  <c r="AL159" i="11"/>
  <c r="AL160" i="11"/>
  <c r="AL161" i="11"/>
  <c r="AL163" i="11"/>
  <c r="AL153" i="11"/>
  <c r="AJ160" i="11"/>
  <c r="AJ162" i="11"/>
  <c r="AJ156" i="11"/>
  <c r="AJ158" i="11"/>
  <c r="AJ159" i="11"/>
  <c r="AJ161" i="11"/>
  <c r="AJ163" i="11"/>
  <c r="AJ155" i="11"/>
  <c r="AJ157" i="11"/>
  <c r="AJ154" i="11"/>
  <c r="AJ153" i="11"/>
  <c r="BF119" i="11"/>
  <c r="BF122" i="11"/>
  <c r="BF114" i="11"/>
  <c r="BF116" i="11"/>
  <c r="BF120" i="11"/>
  <c r="BF121" i="11"/>
  <c r="BF115" i="11"/>
  <c r="BF117" i="11"/>
  <c r="BF118" i="11"/>
  <c r="BF113" i="11"/>
  <c r="BF112" i="11"/>
  <c r="BD119" i="11"/>
  <c r="BD121" i="11"/>
  <c r="BD114" i="11"/>
  <c r="BD116" i="11"/>
  <c r="BD118" i="11"/>
  <c r="BD120" i="11"/>
  <c r="BD122" i="11"/>
  <c r="BD115" i="11"/>
  <c r="BD117" i="11"/>
  <c r="BD113" i="11"/>
  <c r="BD112" i="11"/>
  <c r="BB113" i="11"/>
  <c r="BB114" i="11"/>
  <c r="BB115" i="11"/>
  <c r="BB116" i="11"/>
  <c r="BB117" i="11"/>
  <c r="BB118" i="11"/>
  <c r="BB119" i="11"/>
  <c r="BB120" i="11"/>
  <c r="BB121" i="11"/>
  <c r="BB122" i="11"/>
  <c r="BB112" i="11"/>
  <c r="AZ113" i="11"/>
  <c r="AZ114" i="11"/>
  <c r="AZ115" i="11"/>
  <c r="AZ116" i="11"/>
  <c r="AZ117" i="11"/>
  <c r="AZ118" i="11"/>
  <c r="AZ119" i="11"/>
  <c r="AZ120" i="11"/>
  <c r="AZ121" i="11"/>
  <c r="AZ122" i="11"/>
  <c r="AZ112" i="11"/>
  <c r="AX119" i="11"/>
  <c r="AX121" i="11"/>
  <c r="AX115" i="11"/>
  <c r="AX117" i="11"/>
  <c r="AX120" i="11"/>
  <c r="AX122" i="11"/>
  <c r="AX114" i="11"/>
  <c r="AX116" i="11"/>
  <c r="AX118" i="11"/>
  <c r="AX113" i="11"/>
  <c r="AX112" i="11"/>
  <c r="AV119" i="11"/>
  <c r="AV122" i="11"/>
  <c r="AV115" i="11"/>
  <c r="AV117" i="11"/>
  <c r="AV120" i="11"/>
  <c r="AV121" i="11"/>
  <c r="AV114" i="11"/>
  <c r="AV116" i="11"/>
  <c r="AV118" i="11"/>
  <c r="AV113" i="11"/>
  <c r="AV112" i="11"/>
  <c r="AT113" i="11"/>
  <c r="AT114" i="11"/>
  <c r="AT122" i="11"/>
  <c r="AT115" i="11"/>
  <c r="AT116" i="11"/>
  <c r="AT117" i="11"/>
  <c r="AT118" i="11"/>
  <c r="AT119" i="11"/>
  <c r="AT120" i="11"/>
  <c r="AT121" i="11"/>
  <c r="AT112" i="11"/>
  <c r="AR113" i="11"/>
  <c r="AR114" i="11"/>
  <c r="AR115" i="11"/>
  <c r="AR117" i="11"/>
  <c r="AR118" i="11"/>
  <c r="AR119" i="11"/>
  <c r="AR120" i="11"/>
  <c r="AR122" i="11"/>
  <c r="AR121" i="11"/>
  <c r="AR116" i="11"/>
  <c r="AR112" i="11"/>
  <c r="AP113" i="11"/>
  <c r="AP116" i="11"/>
  <c r="AP119" i="11"/>
  <c r="AP121" i="11"/>
  <c r="AP114" i="11"/>
  <c r="AP118" i="11"/>
  <c r="AP120" i="11"/>
  <c r="AP122" i="11"/>
  <c r="AP115" i="11"/>
  <c r="AP117" i="11"/>
  <c r="AP112" i="11"/>
  <c r="AN113" i="11"/>
  <c r="AN114" i="11"/>
  <c r="AN117" i="11"/>
  <c r="AN115" i="11"/>
  <c r="AN116" i="11"/>
  <c r="AN119" i="11"/>
  <c r="AN122" i="11"/>
  <c r="AN120" i="11"/>
  <c r="AN121" i="11"/>
  <c r="AN118" i="11"/>
  <c r="AN112" i="11"/>
  <c r="AL119" i="11"/>
  <c r="AL120" i="11"/>
  <c r="AL115" i="11"/>
  <c r="AL117" i="11"/>
  <c r="AL121" i="11"/>
  <c r="AL122" i="11"/>
  <c r="AL114" i="11"/>
  <c r="AL116" i="11"/>
  <c r="AL118" i="11"/>
  <c r="AL113" i="11"/>
  <c r="AL112" i="11"/>
  <c r="AJ119" i="11"/>
  <c r="AJ122" i="11"/>
  <c r="AJ115" i="11"/>
  <c r="AJ117" i="11"/>
  <c r="AJ120" i="11"/>
  <c r="AJ121" i="11"/>
  <c r="AJ114" i="11"/>
  <c r="AJ116" i="11"/>
  <c r="AJ118" i="11"/>
  <c r="AJ113" i="11"/>
  <c r="AJ112" i="11"/>
  <c r="BF62" i="11"/>
  <c r="BF63" i="11"/>
  <c r="BF64" i="11"/>
  <c r="BF65" i="11"/>
  <c r="BF66" i="11"/>
  <c r="BF67" i="11"/>
  <c r="BF68" i="11"/>
  <c r="BF69" i="11"/>
  <c r="BF70" i="11"/>
  <c r="BF71" i="11"/>
  <c r="BF61" i="11"/>
  <c r="BD62" i="11"/>
  <c r="BD63" i="11"/>
  <c r="BD65" i="11"/>
  <c r="BD67" i="11"/>
  <c r="BD68" i="11"/>
  <c r="BD70" i="11"/>
  <c r="BD71" i="11"/>
  <c r="BD66" i="11"/>
  <c r="BD64" i="11"/>
  <c r="BD69" i="11"/>
  <c r="BD61" i="11"/>
  <c r="BB62" i="11"/>
  <c r="BB63" i="11"/>
  <c r="BB67" i="11"/>
  <c r="BB64" i="11"/>
  <c r="BB65" i="11"/>
  <c r="BB66" i="11"/>
  <c r="BB68" i="11"/>
  <c r="BB71" i="11"/>
  <c r="BB69" i="11"/>
  <c r="BB70" i="11"/>
  <c r="BB61" i="11"/>
  <c r="AZ62" i="11"/>
  <c r="AZ63" i="11"/>
  <c r="AZ64" i="11"/>
  <c r="AZ65" i="11"/>
  <c r="AZ66" i="11"/>
  <c r="AZ67" i="11"/>
  <c r="AZ68" i="11"/>
  <c r="AZ71" i="11"/>
  <c r="AZ69" i="11"/>
  <c r="AZ70" i="11"/>
  <c r="AZ61" i="11"/>
  <c r="AX62" i="11"/>
  <c r="AX63" i="11"/>
  <c r="AX64" i="11"/>
  <c r="AX65" i="11"/>
  <c r="AX66" i="11"/>
  <c r="AX67" i="11"/>
  <c r="AX68" i="11"/>
  <c r="AX69" i="11"/>
  <c r="AX71" i="11"/>
  <c r="AX70" i="11"/>
  <c r="AX61" i="11"/>
  <c r="AV62" i="11"/>
  <c r="AV63" i="11"/>
  <c r="AV64" i="11"/>
  <c r="AV65" i="11"/>
  <c r="AV66" i="11"/>
  <c r="AV67" i="11"/>
  <c r="AV68" i="11"/>
  <c r="AV69" i="11"/>
  <c r="AV70" i="11"/>
  <c r="AV71" i="11"/>
  <c r="AV61" i="11"/>
  <c r="AT62" i="11"/>
  <c r="AT63" i="11"/>
  <c r="AT64" i="11"/>
  <c r="AT65" i="11"/>
  <c r="AT66" i="11"/>
  <c r="AT67" i="11"/>
  <c r="AT68" i="11"/>
  <c r="AT69" i="11"/>
  <c r="AT70" i="11"/>
  <c r="AT71" i="11"/>
  <c r="AT61" i="11"/>
  <c r="AR68" i="11"/>
  <c r="AR70" i="11"/>
  <c r="AR64" i="11"/>
  <c r="AR65" i="11"/>
  <c r="AR67" i="11"/>
  <c r="AR69" i="11"/>
  <c r="AR71" i="11"/>
  <c r="AR63" i="11"/>
  <c r="AR66" i="11"/>
  <c r="AR62" i="11"/>
  <c r="AR61" i="11"/>
  <c r="AP62" i="11"/>
  <c r="AP63" i="11"/>
  <c r="AP64" i="11"/>
  <c r="AP65" i="11"/>
  <c r="AP66" i="11"/>
  <c r="AP67" i="11"/>
  <c r="AP68" i="11"/>
  <c r="AP69" i="11"/>
  <c r="AP71" i="11"/>
  <c r="AP70" i="11"/>
  <c r="AP61" i="11"/>
  <c r="AN62" i="11"/>
  <c r="AN66" i="11"/>
  <c r="AN70" i="11"/>
  <c r="AN63" i="11"/>
  <c r="AN67" i="11"/>
  <c r="AN71" i="11"/>
  <c r="AN64" i="11"/>
  <c r="AN65" i="11"/>
  <c r="AN68" i="11"/>
  <c r="AN69" i="11"/>
  <c r="AN61" i="11"/>
  <c r="AL62" i="11"/>
  <c r="AL67" i="11"/>
  <c r="AL63" i="11"/>
  <c r="AL66" i="11"/>
  <c r="AL64" i="11"/>
  <c r="AL65" i="11"/>
  <c r="AL68" i="11"/>
  <c r="AL69" i="11"/>
  <c r="AL70" i="11"/>
  <c r="AL71" i="11"/>
  <c r="AL61" i="11"/>
  <c r="AJ62" i="11"/>
  <c r="AJ63" i="11"/>
  <c r="AJ64" i="11"/>
  <c r="AJ65" i="11"/>
  <c r="AJ66" i="11"/>
  <c r="AJ67" i="11"/>
  <c r="AJ68" i="11"/>
  <c r="AJ69" i="11"/>
  <c r="AJ70" i="11"/>
  <c r="AJ71" i="11"/>
  <c r="AJ61" i="11"/>
  <c r="BF19" i="11"/>
  <c r="BF28" i="11"/>
  <c r="BF20" i="11"/>
  <c r="BF21" i="11"/>
  <c r="BF22" i="11"/>
  <c r="BF27" i="11"/>
  <c r="BF23" i="11"/>
  <c r="BF24" i="11"/>
  <c r="BF25" i="11"/>
  <c r="BF26" i="11"/>
  <c r="BF18" i="11"/>
  <c r="BD19" i="11"/>
  <c r="BD20" i="11"/>
  <c r="BD21" i="11"/>
  <c r="BD22" i="11"/>
  <c r="BD23" i="11"/>
  <c r="BD24" i="11"/>
  <c r="BD25" i="11"/>
  <c r="BD26" i="11"/>
  <c r="BD27" i="11"/>
  <c r="BD28" i="11"/>
  <c r="BD18" i="11"/>
  <c r="BB19" i="11"/>
  <c r="BB28" i="11"/>
  <c r="BB20" i="11"/>
  <c r="BB21" i="11"/>
  <c r="BB22" i="11"/>
  <c r="BB24" i="11"/>
  <c r="BB23" i="11"/>
  <c r="BB25" i="11"/>
  <c r="BB27" i="11"/>
  <c r="BB26" i="11"/>
  <c r="BB18" i="11"/>
  <c r="AZ19" i="11"/>
  <c r="AZ27" i="11"/>
  <c r="AZ20" i="11"/>
  <c r="AZ28" i="11"/>
  <c r="AZ21" i="11"/>
  <c r="AZ22" i="11"/>
  <c r="AZ23" i="11"/>
  <c r="AZ24" i="11"/>
  <c r="AZ25" i="11"/>
  <c r="AZ26" i="11"/>
  <c r="AZ18" i="11"/>
  <c r="AX25" i="11"/>
  <c r="AX26" i="11"/>
  <c r="AX20" i="11"/>
  <c r="AX22" i="11"/>
  <c r="AX27" i="11"/>
  <c r="AX28" i="11"/>
  <c r="AX21" i="11"/>
  <c r="AX23" i="11"/>
  <c r="AX19" i="11"/>
  <c r="AX24" i="11"/>
  <c r="AX18" i="11"/>
  <c r="AV25" i="11"/>
  <c r="AV27" i="11"/>
  <c r="AV21" i="11"/>
  <c r="AV23" i="11"/>
  <c r="AV26" i="11"/>
  <c r="AV28" i="11"/>
  <c r="AV20" i="11"/>
  <c r="AV22" i="11"/>
  <c r="AV24" i="11"/>
  <c r="AV19" i="11"/>
  <c r="AV18" i="11"/>
  <c r="AT25" i="11"/>
  <c r="AT26" i="11"/>
  <c r="AT27" i="11"/>
  <c r="AT28" i="11"/>
  <c r="AT20" i="11"/>
  <c r="AT23" i="11"/>
  <c r="AT21" i="11"/>
  <c r="AT19" i="11"/>
  <c r="AT22" i="11"/>
  <c r="AT24" i="11"/>
  <c r="AT18" i="11"/>
  <c r="AR19" i="11"/>
  <c r="AR24" i="11"/>
  <c r="AR28" i="11"/>
  <c r="AR20" i="11"/>
  <c r="AR21" i="11"/>
  <c r="AR22" i="11"/>
  <c r="AR23" i="11"/>
  <c r="AR27" i="11"/>
  <c r="AR25" i="11"/>
  <c r="AR26" i="11"/>
  <c r="AP18" i="11"/>
  <c r="AR18" i="11"/>
  <c r="AP19" i="11"/>
  <c r="AP20" i="11"/>
  <c r="AP21" i="11"/>
  <c r="AP22" i="11"/>
  <c r="AP23" i="11"/>
  <c r="AP24" i="11"/>
  <c r="AP25" i="11"/>
  <c r="AP26" i="11"/>
  <c r="AP27" i="11"/>
  <c r="AP28" i="11"/>
  <c r="AN19" i="11"/>
  <c r="AN23" i="11"/>
  <c r="AN24" i="11"/>
  <c r="AN20" i="11"/>
  <c r="AN21" i="11"/>
  <c r="AN22" i="11"/>
  <c r="AN25" i="11"/>
  <c r="AN26" i="11"/>
  <c r="AN28" i="11"/>
  <c r="AN27" i="11"/>
  <c r="AN18" i="11"/>
  <c r="AL25" i="11"/>
  <c r="AL26" i="11"/>
  <c r="AL27" i="11"/>
  <c r="AL21" i="11"/>
  <c r="AL23" i="11"/>
  <c r="AL28" i="11"/>
  <c r="AL20" i="11"/>
  <c r="AL22" i="11"/>
  <c r="AL19" i="11"/>
  <c r="AL24" i="11"/>
  <c r="AJ19" i="11"/>
  <c r="AJ20" i="11"/>
  <c r="AJ23" i="11"/>
  <c r="AJ21" i="11"/>
  <c r="AJ22" i="11"/>
  <c r="AJ24" i="11"/>
  <c r="AJ25" i="11"/>
  <c r="AJ26" i="11"/>
  <c r="AJ27" i="11"/>
  <c r="AJ28" i="11"/>
  <c r="AJ18" i="11"/>
  <c r="AL18" i="11"/>
  <c r="AR6" i="5" l="1"/>
  <c r="AT7" i="5"/>
  <c r="AV8" i="5"/>
  <c r="AX9" i="5"/>
  <c r="AZ10" i="5"/>
  <c r="BB11" i="5"/>
  <c r="BD12" i="5"/>
  <c r="AR14" i="5"/>
  <c r="AT15" i="5"/>
  <c r="AV16" i="5"/>
  <c r="AX17" i="5"/>
  <c r="AZ18" i="5"/>
  <c r="BB19" i="5"/>
  <c r="BD20" i="5"/>
  <c r="BD9" i="5"/>
  <c r="AX14" i="5"/>
  <c r="AV21" i="5"/>
  <c r="AU12" i="5"/>
  <c r="AS19" i="5"/>
  <c r="AX21" i="5"/>
  <c r="AY13" i="5"/>
  <c r="AY21" i="5"/>
  <c r="AV11" i="5"/>
  <c r="AX20" i="5"/>
  <c r="AY12" i="5"/>
  <c r="AW19" i="5"/>
  <c r="AZ12" i="5"/>
  <c r="AV18" i="5"/>
  <c r="AW10" i="5"/>
  <c r="AY19" i="5"/>
  <c r="AZ11" i="5"/>
  <c r="AX18" i="5"/>
  <c r="AY10" i="5"/>
  <c r="BA19" i="5"/>
  <c r="AS6" i="5"/>
  <c r="AU7" i="5"/>
  <c r="AW8" i="5"/>
  <c r="AY9" i="5"/>
  <c r="BA10" i="5"/>
  <c r="BC11" i="5"/>
  <c r="BE12" i="5"/>
  <c r="AS14" i="5"/>
  <c r="AU15" i="5"/>
  <c r="AW16" i="5"/>
  <c r="AY17" i="5"/>
  <c r="BA18" i="5"/>
  <c r="BC19" i="5"/>
  <c r="BE20" i="5"/>
  <c r="AV13" i="5"/>
  <c r="AT20" i="5"/>
  <c r="BE9" i="5"/>
  <c r="BC16" i="5"/>
  <c r="BA6" i="5"/>
  <c r="BC15" i="5"/>
  <c r="BD7" i="5"/>
  <c r="BB14" i="5"/>
  <c r="AS9" i="5"/>
  <c r="AS17" i="5"/>
  <c r="AR8" i="5"/>
  <c r="AT17" i="5"/>
  <c r="AY11" i="5"/>
  <c r="AW18" i="5"/>
  <c r="AV9" i="5"/>
  <c r="AV17" i="5"/>
  <c r="BC12" i="5"/>
  <c r="AW17" i="5"/>
  <c r="AT6" i="5"/>
  <c r="AV7" i="5"/>
  <c r="AX8" i="5"/>
  <c r="AZ9" i="5"/>
  <c r="BB10" i="5"/>
  <c r="BD11" i="5"/>
  <c r="AR13" i="5"/>
  <c r="AT14" i="5"/>
  <c r="AV15" i="5"/>
  <c r="AX16" i="5"/>
  <c r="AZ17" i="5"/>
  <c r="BB18" i="5"/>
  <c r="BD19" i="5"/>
  <c r="AR21" i="5"/>
  <c r="AR11" i="5"/>
  <c r="AR19" i="5"/>
  <c r="AS11" i="5"/>
  <c r="BE17" i="5"/>
  <c r="AS10" i="5"/>
  <c r="BE16" i="5"/>
  <c r="AZ13" i="5"/>
  <c r="AT18" i="5"/>
  <c r="BC6" i="5"/>
  <c r="BA21" i="5"/>
  <c r="BB13" i="5"/>
  <c r="BB21" i="5"/>
  <c r="BC13" i="5"/>
  <c r="BC21" i="5"/>
  <c r="BD13" i="5"/>
  <c r="BB20" i="5"/>
  <c r="AS7" i="5"/>
  <c r="BC20" i="5"/>
  <c r="AU6" i="5"/>
  <c r="AW7" i="5"/>
  <c r="AY8" i="5"/>
  <c r="BA9" i="5"/>
  <c r="BC10" i="5"/>
  <c r="BE11" i="5"/>
  <c r="AS13" i="5"/>
  <c r="AU14" i="5"/>
  <c r="AW15" i="5"/>
  <c r="AY16" i="5"/>
  <c r="BA17" i="5"/>
  <c r="BC18" i="5"/>
  <c r="BE19" i="5"/>
  <c r="AS21" i="5"/>
  <c r="BB8" i="5"/>
  <c r="BB16" i="5"/>
  <c r="BA7" i="5"/>
  <c r="AY14" i="5"/>
  <c r="AW21" i="5"/>
  <c r="AW12" i="5"/>
  <c r="AW20" i="5"/>
  <c r="AX12" i="5"/>
  <c r="AZ21" i="5"/>
  <c r="BA13" i="5"/>
  <c r="AY20" i="5"/>
  <c r="AX11" i="5"/>
  <c r="AZ20" i="5"/>
  <c r="AU9" i="5"/>
  <c r="BA20" i="5"/>
  <c r="BB12" i="5"/>
  <c r="BD21" i="5"/>
  <c r="BE13" i="5"/>
  <c r="BE21" i="5"/>
  <c r="AV6" i="5"/>
  <c r="AX7" i="5"/>
  <c r="AZ8" i="5"/>
  <c r="BB9" i="5"/>
  <c r="BD10" i="5"/>
  <c r="AR12" i="5"/>
  <c r="AT13" i="5"/>
  <c r="AV14" i="5"/>
  <c r="AX15" i="5"/>
  <c r="AZ16" i="5"/>
  <c r="BB17" i="5"/>
  <c r="BD18" i="5"/>
  <c r="AR20" i="5"/>
  <c r="AT21" i="5"/>
  <c r="AZ7" i="5"/>
  <c r="AZ15" i="5"/>
  <c r="AY6" i="5"/>
  <c r="AW13" i="5"/>
  <c r="AU20" i="5"/>
  <c r="BE8" i="5"/>
  <c r="AS18" i="5"/>
  <c r="BB6" i="5"/>
  <c r="AR17" i="5"/>
  <c r="AW11" i="5"/>
  <c r="AU18" i="5"/>
  <c r="BD6" i="5"/>
  <c r="AX19" i="5"/>
  <c r="BA12" i="5"/>
  <c r="AU17" i="5"/>
  <c r="AX10" i="5"/>
  <c r="AZ19" i="5"/>
  <c r="BA11" i="5"/>
  <c r="AY18" i="5"/>
  <c r="AW6" i="5"/>
  <c r="AY7" i="5"/>
  <c r="BA8" i="5"/>
  <c r="BC9" i="5"/>
  <c r="BE10" i="5"/>
  <c r="AS12" i="5"/>
  <c r="AU13" i="5"/>
  <c r="AW14" i="5"/>
  <c r="AY15" i="5"/>
  <c r="BA16" i="5"/>
  <c r="BC17" i="5"/>
  <c r="BE18" i="5"/>
  <c r="AS20" i="5"/>
  <c r="AU21" i="5"/>
  <c r="AX6" i="5"/>
  <c r="AT12" i="5"/>
  <c r="BD17" i="5"/>
  <c r="BC8" i="5"/>
  <c r="BA15" i="5"/>
  <c r="BC7" i="5"/>
  <c r="BA14" i="5"/>
  <c r="AR9" i="5"/>
  <c r="AV19" i="5"/>
  <c r="AU10" i="5"/>
  <c r="BE15" i="5"/>
  <c r="AT9" i="5"/>
  <c r="BD14" i="5"/>
  <c r="AS8" i="5"/>
  <c r="BE14" i="5"/>
  <c r="AT8" i="5"/>
  <c r="AT16" i="5"/>
  <c r="AW9" i="5"/>
  <c r="AU16" i="5"/>
  <c r="AZ6" i="5"/>
  <c r="BB7" i="5"/>
  <c r="BD8" i="5"/>
  <c r="AR10" i="5"/>
  <c r="AT11" i="5"/>
  <c r="AV12" i="5"/>
  <c r="AX13" i="5"/>
  <c r="AZ14" i="5"/>
  <c r="BB15" i="5"/>
  <c r="BD16" i="5"/>
  <c r="AR18" i="5"/>
  <c r="AT19" i="5"/>
  <c r="AV20" i="5"/>
  <c r="AU11" i="5"/>
  <c r="AU19" i="5"/>
  <c r="AT10" i="5"/>
  <c r="BD15" i="5"/>
  <c r="BE7" i="5"/>
  <c r="BC14" i="5"/>
  <c r="AV10" i="5"/>
  <c r="AR16" i="5"/>
  <c r="BE6" i="5"/>
  <c r="AS16" i="5"/>
  <c r="AR7" i="5"/>
  <c r="AR15" i="5"/>
  <c r="AU8" i="5"/>
  <c r="AS15" i="5"/>
  <c r="BE5" i="5"/>
  <c r="BD5" i="5"/>
  <c r="BC5" i="5"/>
  <c r="BB5" i="5"/>
  <c r="BA5" i="5"/>
  <c r="AZ5" i="5"/>
  <c r="AY5" i="5"/>
  <c r="AX5" i="5"/>
  <c r="AW5" i="5"/>
  <c r="AV5" i="5"/>
  <c r="AU5" i="5"/>
  <c r="AT5" i="5"/>
  <c r="AS5" i="5"/>
  <c r="AR5" i="5"/>
  <c r="AR6" i="4"/>
  <c r="AT7" i="4"/>
  <c r="AV8" i="4"/>
  <c r="AX9" i="4"/>
  <c r="AZ10" i="4"/>
  <c r="BB11" i="4"/>
  <c r="BD12" i="4"/>
  <c r="AR14" i="4"/>
  <c r="AT15" i="4"/>
  <c r="AV16" i="4"/>
  <c r="AX17" i="4"/>
  <c r="AZ18" i="4"/>
  <c r="BB19" i="4"/>
  <c r="BD20" i="4"/>
  <c r="AV7" i="4"/>
  <c r="BB10" i="4"/>
  <c r="BD11" i="4"/>
  <c r="AV15" i="4"/>
  <c r="AZ17" i="4"/>
  <c r="BD19" i="4"/>
  <c r="AY8" i="4"/>
  <c r="BC10" i="4"/>
  <c r="AU14" i="4"/>
  <c r="BA17" i="4"/>
  <c r="BE19" i="4"/>
  <c r="AX7" i="4"/>
  <c r="BD10" i="4"/>
  <c r="AV14" i="4"/>
  <c r="BB17" i="4"/>
  <c r="AT21" i="4"/>
  <c r="AS12" i="4"/>
  <c r="BC17" i="4"/>
  <c r="AX6" i="4"/>
  <c r="AR11" i="4"/>
  <c r="AX14" i="4"/>
  <c r="BD17" i="4"/>
  <c r="AT20" i="4"/>
  <c r="BA7" i="4"/>
  <c r="AU12" i="4"/>
  <c r="BC16" i="4"/>
  <c r="AZ6" i="4"/>
  <c r="AT11" i="4"/>
  <c r="AZ14" i="4"/>
  <c r="AT19" i="4"/>
  <c r="BE8" i="4"/>
  <c r="AY13" i="4"/>
  <c r="BE16" i="4"/>
  <c r="AY21" i="4"/>
  <c r="AV11" i="4"/>
  <c r="BD15" i="4"/>
  <c r="AV19" i="4"/>
  <c r="BE7" i="4"/>
  <c r="AW11" i="4"/>
  <c r="BE15" i="4"/>
  <c r="AY20" i="4"/>
  <c r="AX11" i="4"/>
  <c r="BB13" i="4"/>
  <c r="AV18" i="4"/>
  <c r="AS8" i="4"/>
  <c r="BA12" i="4"/>
  <c r="AW18" i="4"/>
  <c r="AT8" i="4"/>
  <c r="AR15" i="4"/>
  <c r="AS7" i="4"/>
  <c r="BE13" i="4"/>
  <c r="BC20" i="4"/>
  <c r="AS6" i="4"/>
  <c r="AU7" i="4"/>
  <c r="AW8" i="4"/>
  <c r="AY9" i="4"/>
  <c r="BA10" i="4"/>
  <c r="BC11" i="4"/>
  <c r="BE12" i="4"/>
  <c r="AS14" i="4"/>
  <c r="AU15" i="4"/>
  <c r="AW16" i="4"/>
  <c r="AY17" i="4"/>
  <c r="BA18" i="4"/>
  <c r="BC19" i="4"/>
  <c r="BE20" i="4"/>
  <c r="AZ9" i="4"/>
  <c r="AR13" i="4"/>
  <c r="AX16" i="4"/>
  <c r="BB18" i="4"/>
  <c r="AR21" i="4"/>
  <c r="AW7" i="4"/>
  <c r="BA9" i="4"/>
  <c r="AS13" i="4"/>
  <c r="AW15" i="4"/>
  <c r="BC18" i="4"/>
  <c r="AS21" i="4"/>
  <c r="AZ8" i="4"/>
  <c r="AR12" i="4"/>
  <c r="AT13" i="4"/>
  <c r="AZ16" i="4"/>
  <c r="AR20" i="4"/>
  <c r="AW6" i="4"/>
  <c r="BA8" i="4"/>
  <c r="BE10" i="4"/>
  <c r="AW14" i="4"/>
  <c r="BA16" i="4"/>
  <c r="AS20" i="4"/>
  <c r="AZ7" i="4"/>
  <c r="BD9" i="4"/>
  <c r="AV13" i="4"/>
  <c r="AZ15" i="4"/>
  <c r="AR19" i="4"/>
  <c r="AY6" i="4"/>
  <c r="AS11" i="4"/>
  <c r="AW13" i="4"/>
  <c r="BE17" i="4"/>
  <c r="AW21" i="4"/>
  <c r="BB7" i="4"/>
  <c r="AV12" i="4"/>
  <c r="BD16" i="4"/>
  <c r="AV20" i="4"/>
  <c r="BA6" i="4"/>
  <c r="AU11" i="4"/>
  <c r="BC15" i="4"/>
  <c r="AW20" i="4"/>
  <c r="AT10" i="4"/>
  <c r="AZ13" i="4"/>
  <c r="AT18" i="4"/>
  <c r="BC6" i="4"/>
  <c r="AY12" i="4"/>
  <c r="AS17" i="4"/>
  <c r="BA21" i="4"/>
  <c r="AV10" i="4"/>
  <c r="AR16" i="4"/>
  <c r="AX19" i="4"/>
  <c r="AU9" i="4"/>
  <c r="BE14" i="4"/>
  <c r="BC21" i="4"/>
  <c r="AV9" i="4"/>
  <c r="BD13" i="4"/>
  <c r="BB20" i="4"/>
  <c r="AY10" i="4"/>
  <c r="AU16" i="4"/>
  <c r="AT6" i="4"/>
  <c r="AX8" i="4"/>
  <c r="AT14" i="4"/>
  <c r="AU6" i="4"/>
  <c r="BE11" i="4"/>
  <c r="AY16" i="4"/>
  <c r="AV6" i="4"/>
  <c r="BB9" i="4"/>
  <c r="AX15" i="4"/>
  <c r="BD18" i="4"/>
  <c r="AY7" i="4"/>
  <c r="BC9" i="4"/>
  <c r="AU13" i="4"/>
  <c r="BE18" i="4"/>
  <c r="AU21" i="4"/>
  <c r="BB8" i="4"/>
  <c r="AT12" i="4"/>
  <c r="BB16" i="4"/>
  <c r="AV21" i="4"/>
  <c r="BE9" i="4"/>
  <c r="AY14" i="4"/>
  <c r="AS19" i="4"/>
  <c r="BD8" i="4"/>
  <c r="AX13" i="4"/>
  <c r="AR18" i="4"/>
  <c r="BC7" i="4"/>
  <c r="AW12" i="4"/>
  <c r="AS18" i="4"/>
  <c r="BB6" i="4"/>
  <c r="AX12" i="4"/>
  <c r="AR17" i="4"/>
  <c r="AZ21" i="4"/>
  <c r="AU10" i="4"/>
  <c r="BC14" i="4"/>
  <c r="AW19" i="4"/>
  <c r="AR8" i="4"/>
  <c r="AZ12" i="4"/>
  <c r="AT17" i="4"/>
  <c r="BB21" i="4"/>
  <c r="AY11" i="4"/>
  <c r="AU17" i="4"/>
  <c r="AR7" i="4"/>
  <c r="AV17" i="4"/>
  <c r="AU8" i="4"/>
  <c r="BC12" i="4"/>
  <c r="BA19" i="4"/>
  <c r="AY15" i="4"/>
  <c r="BC8" i="4"/>
  <c r="BA15" i="4"/>
  <c r="AU20" i="4"/>
  <c r="AR10" i="4"/>
  <c r="BB15" i="4"/>
  <c r="AX21" i="4"/>
  <c r="AS10" i="4"/>
  <c r="BA14" i="4"/>
  <c r="AU19" i="4"/>
  <c r="BD7" i="4"/>
  <c r="BB14" i="4"/>
  <c r="AX20" i="4"/>
  <c r="AS9" i="4"/>
  <c r="BA13" i="4"/>
  <c r="AU18" i="4"/>
  <c r="AT9" i="4"/>
  <c r="BD14" i="4"/>
  <c r="AZ20" i="4"/>
  <c r="AW10" i="4"/>
  <c r="BC13" i="4"/>
  <c r="BA20" i="4"/>
  <c r="AZ11" i="4"/>
  <c r="AT16" i="4"/>
  <c r="BD21" i="4"/>
  <c r="BA11" i="4"/>
  <c r="AS15" i="4"/>
  <c r="BE21" i="4"/>
  <c r="AR9" i="4"/>
  <c r="BE6" i="4"/>
  <c r="AS16" i="4"/>
  <c r="BB12" i="4"/>
  <c r="AZ19" i="4"/>
  <c r="AY18" i="4"/>
  <c r="BD6" i="4"/>
  <c r="AY19" i="4"/>
  <c r="AX10" i="4"/>
  <c r="AX18" i="4"/>
  <c r="AW9" i="4"/>
  <c r="AW17" i="4"/>
  <c r="BE5" i="4"/>
  <c r="BD5" i="4"/>
  <c r="BC5" i="4"/>
  <c r="BB5" i="4"/>
  <c r="BA5" i="4"/>
  <c r="AZ5" i="4"/>
  <c r="AY5" i="4"/>
  <c r="AX5" i="4"/>
  <c r="AW5" i="4"/>
  <c r="AV5" i="4"/>
  <c r="AU5" i="4"/>
  <c r="AT5" i="4"/>
  <c r="AS5" i="4"/>
  <c r="AR5" i="4"/>
  <c r="AS6" i="6"/>
  <c r="AU7" i="6"/>
  <c r="AW8" i="6"/>
  <c r="AY9" i="6"/>
  <c r="BA10" i="6"/>
  <c r="BC11" i="6"/>
  <c r="BE12" i="6"/>
  <c r="AS14" i="6"/>
  <c r="AU15" i="6"/>
  <c r="AW16" i="6"/>
  <c r="AY17" i="6"/>
  <c r="BA18" i="6"/>
  <c r="BC19" i="6"/>
  <c r="BE20" i="6"/>
  <c r="AY16" i="6"/>
  <c r="BC18" i="6"/>
  <c r="AT6" i="6"/>
  <c r="AV7" i="6"/>
  <c r="AX8" i="6"/>
  <c r="AZ9" i="6"/>
  <c r="BB10" i="6"/>
  <c r="BD11" i="6"/>
  <c r="BF12" i="6"/>
  <c r="AT14" i="6"/>
  <c r="AV15" i="6"/>
  <c r="AX16" i="6"/>
  <c r="AZ17" i="6"/>
  <c r="BB18" i="6"/>
  <c r="BD19" i="6"/>
  <c r="BF20" i="6"/>
  <c r="AW15" i="6"/>
  <c r="BA17" i="6"/>
  <c r="BE19" i="6"/>
  <c r="AU6" i="6"/>
  <c r="AW7" i="6"/>
  <c r="AY8" i="6"/>
  <c r="BA9" i="6"/>
  <c r="BC10" i="6"/>
  <c r="BE11" i="6"/>
  <c r="AS13" i="6"/>
  <c r="AU14" i="6"/>
  <c r="AV6" i="6"/>
  <c r="AX7" i="6"/>
  <c r="AZ8" i="6"/>
  <c r="BB9" i="6"/>
  <c r="BD10" i="6"/>
  <c r="BF11" i="6"/>
  <c r="AT13" i="6"/>
  <c r="AV14" i="6"/>
  <c r="AX15" i="6"/>
  <c r="AZ16" i="6"/>
  <c r="BB17" i="6"/>
  <c r="BD18" i="6"/>
  <c r="BF19" i="6"/>
  <c r="AT21" i="6"/>
  <c r="BE18" i="6"/>
  <c r="AS20" i="6"/>
  <c r="AV21" i="6"/>
  <c r="AZ21" i="6"/>
  <c r="BB20" i="6"/>
  <c r="AV8" i="6"/>
  <c r="AW6" i="6"/>
  <c r="AY7" i="6"/>
  <c r="BA8" i="6"/>
  <c r="BC9" i="6"/>
  <c r="BE10" i="6"/>
  <c r="AS12" i="6"/>
  <c r="AU13" i="6"/>
  <c r="AW14" i="6"/>
  <c r="AY15" i="6"/>
  <c r="BA16" i="6"/>
  <c r="BC17" i="6"/>
  <c r="AU21" i="6"/>
  <c r="AV17" i="6"/>
  <c r="BD12" i="6"/>
  <c r="AX6" i="6"/>
  <c r="AZ7" i="6"/>
  <c r="BB8" i="6"/>
  <c r="BD9" i="6"/>
  <c r="BF10" i="6"/>
  <c r="AT12" i="6"/>
  <c r="AV13" i="6"/>
  <c r="AX14" i="6"/>
  <c r="AZ15" i="6"/>
  <c r="BB16" i="6"/>
  <c r="BD17" i="6"/>
  <c r="BF18" i="6"/>
  <c r="AT20" i="6"/>
  <c r="AZ19" i="6"/>
  <c r="AZ10" i="6"/>
  <c r="AY6" i="6"/>
  <c r="BA7" i="6"/>
  <c r="BC8" i="6"/>
  <c r="BE9" i="6"/>
  <c r="AS11" i="6"/>
  <c r="AU12" i="6"/>
  <c r="AW13" i="6"/>
  <c r="AY14" i="6"/>
  <c r="BA15" i="6"/>
  <c r="BC16" i="6"/>
  <c r="BE17" i="6"/>
  <c r="AS19" i="6"/>
  <c r="AU20" i="6"/>
  <c r="AW21" i="6"/>
  <c r="AV20" i="6"/>
  <c r="AY21" i="6"/>
  <c r="BD21" i="6"/>
  <c r="AT7" i="6"/>
  <c r="AZ6" i="6"/>
  <c r="BB7" i="6"/>
  <c r="BD8" i="6"/>
  <c r="BF9" i="6"/>
  <c r="AT11" i="6"/>
  <c r="AV12" i="6"/>
  <c r="AX13" i="6"/>
  <c r="AZ14" i="6"/>
  <c r="BB15" i="6"/>
  <c r="BD16" i="6"/>
  <c r="BF17" i="6"/>
  <c r="AT19" i="6"/>
  <c r="AX21" i="6"/>
  <c r="BF14" i="6"/>
  <c r="BB11" i="6"/>
  <c r="BA6" i="6"/>
  <c r="BC7" i="6"/>
  <c r="BE8" i="6"/>
  <c r="AS10" i="6"/>
  <c r="AU11" i="6"/>
  <c r="AW12" i="6"/>
  <c r="AY13" i="6"/>
  <c r="BA14" i="6"/>
  <c r="BC15" i="6"/>
  <c r="BE16" i="6"/>
  <c r="AS18" i="6"/>
  <c r="AU19" i="6"/>
  <c r="AW20" i="6"/>
  <c r="AY18" i="6"/>
  <c r="AX17" i="6"/>
  <c r="BF21" i="6"/>
  <c r="BB6" i="6"/>
  <c r="BD7" i="6"/>
  <c r="BF8" i="6"/>
  <c r="AT10" i="6"/>
  <c r="AV11" i="6"/>
  <c r="AX12" i="6"/>
  <c r="AZ13" i="6"/>
  <c r="BB14" i="6"/>
  <c r="BD15" i="6"/>
  <c r="BF16" i="6"/>
  <c r="AT18" i="6"/>
  <c r="AV19" i="6"/>
  <c r="AX20" i="6"/>
  <c r="BE21" i="6"/>
  <c r="AV16" i="6"/>
  <c r="BC6" i="6"/>
  <c r="BE7" i="6"/>
  <c r="AS9" i="6"/>
  <c r="AU10" i="6"/>
  <c r="AW11" i="6"/>
  <c r="AY12" i="6"/>
  <c r="BA13" i="6"/>
  <c r="BC14" i="6"/>
  <c r="BE15" i="6"/>
  <c r="AS17" i="6"/>
  <c r="AU18" i="6"/>
  <c r="AW19" i="6"/>
  <c r="AY20" i="6"/>
  <c r="BA21" i="6"/>
  <c r="BA19" i="6"/>
  <c r="AZ18" i="6"/>
  <c r="AS21" i="6"/>
  <c r="BD6" i="6"/>
  <c r="BF7" i="6"/>
  <c r="AT9" i="6"/>
  <c r="AV10" i="6"/>
  <c r="AX11" i="6"/>
  <c r="AZ12" i="6"/>
  <c r="BB13" i="6"/>
  <c r="BD14" i="6"/>
  <c r="BF15" i="6"/>
  <c r="AT17" i="6"/>
  <c r="AV18" i="6"/>
  <c r="AX19" i="6"/>
  <c r="AZ20" i="6"/>
  <c r="BB21" i="6"/>
  <c r="BC20" i="6"/>
  <c r="BB19" i="6"/>
  <c r="BE6" i="6"/>
  <c r="AS8" i="6"/>
  <c r="AU9" i="6"/>
  <c r="AW10" i="6"/>
  <c r="AY11" i="6"/>
  <c r="BA12" i="6"/>
  <c r="BC13" i="6"/>
  <c r="BE14" i="6"/>
  <c r="AS16" i="6"/>
  <c r="AU17" i="6"/>
  <c r="AW18" i="6"/>
  <c r="AY19" i="6"/>
  <c r="BA20" i="6"/>
  <c r="BC21" i="6"/>
  <c r="AX10" i="6"/>
  <c r="BD13" i="6"/>
  <c r="AX18" i="6"/>
  <c r="AX9" i="6"/>
  <c r="BD20" i="6"/>
  <c r="BF6" i="6"/>
  <c r="AT8" i="6"/>
  <c r="AV9" i="6"/>
  <c r="AZ11" i="6"/>
  <c r="BB12" i="6"/>
  <c r="AT16" i="6"/>
  <c r="BF13" i="6"/>
  <c r="AS7" i="6"/>
  <c r="AU8" i="6"/>
  <c r="AW9" i="6"/>
  <c r="AY10" i="6"/>
  <c r="BA11" i="6"/>
  <c r="BC12" i="6"/>
  <c r="BE13" i="6"/>
  <c r="AS15" i="6"/>
  <c r="AU16" i="6"/>
  <c r="AW17" i="6"/>
  <c r="AT15" i="6"/>
  <c r="BF5" i="6"/>
  <c r="BE5" i="6"/>
  <c r="BD5" i="6"/>
  <c r="BC5" i="6"/>
  <c r="BB5" i="6"/>
  <c r="BA5" i="6"/>
  <c r="AZ5" i="6"/>
  <c r="AY5" i="6"/>
  <c r="AX5" i="6"/>
  <c r="AW5" i="6"/>
  <c r="AV5" i="6"/>
  <c r="AU5" i="6"/>
  <c r="AT5" i="6"/>
  <c r="AS5" i="6"/>
  <c r="AR7" i="2"/>
  <c r="AT8" i="2"/>
  <c r="AV9" i="2"/>
  <c r="AX10" i="2"/>
  <c r="AZ11" i="2"/>
  <c r="BB12" i="2"/>
  <c r="BD13" i="2"/>
  <c r="AR15" i="2"/>
  <c r="AT16" i="2"/>
  <c r="AV17" i="2"/>
  <c r="AX18" i="2"/>
  <c r="AZ19" i="2"/>
  <c r="BB20" i="2"/>
  <c r="BD21" i="2"/>
  <c r="AX17" i="2"/>
  <c r="BD20" i="2"/>
  <c r="BC19" i="2"/>
  <c r="AS22" i="2"/>
  <c r="AS21" i="2"/>
  <c r="AU18" i="2"/>
  <c r="AU9" i="2"/>
  <c r="AS7" i="2"/>
  <c r="AU8" i="2"/>
  <c r="AW9" i="2"/>
  <c r="AY10" i="2"/>
  <c r="BA11" i="2"/>
  <c r="BC12" i="2"/>
  <c r="BE13" i="2"/>
  <c r="AS15" i="2"/>
  <c r="AU16" i="2"/>
  <c r="AW17" i="2"/>
  <c r="AY18" i="2"/>
  <c r="BA19" i="2"/>
  <c r="BC20" i="2"/>
  <c r="BE21" i="2"/>
  <c r="AZ18" i="2"/>
  <c r="BB19" i="2"/>
  <c r="BA18" i="2"/>
  <c r="BE19" i="2"/>
  <c r="BE15" i="2"/>
  <c r="BA12" i="2"/>
  <c r="AY19" i="2"/>
  <c r="AT7" i="2"/>
  <c r="AV8" i="2"/>
  <c r="AX9" i="2"/>
  <c r="AZ10" i="2"/>
  <c r="BB11" i="2"/>
  <c r="BD12" i="2"/>
  <c r="AR14" i="2"/>
  <c r="AT15" i="2"/>
  <c r="AV16" i="2"/>
  <c r="AR22" i="2"/>
  <c r="BA13" i="2"/>
  <c r="BE22" i="2"/>
  <c r="AU7" i="2"/>
  <c r="AW8" i="2"/>
  <c r="AY9" i="2"/>
  <c r="BA10" i="2"/>
  <c r="BC11" i="2"/>
  <c r="BE12" i="2"/>
  <c r="AS14" i="2"/>
  <c r="AU15" i="2"/>
  <c r="AW16" i="2"/>
  <c r="AY17" i="2"/>
  <c r="BE20" i="2"/>
  <c r="AZ20" i="2"/>
  <c r="BC21" i="2"/>
  <c r="AV7" i="2"/>
  <c r="AX8" i="2"/>
  <c r="AZ9" i="2"/>
  <c r="BB10" i="2"/>
  <c r="BD11" i="2"/>
  <c r="AR13" i="2"/>
  <c r="AT14" i="2"/>
  <c r="AV15" i="2"/>
  <c r="AX16" i="2"/>
  <c r="AZ17" i="2"/>
  <c r="BB18" i="2"/>
  <c r="BD19" i="2"/>
  <c r="AR21" i="2"/>
  <c r="AT22" i="2"/>
  <c r="AY16" i="2"/>
  <c r="BC18" i="2"/>
  <c r="AX19" i="2"/>
  <c r="AU17" i="2"/>
  <c r="AW7" i="2"/>
  <c r="AY8" i="2"/>
  <c r="BA9" i="2"/>
  <c r="BC10" i="2"/>
  <c r="BE11" i="2"/>
  <c r="AS13" i="2"/>
  <c r="AU14" i="2"/>
  <c r="AW15" i="2"/>
  <c r="BA17" i="2"/>
  <c r="AU22" i="2"/>
  <c r="AS16" i="2"/>
  <c r="AX7" i="2"/>
  <c r="AZ8" i="2"/>
  <c r="BB9" i="2"/>
  <c r="BD10" i="2"/>
  <c r="AR12" i="2"/>
  <c r="AT13" i="2"/>
  <c r="AV14" i="2"/>
  <c r="AX15" i="2"/>
  <c r="AZ16" i="2"/>
  <c r="BB17" i="2"/>
  <c r="BD18" i="2"/>
  <c r="AR20" i="2"/>
  <c r="AT21" i="2"/>
  <c r="AV22" i="2"/>
  <c r="BE18" i="2"/>
  <c r="AS20" i="2"/>
  <c r="AW22" i="2"/>
  <c r="BB22" i="2"/>
  <c r="AS17" i="2"/>
  <c r="AY11" i="2"/>
  <c r="AY7" i="2"/>
  <c r="BA8" i="2"/>
  <c r="BC9" i="2"/>
  <c r="BE10" i="2"/>
  <c r="AS12" i="2"/>
  <c r="AU13" i="2"/>
  <c r="AW14" i="2"/>
  <c r="AY15" i="2"/>
  <c r="BA16" i="2"/>
  <c r="BC17" i="2"/>
  <c r="AU21" i="2"/>
  <c r="AY12" i="2"/>
  <c r="AZ7" i="2"/>
  <c r="BB8" i="2"/>
  <c r="BD9" i="2"/>
  <c r="AR11" i="2"/>
  <c r="AT12" i="2"/>
  <c r="AV13" i="2"/>
  <c r="AX14" i="2"/>
  <c r="AZ15" i="2"/>
  <c r="BB16" i="2"/>
  <c r="BD17" i="2"/>
  <c r="AR19" i="2"/>
  <c r="AT20" i="2"/>
  <c r="AV21" i="2"/>
  <c r="AX22" i="2"/>
  <c r="AY22" i="2"/>
  <c r="AZ13" i="2"/>
  <c r="BC14" i="2"/>
  <c r="AW10" i="2"/>
  <c r="BA7" i="2"/>
  <c r="BC8" i="2"/>
  <c r="BE9" i="2"/>
  <c r="AS11" i="2"/>
  <c r="AU12" i="2"/>
  <c r="AW13" i="2"/>
  <c r="AY14" i="2"/>
  <c r="BA15" i="2"/>
  <c r="BC16" i="2"/>
  <c r="BE17" i="2"/>
  <c r="AS19" i="2"/>
  <c r="AU20" i="2"/>
  <c r="AW21" i="2"/>
  <c r="BD15" i="2"/>
  <c r="AV19" i="2"/>
  <c r="AW19" i="2"/>
  <c r="BB21" i="2"/>
  <c r="AW18" i="2"/>
  <c r="BB7" i="2"/>
  <c r="BD8" i="2"/>
  <c r="AR10" i="2"/>
  <c r="AT11" i="2"/>
  <c r="AV12" i="2"/>
  <c r="AX13" i="2"/>
  <c r="AZ14" i="2"/>
  <c r="BB15" i="2"/>
  <c r="BD16" i="2"/>
  <c r="AR18" i="2"/>
  <c r="AT19" i="2"/>
  <c r="AV20" i="2"/>
  <c r="AX21" i="2"/>
  <c r="AZ22" i="2"/>
  <c r="AV11" i="2"/>
  <c r="BB14" i="2"/>
  <c r="AR17" i="2"/>
  <c r="AZ21" i="2"/>
  <c r="BA21" i="2"/>
  <c r="BC13" i="2"/>
  <c r="BC7" i="2"/>
  <c r="BE8" i="2"/>
  <c r="AS10" i="2"/>
  <c r="AU11" i="2"/>
  <c r="AW12" i="2"/>
  <c r="AY13" i="2"/>
  <c r="BA14" i="2"/>
  <c r="BC15" i="2"/>
  <c r="BE16" i="2"/>
  <c r="AS18" i="2"/>
  <c r="AU19" i="2"/>
  <c r="AW20" i="2"/>
  <c r="AY21" i="2"/>
  <c r="BA22" i="2"/>
  <c r="AT10" i="2"/>
  <c r="AT18" i="2"/>
  <c r="AY20" i="2"/>
  <c r="BE14" i="2"/>
  <c r="BD7" i="2"/>
  <c r="AR9" i="2"/>
  <c r="AX12" i="2"/>
  <c r="AX20" i="2"/>
  <c r="AS8" i="2"/>
  <c r="BE7" i="2"/>
  <c r="AS9" i="2"/>
  <c r="AU10" i="2"/>
  <c r="AW11" i="2"/>
  <c r="BC22" i="2"/>
  <c r="AR8" i="2"/>
  <c r="AT9" i="2"/>
  <c r="AV10" i="2"/>
  <c r="AX11" i="2"/>
  <c r="AZ12" i="2"/>
  <c r="BB13" i="2"/>
  <c r="BD14" i="2"/>
  <c r="AR16" i="2"/>
  <c r="AT17" i="2"/>
  <c r="AV18" i="2"/>
  <c r="BD22" i="2"/>
  <c r="BA20" i="2"/>
  <c r="BE6" i="2"/>
  <c r="BD6" i="2"/>
  <c r="BC6" i="2"/>
  <c r="BB6" i="2"/>
  <c r="BA6" i="2"/>
  <c r="AZ6" i="2"/>
  <c r="AY6" i="2"/>
  <c r="AX6" i="2"/>
  <c r="AW6" i="2"/>
  <c r="AV6" i="2"/>
  <c r="AU6" i="2"/>
  <c r="AT6" i="2"/>
  <c r="AS6" i="2"/>
  <c r="AR6" i="2"/>
  <c r="AA33" i="3"/>
  <c r="AC34" i="3"/>
  <c r="AE35" i="3"/>
  <c r="AG36" i="3"/>
  <c r="AI37" i="3"/>
  <c r="AK38" i="3"/>
  <c r="AM39" i="3"/>
  <c r="AA41" i="3"/>
  <c r="AC42" i="3"/>
  <c r="AE43" i="3"/>
  <c r="AG44" i="3"/>
  <c r="AI45" i="3"/>
  <c r="AK46" i="3"/>
  <c r="AM47" i="3"/>
  <c r="AB48" i="3"/>
  <c r="AB33" i="3"/>
  <c r="AD34" i="3"/>
  <c r="AF35" i="3"/>
  <c r="AH36" i="3"/>
  <c r="AJ37" i="3"/>
  <c r="AL38" i="3"/>
  <c r="AN39" i="3"/>
  <c r="AB41" i="3"/>
  <c r="AD42" i="3"/>
  <c r="AF43" i="3"/>
  <c r="AH44" i="3"/>
  <c r="AJ45" i="3"/>
  <c r="AL46" i="3"/>
  <c r="AN47" i="3"/>
  <c r="AM45" i="3"/>
  <c r="AC33" i="3"/>
  <c r="AE34" i="3"/>
  <c r="AG35" i="3"/>
  <c r="AI36" i="3"/>
  <c r="AK37" i="3"/>
  <c r="AM38" i="3"/>
  <c r="AA40" i="3"/>
  <c r="AC41" i="3"/>
  <c r="AE42" i="3"/>
  <c r="AG43" i="3"/>
  <c r="AI44" i="3"/>
  <c r="AK45" i="3"/>
  <c r="AM46" i="3"/>
  <c r="AA48" i="3"/>
  <c r="AD33" i="3"/>
  <c r="AF34" i="3"/>
  <c r="AH35" i="3"/>
  <c r="AJ36" i="3"/>
  <c r="AL37" i="3"/>
  <c r="AN38" i="3"/>
  <c r="AB40" i="3"/>
  <c r="AD41" i="3"/>
  <c r="AF42" i="3"/>
  <c r="AH43" i="3"/>
  <c r="AJ44" i="3"/>
  <c r="AL45" i="3"/>
  <c r="AN46" i="3"/>
  <c r="AE33" i="3"/>
  <c r="AG34" i="3"/>
  <c r="AI35" i="3"/>
  <c r="AK36" i="3"/>
  <c r="AM37" i="3"/>
  <c r="AA39" i="3"/>
  <c r="AC40" i="3"/>
  <c r="AE41" i="3"/>
  <c r="AG42" i="3"/>
  <c r="AI43" i="3"/>
  <c r="AK44" i="3"/>
  <c r="AF33" i="3"/>
  <c r="AH34" i="3"/>
  <c r="AJ35" i="3"/>
  <c r="AL36" i="3"/>
  <c r="AN37" i="3"/>
  <c r="AB39" i="3"/>
  <c r="AD40" i="3"/>
  <c r="AF41" i="3"/>
  <c r="AH42" i="3"/>
  <c r="AJ43" i="3"/>
  <c r="AL44" i="3"/>
  <c r="AN45" i="3"/>
  <c r="AB47" i="3"/>
  <c r="AD48" i="3"/>
  <c r="AM44" i="3"/>
  <c r="AC47" i="3"/>
  <c r="AE48" i="3"/>
  <c r="AB46" i="3"/>
  <c r="AL42" i="3"/>
  <c r="AF47" i="3"/>
  <c r="AJ47" i="3"/>
  <c r="AB42" i="3"/>
  <c r="AN48" i="3"/>
  <c r="AG33" i="3"/>
  <c r="AI34" i="3"/>
  <c r="AK35" i="3"/>
  <c r="AM36" i="3"/>
  <c r="AA38" i="3"/>
  <c r="AC39" i="3"/>
  <c r="AE40" i="3"/>
  <c r="AG41" i="3"/>
  <c r="AI42" i="3"/>
  <c r="AK43" i="3"/>
  <c r="AA46" i="3"/>
  <c r="AF48" i="3"/>
  <c r="AD46" i="3"/>
  <c r="AL48" i="3"/>
  <c r="AL47" i="3"/>
  <c r="AH33" i="3"/>
  <c r="AJ34" i="3"/>
  <c r="AL35" i="3"/>
  <c r="AN36" i="3"/>
  <c r="AB38" i="3"/>
  <c r="AD39" i="3"/>
  <c r="AF40" i="3"/>
  <c r="AH41" i="3"/>
  <c r="AJ42" i="3"/>
  <c r="AL43" i="3"/>
  <c r="AN44" i="3"/>
  <c r="AD47" i="3"/>
  <c r="AB43" i="3"/>
  <c r="AI33" i="3"/>
  <c r="AK34" i="3"/>
  <c r="AM35" i="3"/>
  <c r="AA37" i="3"/>
  <c r="AC38" i="3"/>
  <c r="AE39" i="3"/>
  <c r="AG40" i="3"/>
  <c r="AI41" i="3"/>
  <c r="AK42" i="3"/>
  <c r="AM43" i="3"/>
  <c r="AA45" i="3"/>
  <c r="AC46" i="3"/>
  <c r="AE47" i="3"/>
  <c r="AG48" i="3"/>
  <c r="AF39" i="3"/>
  <c r="AN43" i="3"/>
  <c r="AH48" i="3"/>
  <c r="AJ38" i="3"/>
  <c r="AJ33" i="3"/>
  <c r="AL34" i="3"/>
  <c r="AN35" i="3"/>
  <c r="AB37" i="3"/>
  <c r="AD38" i="3"/>
  <c r="AH40" i="3"/>
  <c r="AJ41" i="3"/>
  <c r="AB45" i="3"/>
  <c r="AJ46" i="3"/>
  <c r="AK33" i="3"/>
  <c r="AM34" i="3"/>
  <c r="AA36" i="3"/>
  <c r="AC37" i="3"/>
  <c r="AE38" i="3"/>
  <c r="AG39" i="3"/>
  <c r="AI40" i="3"/>
  <c r="AK41" i="3"/>
  <c r="AM42" i="3"/>
  <c r="AA44" i="3"/>
  <c r="AC45" i="3"/>
  <c r="AE46" i="3"/>
  <c r="AG47" i="3"/>
  <c r="AI48" i="3"/>
  <c r="AA43" i="3"/>
  <c r="AI47" i="3"/>
  <c r="AF45" i="3"/>
  <c r="AF44" i="3"/>
  <c r="AC48" i="3"/>
  <c r="AL33" i="3"/>
  <c r="AN34" i="3"/>
  <c r="AB36" i="3"/>
  <c r="AD37" i="3"/>
  <c r="AF38" i="3"/>
  <c r="AH39" i="3"/>
  <c r="AJ40" i="3"/>
  <c r="AL41" i="3"/>
  <c r="AN42" i="3"/>
  <c r="AB44" i="3"/>
  <c r="AD45" i="3"/>
  <c r="AF46" i="3"/>
  <c r="AH47" i="3"/>
  <c r="AJ48" i="3"/>
  <c r="AC36" i="3"/>
  <c r="AI39" i="3"/>
  <c r="AM41" i="3"/>
  <c r="AC44" i="3"/>
  <c r="AG46" i="3"/>
  <c r="AK48" i="3"/>
  <c r="AH46" i="3"/>
  <c r="AN40" i="3"/>
  <c r="AM33" i="3"/>
  <c r="AA35" i="3"/>
  <c r="AE37" i="3"/>
  <c r="AG38" i="3"/>
  <c r="AK40" i="3"/>
  <c r="AE45" i="3"/>
  <c r="AD43" i="3"/>
  <c r="AN33" i="3"/>
  <c r="AB35" i="3"/>
  <c r="AD36" i="3"/>
  <c r="AF37" i="3"/>
  <c r="AH38" i="3"/>
  <c r="AJ39" i="3"/>
  <c r="AL40" i="3"/>
  <c r="AN41" i="3"/>
  <c r="AD44" i="3"/>
  <c r="AA34" i="3"/>
  <c r="AC35" i="3"/>
  <c r="AE36" i="3"/>
  <c r="AG37" i="3"/>
  <c r="AI38" i="3"/>
  <c r="AK39" i="3"/>
  <c r="AM40" i="3"/>
  <c r="AA42" i="3"/>
  <c r="AC43" i="3"/>
  <c r="AE44" i="3"/>
  <c r="AG45" i="3"/>
  <c r="AI46" i="3"/>
  <c r="AK47" i="3"/>
  <c r="AM48" i="3"/>
  <c r="AB34" i="3"/>
  <c r="AD35" i="3"/>
  <c r="AF36" i="3"/>
  <c r="AH37" i="3"/>
  <c r="AL39" i="3"/>
  <c r="AH45" i="3"/>
  <c r="AA47" i="3"/>
  <c r="AN32" i="3"/>
  <c r="AM32" i="3"/>
  <c r="AL32" i="3"/>
  <c r="AK32" i="3"/>
  <c r="AJ32" i="3"/>
  <c r="AI32" i="3"/>
  <c r="AH32" i="3"/>
  <c r="AG32" i="3"/>
  <c r="AF32" i="3"/>
  <c r="AE32" i="3"/>
  <c r="AA32" i="3"/>
  <c r="W13" i="8"/>
  <c r="W12" i="8"/>
  <c r="W11" i="8"/>
  <c r="W10" i="8"/>
  <c r="W9" i="8"/>
  <c r="Z23" i="8"/>
  <c r="Z25" i="8"/>
  <c r="X25" i="8"/>
  <c r="Z27" i="8"/>
  <c r="X27" i="8"/>
  <c r="Z29" i="8"/>
  <c r="X29" i="8"/>
  <c r="Z31" i="8"/>
  <c r="X31" i="8"/>
  <c r="W32" i="8"/>
  <c r="W30" i="8"/>
  <c r="W28" i="8"/>
  <c r="W26" i="8"/>
  <c r="W24" i="8"/>
  <c r="AD32" i="3"/>
  <c r="AC32" i="3"/>
  <c r="AB32" i="3"/>
  <c r="AC32" i="8"/>
  <c r="AC30" i="8"/>
  <c r="AC28" i="8"/>
  <c r="AC26" i="8"/>
  <c r="I7" i="8" l="1"/>
  <c r="I8" i="8"/>
  <c r="I9" i="8"/>
  <c r="I10" i="8"/>
  <c r="I11" i="8"/>
  <c r="I12" i="8"/>
  <c r="I13" i="8"/>
  <c r="I14" i="8"/>
  <c r="I15" i="8"/>
  <c r="I16" i="8"/>
  <c r="I17" i="8"/>
  <c r="I18" i="8"/>
  <c r="I19" i="8"/>
  <c r="I20" i="8"/>
  <c r="I21" i="8"/>
  <c r="I22" i="8"/>
  <c r="I23" i="8"/>
  <c r="I24" i="8"/>
  <c r="I25" i="8"/>
  <c r="I26" i="8"/>
  <c r="I27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I64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  <c r="I79" i="8"/>
  <c r="I80" i="8"/>
  <c r="I81" i="8"/>
  <c r="I82" i="8"/>
  <c r="I83" i="8"/>
  <c r="I84" i="8"/>
  <c r="I85" i="8"/>
  <c r="I86" i="8"/>
  <c r="I87" i="8"/>
  <c r="I88" i="8"/>
  <c r="I89" i="8"/>
  <c r="I90" i="8"/>
  <c r="I91" i="8"/>
  <c r="I92" i="8"/>
  <c r="I93" i="8"/>
  <c r="I94" i="8"/>
  <c r="I95" i="8"/>
  <c r="I96" i="8"/>
  <c r="I97" i="8"/>
  <c r="I98" i="8"/>
  <c r="I99" i="8"/>
  <c r="I100" i="8"/>
  <c r="I101" i="8"/>
  <c r="I102" i="8"/>
  <c r="I103" i="8"/>
  <c r="I104" i="8"/>
  <c r="I105" i="8"/>
  <c r="I106" i="8"/>
  <c r="I107" i="8"/>
  <c r="I108" i="8"/>
  <c r="I109" i="8"/>
  <c r="I110" i="8"/>
  <c r="I111" i="8"/>
  <c r="I112" i="8"/>
  <c r="I113" i="8"/>
  <c r="I114" i="8"/>
  <c r="I115" i="8"/>
  <c r="I116" i="8"/>
  <c r="I117" i="8"/>
  <c r="I118" i="8"/>
  <c r="I119" i="8"/>
  <c r="I120" i="8"/>
  <c r="I121" i="8"/>
  <c r="I122" i="8"/>
  <c r="I123" i="8"/>
  <c r="I124" i="8"/>
  <c r="I125" i="8"/>
  <c r="I126" i="8"/>
  <c r="I127" i="8"/>
  <c r="I128" i="8"/>
  <c r="I129" i="8"/>
  <c r="I130" i="8"/>
  <c r="I131" i="8"/>
  <c r="I132" i="8"/>
  <c r="I133" i="8"/>
  <c r="I134" i="8"/>
  <c r="I135" i="8"/>
  <c r="I136" i="8"/>
  <c r="I137" i="8"/>
  <c r="I138" i="8"/>
  <c r="I139" i="8"/>
  <c r="I140" i="8"/>
  <c r="I141" i="8"/>
  <c r="I142" i="8"/>
  <c r="I143" i="8"/>
  <c r="I144" i="8"/>
  <c r="I145" i="8"/>
  <c r="I146" i="8"/>
  <c r="I147" i="8"/>
  <c r="I148" i="8"/>
  <c r="I149" i="8"/>
  <c r="I150" i="8"/>
  <c r="I151" i="8"/>
  <c r="I152" i="8"/>
  <c r="I153" i="8"/>
  <c r="I154" i="8"/>
  <c r="I155" i="8"/>
  <c r="I156" i="8"/>
  <c r="I157" i="8"/>
  <c r="I158" i="8"/>
  <c r="I159" i="8"/>
  <c r="I160" i="8"/>
  <c r="I161" i="8"/>
  <c r="I162" i="8"/>
  <c r="I163" i="8"/>
  <c r="I164" i="8"/>
  <c r="I165" i="8"/>
  <c r="I166" i="8"/>
  <c r="I167" i="8"/>
  <c r="I168" i="8"/>
  <c r="I169" i="8"/>
  <c r="I170" i="8"/>
  <c r="I171" i="8"/>
  <c r="I172" i="8"/>
  <c r="I173" i="8"/>
  <c r="I174" i="8"/>
  <c r="I175" i="8"/>
  <c r="I176" i="8"/>
  <c r="I177" i="8"/>
  <c r="I178" i="8"/>
  <c r="I179" i="8"/>
  <c r="I180" i="8"/>
  <c r="I181" i="8"/>
  <c r="I182" i="8"/>
  <c r="I183" i="8"/>
  <c r="I184" i="8"/>
  <c r="I185" i="8"/>
  <c r="I186" i="8"/>
  <c r="I187" i="8"/>
  <c r="I188" i="8"/>
  <c r="I189" i="8"/>
  <c r="I190" i="8"/>
  <c r="I191" i="8"/>
  <c r="I192" i="8"/>
  <c r="I193" i="8"/>
  <c r="I194" i="8"/>
  <c r="I195" i="8"/>
  <c r="I196" i="8"/>
  <c r="I197" i="8"/>
  <c r="I198" i="8"/>
  <c r="I199" i="8"/>
  <c r="I200" i="8"/>
  <c r="I201" i="8"/>
  <c r="I202" i="8"/>
  <c r="I203" i="8"/>
  <c r="I204" i="8"/>
  <c r="I205" i="8"/>
  <c r="I206" i="8"/>
  <c r="I207" i="8"/>
  <c r="I208" i="8"/>
  <c r="I209" i="8"/>
  <c r="I210" i="8"/>
  <c r="I211" i="8"/>
  <c r="I212" i="8"/>
  <c r="I213" i="8"/>
  <c r="I214" i="8"/>
  <c r="I215" i="8"/>
  <c r="I216" i="8"/>
  <c r="I217" i="8"/>
  <c r="I218" i="8"/>
  <c r="I219" i="8"/>
  <c r="I220" i="8"/>
  <c r="I221" i="8"/>
  <c r="I222" i="8"/>
  <c r="I223" i="8"/>
  <c r="I224" i="8"/>
  <c r="I225" i="8"/>
  <c r="I226" i="8"/>
  <c r="I227" i="8"/>
  <c r="I228" i="8"/>
  <c r="I229" i="8"/>
  <c r="I230" i="8"/>
  <c r="I231" i="8"/>
  <c r="I232" i="8"/>
  <c r="I233" i="8"/>
  <c r="I234" i="8"/>
  <c r="I235" i="8"/>
  <c r="I236" i="8"/>
  <c r="I237" i="8"/>
  <c r="I238" i="8"/>
  <c r="I239" i="8"/>
  <c r="I240" i="8"/>
  <c r="I241" i="8"/>
  <c r="I242" i="8"/>
  <c r="I243" i="8"/>
  <c r="I244" i="8"/>
  <c r="I245" i="8"/>
  <c r="I246" i="8"/>
  <c r="I247" i="8"/>
  <c r="I248" i="8"/>
  <c r="I249" i="8"/>
  <c r="I250" i="8"/>
  <c r="I251" i="8"/>
  <c r="I252" i="8"/>
  <c r="I253" i="8"/>
  <c r="I254" i="8"/>
  <c r="I255" i="8"/>
  <c r="I256" i="8"/>
  <c r="I257" i="8"/>
  <c r="I258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2" i="8"/>
  <c r="I273" i="8"/>
  <c r="I274" i="8"/>
  <c r="I275" i="8"/>
  <c r="I276" i="8"/>
  <c r="I277" i="8"/>
  <c r="I278" i="8"/>
  <c r="I279" i="8"/>
  <c r="I280" i="8"/>
  <c r="I281" i="8"/>
  <c r="I282" i="8"/>
  <c r="I283" i="8"/>
  <c r="I284" i="8"/>
  <c r="I285" i="8"/>
  <c r="I286" i="8"/>
  <c r="I287" i="8"/>
  <c r="I288" i="8"/>
  <c r="I289" i="8"/>
  <c r="I290" i="8"/>
  <c r="I291" i="8"/>
  <c r="I292" i="8"/>
  <c r="I293" i="8"/>
  <c r="I294" i="8"/>
  <c r="I295" i="8"/>
  <c r="I296" i="8"/>
  <c r="I297" i="8"/>
  <c r="I298" i="8"/>
  <c r="I299" i="8"/>
  <c r="I300" i="8"/>
  <c r="I301" i="8"/>
  <c r="I302" i="8"/>
  <c r="I303" i="8"/>
  <c r="I304" i="8"/>
  <c r="I305" i="8"/>
  <c r="I306" i="8"/>
  <c r="I307" i="8"/>
  <c r="I308" i="8"/>
  <c r="I309" i="8"/>
  <c r="I310" i="8"/>
  <c r="I311" i="8"/>
  <c r="I312" i="8"/>
  <c r="I313" i="8"/>
  <c r="I314" i="8"/>
  <c r="I315" i="8"/>
  <c r="I316" i="8"/>
  <c r="I317" i="8"/>
  <c r="I318" i="8"/>
  <c r="I319" i="8"/>
  <c r="I320" i="8"/>
  <c r="I321" i="8"/>
  <c r="I322" i="8"/>
  <c r="I323" i="8"/>
  <c r="I324" i="8"/>
  <c r="I325" i="8"/>
  <c r="I326" i="8"/>
  <c r="I327" i="8"/>
  <c r="I328" i="8"/>
  <c r="I329" i="8"/>
  <c r="I330" i="8"/>
  <c r="I331" i="8"/>
  <c r="I332" i="8"/>
  <c r="I333" i="8"/>
  <c r="I334" i="8"/>
  <c r="I335" i="8"/>
  <c r="I336" i="8"/>
  <c r="I337" i="8"/>
  <c r="I338" i="8"/>
  <c r="I339" i="8"/>
  <c r="I340" i="8"/>
  <c r="I341" i="8"/>
  <c r="I342" i="8"/>
  <c r="I343" i="8"/>
  <c r="I344" i="8"/>
  <c r="I345" i="8"/>
  <c r="I346" i="8"/>
  <c r="I347" i="8"/>
  <c r="I348" i="8"/>
  <c r="I349" i="8"/>
  <c r="I350" i="8"/>
  <c r="I351" i="8"/>
  <c r="I352" i="8"/>
  <c r="I353" i="8"/>
  <c r="I354" i="8"/>
  <c r="I355" i="8"/>
  <c r="I356" i="8"/>
  <c r="I357" i="8"/>
  <c r="I358" i="8"/>
  <c r="I359" i="8"/>
  <c r="I360" i="8"/>
  <c r="I361" i="8"/>
  <c r="I362" i="8"/>
  <c r="I363" i="8"/>
  <c r="I364" i="8"/>
  <c r="I365" i="8"/>
  <c r="I366" i="8"/>
  <c r="I367" i="8"/>
  <c r="I368" i="8"/>
  <c r="I369" i="8"/>
  <c r="I370" i="8"/>
  <c r="I371" i="8"/>
  <c r="I372" i="8"/>
  <c r="I373" i="8"/>
  <c r="I374" i="8"/>
  <c r="I375" i="8"/>
  <c r="I376" i="8"/>
  <c r="I377" i="8"/>
  <c r="I378" i="8"/>
  <c r="I379" i="8"/>
  <c r="I380" i="8"/>
  <c r="I381" i="8"/>
  <c r="I382" i="8"/>
  <c r="I383" i="8"/>
  <c r="I384" i="8"/>
  <c r="I385" i="8"/>
  <c r="I386" i="8"/>
  <c r="I387" i="8"/>
  <c r="I388" i="8"/>
  <c r="I389" i="8"/>
  <c r="I390" i="8"/>
  <c r="I391" i="8"/>
  <c r="I392" i="8"/>
  <c r="I393" i="8"/>
  <c r="I394" i="8"/>
  <c r="I395" i="8"/>
  <c r="I396" i="8"/>
  <c r="I397" i="8"/>
  <c r="I398" i="8"/>
  <c r="I399" i="8"/>
  <c r="I400" i="8"/>
  <c r="I401" i="8"/>
  <c r="I402" i="8"/>
  <c r="I403" i="8"/>
  <c r="I404" i="8"/>
  <c r="I405" i="8"/>
  <c r="I406" i="8"/>
  <c r="I407" i="8"/>
  <c r="I408" i="8"/>
  <c r="I409" i="8"/>
  <c r="I410" i="8"/>
  <c r="I411" i="8"/>
  <c r="I412" i="8"/>
  <c r="I413" i="8"/>
  <c r="I414" i="8"/>
  <c r="I415" i="8"/>
  <c r="I416" i="8"/>
  <c r="I417" i="8"/>
  <c r="I418" i="8"/>
  <c r="I419" i="8"/>
  <c r="I420" i="8"/>
  <c r="I421" i="8"/>
  <c r="I422" i="8"/>
  <c r="I423" i="8"/>
  <c r="I424" i="8"/>
  <c r="I425" i="8"/>
  <c r="I426" i="8"/>
  <c r="I427" i="8"/>
  <c r="I428" i="8"/>
  <c r="I429" i="8"/>
  <c r="I430" i="8"/>
  <c r="I431" i="8"/>
  <c r="I432" i="8"/>
  <c r="I433" i="8"/>
  <c r="I434" i="8"/>
  <c r="I435" i="8"/>
  <c r="I436" i="8"/>
  <c r="I437" i="8"/>
  <c r="I438" i="8"/>
  <c r="I439" i="8"/>
  <c r="I440" i="8"/>
  <c r="I441" i="8"/>
  <c r="I442" i="8"/>
  <c r="I443" i="8"/>
  <c r="I444" i="8"/>
  <c r="I445" i="8"/>
  <c r="I446" i="8"/>
  <c r="I447" i="8"/>
  <c r="I6" i="8"/>
  <c r="Q10" i="8" l="1"/>
  <c r="S10" i="8" s="1"/>
  <c r="Q11" i="8"/>
  <c r="S11" i="8" s="1"/>
  <c r="Q13" i="8"/>
  <c r="S13" i="8" s="1"/>
  <c r="Q9" i="8"/>
  <c r="S9" i="8" s="1"/>
  <c r="Q12" i="8"/>
  <c r="S12" i="8" s="1"/>
  <c r="P104" i="7" l="1"/>
  <c r="N104" i="7"/>
  <c r="P107" i="7"/>
  <c r="P108" i="7"/>
  <c r="P109" i="7"/>
  <c r="P110" i="7"/>
  <c r="P111" i="7"/>
  <c r="P112" i="7"/>
  <c r="P113" i="7"/>
  <c r="P114" i="7"/>
  <c r="P115" i="7"/>
  <c r="P116" i="7"/>
  <c r="P117" i="7"/>
  <c r="P118" i="7"/>
  <c r="P119" i="7"/>
  <c r="P120" i="7"/>
  <c r="P121" i="7"/>
  <c r="P122" i="7"/>
  <c r="P123" i="7"/>
  <c r="P124" i="7"/>
  <c r="P125" i="7"/>
  <c r="P126" i="7"/>
  <c r="P127" i="7"/>
  <c r="P128" i="7"/>
  <c r="P129" i="7"/>
  <c r="P106" i="7"/>
  <c r="N70" i="7"/>
  <c r="P70" i="7"/>
  <c r="P73" i="7"/>
  <c r="P74" i="7"/>
  <c r="P75" i="7"/>
  <c r="P76" i="7"/>
  <c r="P77" i="7"/>
  <c r="P78" i="7"/>
  <c r="P79" i="7"/>
  <c r="P80" i="7"/>
  <c r="P81" i="7"/>
  <c r="P82" i="7"/>
  <c r="P83" i="7"/>
  <c r="P84" i="7"/>
  <c r="P85" i="7"/>
  <c r="P86" i="7"/>
  <c r="P87" i="7"/>
  <c r="P88" i="7"/>
  <c r="P89" i="7"/>
  <c r="P90" i="7"/>
  <c r="P91" i="7"/>
  <c r="P92" i="7"/>
  <c r="P93" i="7"/>
  <c r="P94" i="7"/>
  <c r="P95" i="7"/>
  <c r="P96" i="7"/>
  <c r="P97" i="7"/>
  <c r="P98" i="7"/>
  <c r="P99" i="7"/>
  <c r="P100" i="7"/>
  <c r="P72" i="7"/>
  <c r="N53" i="7"/>
  <c r="P53" i="7"/>
  <c r="P56" i="7"/>
  <c r="P57" i="7"/>
  <c r="P58" i="7"/>
  <c r="P59" i="7"/>
  <c r="P60" i="7"/>
  <c r="P61" i="7"/>
  <c r="P62" i="7"/>
  <c r="P55" i="7"/>
  <c r="N28" i="7"/>
  <c r="P28" i="7"/>
  <c r="P30" i="7"/>
  <c r="P31" i="7"/>
  <c r="P32" i="7"/>
  <c r="P33" i="7"/>
  <c r="P34" i="7"/>
  <c r="P35" i="7"/>
  <c r="P36" i="7"/>
  <c r="P37" i="7"/>
  <c r="P38" i="7"/>
  <c r="P39" i="7"/>
  <c r="P40" i="7"/>
  <c r="P41" i="7"/>
  <c r="P42" i="7"/>
  <c r="P43" i="7"/>
  <c r="P44" i="7"/>
  <c r="P45" i="7"/>
  <c r="P13" i="7"/>
  <c r="P14" i="7"/>
  <c r="P15" i="7"/>
  <c r="P16" i="7"/>
  <c r="P17" i="7"/>
  <c r="P18" i="7"/>
  <c r="P19" i="7"/>
  <c r="P20" i="7"/>
  <c r="P21" i="7"/>
  <c r="P12" i="7"/>
  <c r="I6" i="6"/>
  <c r="K7" i="6"/>
  <c r="M8" i="6"/>
  <c r="O9" i="6"/>
  <c r="Q10" i="6"/>
  <c r="S11" i="6"/>
  <c r="U12" i="6"/>
  <c r="I14" i="6"/>
  <c r="K15" i="6"/>
  <c r="M16" i="6"/>
  <c r="O17" i="6"/>
  <c r="Q18" i="6"/>
  <c r="S19" i="6"/>
  <c r="U20" i="6"/>
  <c r="J6" i="6"/>
  <c r="L7" i="6"/>
  <c r="N8" i="6"/>
  <c r="P9" i="6"/>
  <c r="R10" i="6"/>
  <c r="T11" i="6"/>
  <c r="V12" i="6"/>
  <c r="J14" i="6"/>
  <c r="L15" i="6"/>
  <c r="N16" i="6"/>
  <c r="P17" i="6"/>
  <c r="R18" i="6"/>
  <c r="T19" i="6"/>
  <c r="V20" i="6"/>
  <c r="K6" i="6"/>
  <c r="M7" i="6"/>
  <c r="O8" i="6"/>
  <c r="Q9" i="6"/>
  <c r="S10" i="6"/>
  <c r="U11" i="6"/>
  <c r="I13" i="6"/>
  <c r="K14" i="6"/>
  <c r="M15" i="6"/>
  <c r="O16" i="6"/>
  <c r="Q17" i="6"/>
  <c r="S18" i="6"/>
  <c r="U19" i="6"/>
  <c r="I21" i="6"/>
  <c r="L6" i="6"/>
  <c r="N7" i="6"/>
  <c r="P8" i="6"/>
  <c r="R9" i="6"/>
  <c r="T10" i="6"/>
  <c r="V11" i="6"/>
  <c r="J13" i="6"/>
  <c r="L14" i="6"/>
  <c r="N15" i="6"/>
  <c r="P16" i="6"/>
  <c r="R17" i="6"/>
  <c r="T18" i="6"/>
  <c r="V19" i="6"/>
  <c r="M6" i="6"/>
  <c r="O7" i="6"/>
  <c r="Q8" i="6"/>
  <c r="S9" i="6"/>
  <c r="K13" i="6"/>
  <c r="Q16" i="6"/>
  <c r="K21" i="6"/>
  <c r="R8" i="6"/>
  <c r="L13" i="6"/>
  <c r="T17" i="6"/>
  <c r="Q7" i="6"/>
  <c r="K12" i="6"/>
  <c r="S16" i="6"/>
  <c r="M21" i="6"/>
  <c r="T8" i="6"/>
  <c r="N13" i="6"/>
  <c r="V17" i="6"/>
  <c r="Q6" i="6"/>
  <c r="K11" i="6"/>
  <c r="S15" i="6"/>
  <c r="M20" i="6"/>
  <c r="T7" i="6"/>
  <c r="P13" i="6"/>
  <c r="J18" i="6"/>
  <c r="S6" i="6"/>
  <c r="M11" i="6"/>
  <c r="U15" i="6"/>
  <c r="O20" i="6"/>
  <c r="V7" i="6"/>
  <c r="P12" i="6"/>
  <c r="J17" i="6"/>
  <c r="R21" i="6"/>
  <c r="M10" i="6"/>
  <c r="U14" i="6"/>
  <c r="O19" i="6"/>
  <c r="J8" i="6"/>
  <c r="P11" i="6"/>
  <c r="L17" i="6"/>
  <c r="T21" i="6"/>
  <c r="M9" i="6"/>
  <c r="U13" i="6"/>
  <c r="O18" i="6"/>
  <c r="J7" i="6"/>
  <c r="P10" i="6"/>
  <c r="J15" i="6"/>
  <c r="R19" i="6"/>
  <c r="J21" i="6"/>
  <c r="U10" i="6"/>
  <c r="I12" i="6"/>
  <c r="M14" i="6"/>
  <c r="O15" i="6"/>
  <c r="S17" i="6"/>
  <c r="U18" i="6"/>
  <c r="I20" i="6"/>
  <c r="N6" i="6"/>
  <c r="P7" i="6"/>
  <c r="T9" i="6"/>
  <c r="V10" i="6"/>
  <c r="J12" i="6"/>
  <c r="N14" i="6"/>
  <c r="P15" i="6"/>
  <c r="R16" i="6"/>
  <c r="V18" i="6"/>
  <c r="J20" i="6"/>
  <c r="L21" i="6"/>
  <c r="O6" i="6"/>
  <c r="S8" i="6"/>
  <c r="U9" i="6"/>
  <c r="I11" i="6"/>
  <c r="M13" i="6"/>
  <c r="O14" i="6"/>
  <c r="Q15" i="6"/>
  <c r="U17" i="6"/>
  <c r="I19" i="6"/>
  <c r="K20" i="6"/>
  <c r="P6" i="6"/>
  <c r="R7" i="6"/>
  <c r="V9" i="6"/>
  <c r="J11" i="6"/>
  <c r="L12" i="6"/>
  <c r="P14" i="6"/>
  <c r="R15" i="6"/>
  <c r="T16" i="6"/>
  <c r="J19" i="6"/>
  <c r="L20" i="6"/>
  <c r="N21" i="6"/>
  <c r="S7" i="6"/>
  <c r="U8" i="6"/>
  <c r="I10" i="6"/>
  <c r="M12" i="6"/>
  <c r="O13" i="6"/>
  <c r="Q14" i="6"/>
  <c r="U16" i="6"/>
  <c r="I18" i="6"/>
  <c r="K19" i="6"/>
  <c r="O21" i="6"/>
  <c r="R6" i="6"/>
  <c r="V8" i="6"/>
  <c r="J10" i="6"/>
  <c r="L11" i="6"/>
  <c r="N12" i="6"/>
  <c r="R14" i="6"/>
  <c r="T15" i="6"/>
  <c r="V16" i="6"/>
  <c r="L19" i="6"/>
  <c r="N20" i="6"/>
  <c r="P21" i="6"/>
  <c r="U7" i="6"/>
  <c r="I9" i="6"/>
  <c r="K10" i="6"/>
  <c r="O12" i="6"/>
  <c r="Q13" i="6"/>
  <c r="S14" i="6"/>
  <c r="I17" i="6"/>
  <c r="K18" i="6"/>
  <c r="M19" i="6"/>
  <c r="Q21" i="6"/>
  <c r="T6" i="6"/>
  <c r="J9" i="6"/>
  <c r="L10" i="6"/>
  <c r="N11" i="6"/>
  <c r="R13" i="6"/>
  <c r="T14" i="6"/>
  <c r="V15" i="6"/>
  <c r="L18" i="6"/>
  <c r="N19" i="6"/>
  <c r="P20" i="6"/>
  <c r="U6" i="6"/>
  <c r="I8" i="6"/>
  <c r="K9" i="6"/>
  <c r="O11" i="6"/>
  <c r="Q12" i="6"/>
  <c r="S13" i="6"/>
  <c r="I16" i="6"/>
  <c r="K17" i="6"/>
  <c r="M18" i="6"/>
  <c r="Q20" i="6"/>
  <c r="S21" i="6"/>
  <c r="V6" i="6"/>
  <c r="L9" i="6"/>
  <c r="N10" i="6"/>
  <c r="R12" i="6"/>
  <c r="T13" i="6"/>
  <c r="V14" i="6"/>
  <c r="J16" i="6"/>
  <c r="N18" i="6"/>
  <c r="P19" i="6"/>
  <c r="R20" i="6"/>
  <c r="I7" i="6"/>
  <c r="K8" i="6"/>
  <c r="O10" i="6"/>
  <c r="Q11" i="6"/>
  <c r="S12" i="6"/>
  <c r="I15" i="6"/>
  <c r="K16" i="6"/>
  <c r="M17" i="6"/>
  <c r="Q19" i="6"/>
  <c r="S20" i="6"/>
  <c r="U21" i="6"/>
  <c r="L8" i="6"/>
  <c r="N9" i="6"/>
  <c r="R11" i="6"/>
  <c r="T12" i="6"/>
  <c r="V13" i="6"/>
  <c r="L16" i="6"/>
  <c r="N17" i="6"/>
  <c r="P18" i="6"/>
  <c r="T20" i="6"/>
  <c r="V21" i="6"/>
  <c r="J5" i="6"/>
  <c r="K5" i="6"/>
  <c r="L5" i="6"/>
  <c r="M5" i="6"/>
  <c r="N5" i="6"/>
  <c r="O5" i="6"/>
  <c r="P5" i="6"/>
  <c r="Q5" i="6"/>
  <c r="R5" i="6"/>
  <c r="S5" i="6"/>
  <c r="T5" i="6"/>
  <c r="U5" i="6"/>
  <c r="V5" i="6"/>
  <c r="I6" i="5"/>
  <c r="K7" i="5"/>
  <c r="M8" i="5"/>
  <c r="O9" i="5"/>
  <c r="Q10" i="5"/>
  <c r="S11" i="5"/>
  <c r="U12" i="5"/>
  <c r="I14" i="5"/>
  <c r="K15" i="5"/>
  <c r="M16" i="5"/>
  <c r="O17" i="5"/>
  <c r="Q18" i="5"/>
  <c r="S19" i="5"/>
  <c r="U20" i="5"/>
  <c r="U11" i="5"/>
  <c r="M15" i="5"/>
  <c r="S18" i="5"/>
  <c r="L6" i="5"/>
  <c r="V11" i="5"/>
  <c r="N15" i="5"/>
  <c r="T18" i="5"/>
  <c r="M6" i="5"/>
  <c r="S9" i="5"/>
  <c r="M14" i="5"/>
  <c r="U18" i="5"/>
  <c r="N6" i="5"/>
  <c r="V13" i="5"/>
  <c r="P18" i="5"/>
  <c r="V21" i="5"/>
  <c r="J6" i="5"/>
  <c r="L7" i="5"/>
  <c r="N8" i="5"/>
  <c r="P9" i="5"/>
  <c r="R10" i="5"/>
  <c r="T11" i="5"/>
  <c r="V12" i="5"/>
  <c r="J14" i="5"/>
  <c r="L15" i="5"/>
  <c r="N16" i="5"/>
  <c r="P17" i="5"/>
  <c r="R18" i="5"/>
  <c r="T19" i="5"/>
  <c r="V20" i="5"/>
  <c r="I13" i="5"/>
  <c r="O16" i="5"/>
  <c r="U19" i="5"/>
  <c r="N7" i="5"/>
  <c r="R9" i="5"/>
  <c r="J13" i="5"/>
  <c r="P16" i="5"/>
  <c r="V19" i="5"/>
  <c r="O7" i="5"/>
  <c r="U10" i="5"/>
  <c r="K13" i="5"/>
  <c r="Q16" i="5"/>
  <c r="I20" i="5"/>
  <c r="P7" i="5"/>
  <c r="T9" i="5"/>
  <c r="J12" i="5"/>
  <c r="N14" i="5"/>
  <c r="R16" i="5"/>
  <c r="V18" i="5"/>
  <c r="L21" i="5"/>
  <c r="Q7" i="5"/>
  <c r="U9" i="5"/>
  <c r="K12" i="5"/>
  <c r="O14" i="5"/>
  <c r="S16" i="5"/>
  <c r="I19" i="5"/>
  <c r="M21" i="5"/>
  <c r="R7" i="5"/>
  <c r="V9" i="5"/>
  <c r="L12" i="5"/>
  <c r="P14" i="5"/>
  <c r="T16" i="5"/>
  <c r="J19" i="5"/>
  <c r="N21" i="5"/>
  <c r="S7" i="5"/>
  <c r="I10" i="5"/>
  <c r="M12" i="5"/>
  <c r="Q14" i="5"/>
  <c r="U16" i="5"/>
  <c r="K19" i="5"/>
  <c r="O21" i="5"/>
  <c r="T7" i="5"/>
  <c r="J10" i="5"/>
  <c r="N12" i="5"/>
  <c r="R14" i="5"/>
  <c r="V16" i="5"/>
  <c r="L19" i="5"/>
  <c r="P21" i="5"/>
  <c r="U7" i="5"/>
  <c r="K10" i="5"/>
  <c r="O12" i="5"/>
  <c r="S14" i="5"/>
  <c r="I17" i="5"/>
  <c r="M19" i="5"/>
  <c r="Q21" i="5"/>
  <c r="V7" i="5"/>
  <c r="L10" i="5"/>
  <c r="P12" i="5"/>
  <c r="T14" i="5"/>
  <c r="J17" i="5"/>
  <c r="N19" i="5"/>
  <c r="R21" i="5"/>
  <c r="I8" i="5"/>
  <c r="M10" i="5"/>
  <c r="Q12" i="5"/>
  <c r="U14" i="5"/>
  <c r="I16" i="5"/>
  <c r="M18" i="5"/>
  <c r="Q20" i="5"/>
  <c r="V6" i="5"/>
  <c r="L9" i="5"/>
  <c r="N10" i="5"/>
  <c r="P11" i="5"/>
  <c r="R12" i="5"/>
  <c r="V14" i="5"/>
  <c r="J16" i="5"/>
  <c r="N18" i="5"/>
  <c r="R20" i="5"/>
  <c r="I7" i="5"/>
  <c r="M9" i="5"/>
  <c r="Q11" i="5"/>
  <c r="U13" i="5"/>
  <c r="K16" i="5"/>
  <c r="O18" i="5"/>
  <c r="Q19" i="5"/>
  <c r="S20" i="5"/>
  <c r="J7" i="5"/>
  <c r="L8" i="5"/>
  <c r="P10" i="5"/>
  <c r="R11" i="5"/>
  <c r="J15" i="5"/>
  <c r="N17" i="5"/>
  <c r="T20" i="5"/>
  <c r="K6" i="5"/>
  <c r="M7" i="5"/>
  <c r="O8" i="5"/>
  <c r="Q9" i="5"/>
  <c r="S10" i="5"/>
  <c r="K14" i="5"/>
  <c r="Q17" i="5"/>
  <c r="I21" i="5"/>
  <c r="P8" i="5"/>
  <c r="T10" i="5"/>
  <c r="L14" i="5"/>
  <c r="R17" i="5"/>
  <c r="J21" i="5"/>
  <c r="Q8" i="5"/>
  <c r="I12" i="5"/>
  <c r="O15" i="5"/>
  <c r="S17" i="5"/>
  <c r="K21" i="5"/>
  <c r="R8" i="5"/>
  <c r="V10" i="5"/>
  <c r="L13" i="5"/>
  <c r="P15" i="5"/>
  <c r="T17" i="5"/>
  <c r="J20" i="5"/>
  <c r="O6" i="5"/>
  <c r="S8" i="5"/>
  <c r="I11" i="5"/>
  <c r="M13" i="5"/>
  <c r="Q15" i="5"/>
  <c r="U17" i="5"/>
  <c r="K20" i="5"/>
  <c r="P6" i="5"/>
  <c r="T8" i="5"/>
  <c r="J11" i="5"/>
  <c r="N13" i="5"/>
  <c r="R15" i="5"/>
  <c r="V17" i="5"/>
  <c r="L20" i="5"/>
  <c r="Q6" i="5"/>
  <c r="U8" i="5"/>
  <c r="K11" i="5"/>
  <c r="O13" i="5"/>
  <c r="S15" i="5"/>
  <c r="I18" i="5"/>
  <c r="M20" i="5"/>
  <c r="R6" i="5"/>
  <c r="V8" i="5"/>
  <c r="L11" i="5"/>
  <c r="P13" i="5"/>
  <c r="T15" i="5"/>
  <c r="J18" i="5"/>
  <c r="N20" i="5"/>
  <c r="S6" i="5"/>
  <c r="I9" i="5"/>
  <c r="M11" i="5"/>
  <c r="Q13" i="5"/>
  <c r="U15" i="5"/>
  <c r="K18" i="5"/>
  <c r="O20" i="5"/>
  <c r="T6" i="5"/>
  <c r="J9" i="5"/>
  <c r="N11" i="5"/>
  <c r="R13" i="5"/>
  <c r="V15" i="5"/>
  <c r="L18" i="5"/>
  <c r="P20" i="5"/>
  <c r="U6" i="5"/>
  <c r="K9" i="5"/>
  <c r="O11" i="5"/>
  <c r="S13" i="5"/>
  <c r="K17" i="5"/>
  <c r="O19" i="5"/>
  <c r="S21" i="5"/>
  <c r="J8" i="5"/>
  <c r="T13" i="5"/>
  <c r="L17" i="5"/>
  <c r="P19" i="5"/>
  <c r="T21" i="5"/>
  <c r="K8" i="5"/>
  <c r="O10" i="5"/>
  <c r="S12" i="5"/>
  <c r="I15" i="5"/>
  <c r="M17" i="5"/>
  <c r="U21" i="5"/>
  <c r="N9" i="5"/>
  <c r="T12" i="5"/>
  <c r="L16" i="5"/>
  <c r="R19" i="5"/>
  <c r="V5" i="5"/>
  <c r="U5" i="5"/>
  <c r="T5" i="5"/>
  <c r="S5" i="5"/>
  <c r="R5" i="5"/>
  <c r="Q5" i="5"/>
  <c r="P5" i="5"/>
  <c r="O5" i="5"/>
  <c r="N5" i="5"/>
  <c r="M5" i="5"/>
  <c r="L5" i="5"/>
  <c r="K5" i="5"/>
  <c r="J5" i="5"/>
  <c r="I5" i="5"/>
  <c r="I6" i="4"/>
  <c r="K7" i="4"/>
  <c r="M8" i="4"/>
  <c r="O9" i="4"/>
  <c r="Q10" i="4"/>
  <c r="S11" i="4"/>
  <c r="U12" i="4"/>
  <c r="I14" i="4"/>
  <c r="K15" i="4"/>
  <c r="M16" i="4"/>
  <c r="O17" i="4"/>
  <c r="Q18" i="4"/>
  <c r="S19" i="4"/>
  <c r="U20" i="4"/>
  <c r="S10" i="4"/>
  <c r="K14" i="4"/>
  <c r="O16" i="4"/>
  <c r="U19" i="4"/>
  <c r="N7" i="4"/>
  <c r="T10" i="4"/>
  <c r="L14" i="4"/>
  <c r="R17" i="4"/>
  <c r="M6" i="4"/>
  <c r="S9" i="4"/>
  <c r="I12" i="4"/>
  <c r="O15" i="4"/>
  <c r="U18" i="4"/>
  <c r="N6" i="4"/>
  <c r="T9" i="4"/>
  <c r="L13" i="4"/>
  <c r="R16" i="4"/>
  <c r="L21" i="4"/>
  <c r="Q7" i="4"/>
  <c r="I11" i="4"/>
  <c r="O14" i="4"/>
  <c r="I19" i="4"/>
  <c r="P6" i="4"/>
  <c r="V9" i="4"/>
  <c r="N13" i="4"/>
  <c r="T16" i="4"/>
  <c r="L20" i="4"/>
  <c r="S7" i="4"/>
  <c r="N17" i="4"/>
  <c r="V21" i="4"/>
  <c r="J6" i="4"/>
  <c r="L7" i="4"/>
  <c r="N8" i="4"/>
  <c r="P9" i="4"/>
  <c r="R10" i="4"/>
  <c r="T11" i="4"/>
  <c r="V12" i="4"/>
  <c r="J14" i="4"/>
  <c r="L15" i="4"/>
  <c r="N16" i="4"/>
  <c r="P17" i="4"/>
  <c r="R18" i="4"/>
  <c r="T19" i="4"/>
  <c r="V20" i="4"/>
  <c r="Q9" i="4"/>
  <c r="I13" i="4"/>
  <c r="Q17" i="4"/>
  <c r="I21" i="4"/>
  <c r="P8" i="4"/>
  <c r="V11" i="4"/>
  <c r="N15" i="4"/>
  <c r="T18" i="4"/>
  <c r="J21" i="4"/>
  <c r="O7" i="4"/>
  <c r="K13" i="4"/>
  <c r="Q16" i="4"/>
  <c r="I20" i="4"/>
  <c r="P7" i="4"/>
  <c r="V10" i="4"/>
  <c r="N14" i="4"/>
  <c r="T17" i="4"/>
  <c r="J20" i="4"/>
  <c r="S8" i="4"/>
  <c r="K12" i="4"/>
  <c r="Q15" i="4"/>
  <c r="U17" i="4"/>
  <c r="M21" i="4"/>
  <c r="T8" i="4"/>
  <c r="L12" i="4"/>
  <c r="R15" i="4"/>
  <c r="J19" i="4"/>
  <c r="U8" i="4"/>
  <c r="K11" i="4"/>
  <c r="O13" i="4"/>
  <c r="S15" i="4"/>
  <c r="I18" i="4"/>
  <c r="M20" i="4"/>
  <c r="R6" i="4"/>
  <c r="J10" i="4"/>
  <c r="N12" i="4"/>
  <c r="R14" i="4"/>
  <c r="V16" i="4"/>
  <c r="L19" i="4"/>
  <c r="P21" i="4"/>
  <c r="U7" i="4"/>
  <c r="M11" i="4"/>
  <c r="Q13" i="4"/>
  <c r="U15" i="4"/>
  <c r="K18" i="4"/>
  <c r="O20" i="4"/>
  <c r="T6" i="4"/>
  <c r="J9" i="4"/>
  <c r="N11" i="4"/>
  <c r="R13" i="4"/>
  <c r="T14" i="4"/>
  <c r="J17" i="4"/>
  <c r="P20" i="4"/>
  <c r="U6" i="4"/>
  <c r="K9" i="4"/>
  <c r="O11" i="4"/>
  <c r="S13" i="4"/>
  <c r="I16" i="4"/>
  <c r="M18" i="4"/>
  <c r="Q20" i="4"/>
  <c r="V6" i="4"/>
  <c r="L9" i="4"/>
  <c r="P11" i="4"/>
  <c r="T13" i="4"/>
  <c r="J16" i="4"/>
  <c r="N18" i="4"/>
  <c r="R20" i="4"/>
  <c r="I7" i="4"/>
  <c r="M9" i="4"/>
  <c r="Q11" i="4"/>
  <c r="U13" i="4"/>
  <c r="K16" i="4"/>
  <c r="O18" i="4"/>
  <c r="S20" i="4"/>
  <c r="J7" i="4"/>
  <c r="N9" i="4"/>
  <c r="R11" i="4"/>
  <c r="V13" i="4"/>
  <c r="L16" i="4"/>
  <c r="R19" i="4"/>
  <c r="K6" i="4"/>
  <c r="M7" i="4"/>
  <c r="O8" i="4"/>
  <c r="U11" i="4"/>
  <c r="M15" i="4"/>
  <c r="S18" i="4"/>
  <c r="L6" i="4"/>
  <c r="R9" i="4"/>
  <c r="J13" i="4"/>
  <c r="P16" i="4"/>
  <c r="V19" i="4"/>
  <c r="Q8" i="4"/>
  <c r="U10" i="4"/>
  <c r="M14" i="4"/>
  <c r="S17" i="4"/>
  <c r="K21" i="4"/>
  <c r="R8" i="4"/>
  <c r="J12" i="4"/>
  <c r="P15" i="4"/>
  <c r="V18" i="4"/>
  <c r="O6" i="4"/>
  <c r="U9" i="4"/>
  <c r="M13" i="4"/>
  <c r="S16" i="4"/>
  <c r="K20" i="4"/>
  <c r="R7" i="4"/>
  <c r="J11" i="4"/>
  <c r="P14" i="4"/>
  <c r="V17" i="4"/>
  <c r="N21" i="4"/>
  <c r="Q6" i="4"/>
  <c r="I10" i="4"/>
  <c r="M12" i="4"/>
  <c r="Q14" i="4"/>
  <c r="U16" i="4"/>
  <c r="K19" i="4"/>
  <c r="O21" i="4"/>
  <c r="T7" i="4"/>
  <c r="V8" i="4"/>
  <c r="L11" i="4"/>
  <c r="P13" i="4"/>
  <c r="T15" i="4"/>
  <c r="J18" i="4"/>
  <c r="N20" i="4"/>
  <c r="S6" i="4"/>
  <c r="I9" i="4"/>
  <c r="K10" i="4"/>
  <c r="O12" i="4"/>
  <c r="S14" i="4"/>
  <c r="I17" i="4"/>
  <c r="M19" i="4"/>
  <c r="Q21" i="4"/>
  <c r="V7" i="4"/>
  <c r="L10" i="4"/>
  <c r="P12" i="4"/>
  <c r="V15" i="4"/>
  <c r="L18" i="4"/>
  <c r="N19" i="4"/>
  <c r="R21" i="4"/>
  <c r="I8" i="4"/>
  <c r="M10" i="4"/>
  <c r="Q12" i="4"/>
  <c r="U14" i="4"/>
  <c r="K17" i="4"/>
  <c r="O19" i="4"/>
  <c r="S21" i="4"/>
  <c r="J8" i="4"/>
  <c r="N10" i="4"/>
  <c r="R12" i="4"/>
  <c r="V14" i="4"/>
  <c r="L17" i="4"/>
  <c r="P19" i="4"/>
  <c r="T21" i="4"/>
  <c r="K8" i="4"/>
  <c r="O10" i="4"/>
  <c r="S12" i="4"/>
  <c r="I15" i="4"/>
  <c r="M17" i="4"/>
  <c r="Q19" i="4"/>
  <c r="U21" i="4"/>
  <c r="L8" i="4"/>
  <c r="P10" i="4"/>
  <c r="T12" i="4"/>
  <c r="J15" i="4"/>
  <c r="P18" i="4"/>
  <c r="T20" i="4"/>
  <c r="V5" i="4"/>
  <c r="U5" i="4"/>
  <c r="T5" i="4"/>
  <c r="S5" i="4"/>
  <c r="R5" i="4"/>
  <c r="Q5" i="4"/>
  <c r="P5" i="4"/>
  <c r="O5" i="4"/>
  <c r="N5" i="4"/>
  <c r="M5" i="4"/>
  <c r="L5" i="4"/>
  <c r="K5" i="4"/>
  <c r="J5" i="4"/>
  <c r="I5" i="4"/>
  <c r="S6" i="3"/>
  <c r="S10" i="3"/>
  <c r="S14" i="3"/>
  <c r="S18" i="3"/>
  <c r="U10" i="3"/>
  <c r="U18" i="3"/>
  <c r="V14" i="3"/>
  <c r="S7" i="3"/>
  <c r="S15" i="3"/>
  <c r="T7" i="3"/>
  <c r="T15" i="3"/>
  <c r="U11" i="3"/>
  <c r="V7" i="3"/>
  <c r="V19" i="3"/>
  <c r="S16" i="3"/>
  <c r="T12" i="3"/>
  <c r="U8" i="3"/>
  <c r="U20" i="3"/>
  <c r="V16" i="3"/>
  <c r="S13" i="3"/>
  <c r="T9" i="3"/>
  <c r="T21" i="3"/>
  <c r="U17" i="3"/>
  <c r="V13" i="3"/>
  <c r="T6" i="3"/>
  <c r="T10" i="3"/>
  <c r="T14" i="3"/>
  <c r="T18" i="3"/>
  <c r="U6" i="3"/>
  <c r="U14" i="3"/>
  <c r="V10" i="3"/>
  <c r="V18" i="3"/>
  <c r="S11" i="3"/>
  <c r="S19" i="3"/>
  <c r="T11" i="3"/>
  <c r="U7" i="3"/>
  <c r="U19" i="3"/>
  <c r="V15" i="3"/>
  <c r="S12" i="3"/>
  <c r="T8" i="3"/>
  <c r="T16" i="3"/>
  <c r="U12" i="3"/>
  <c r="V8" i="3"/>
  <c r="V20" i="3"/>
  <c r="S17" i="3"/>
  <c r="T13" i="3"/>
  <c r="U9" i="3"/>
  <c r="V9" i="3"/>
  <c r="V17" i="3"/>
  <c r="V6" i="3"/>
  <c r="T19" i="3"/>
  <c r="U15" i="3"/>
  <c r="V11" i="3"/>
  <c r="S8" i="3"/>
  <c r="S20" i="3"/>
  <c r="T20" i="3"/>
  <c r="U16" i="3"/>
  <c r="V12" i="3"/>
  <c r="S9" i="3"/>
  <c r="S21" i="3"/>
  <c r="T17" i="3"/>
  <c r="U13" i="3"/>
  <c r="U21" i="3"/>
  <c r="V21" i="3"/>
  <c r="V5" i="3"/>
  <c r="U5" i="3"/>
  <c r="T5" i="3"/>
  <c r="S5" i="3"/>
  <c r="T7" i="2"/>
  <c r="T11" i="2"/>
  <c r="T15" i="2"/>
  <c r="T19" i="2"/>
  <c r="V7" i="2"/>
  <c r="V15" i="2"/>
  <c r="W11" i="2"/>
  <c r="W19" i="2"/>
  <c r="T12" i="2"/>
  <c r="T20" i="2"/>
  <c r="U8" i="2"/>
  <c r="U16" i="2"/>
  <c r="V16" i="2"/>
  <c r="W8" i="2"/>
  <c r="W20" i="2"/>
  <c r="T17" i="2"/>
  <c r="U17" i="2"/>
  <c r="V9" i="2"/>
  <c r="W9" i="2"/>
  <c r="W21" i="2"/>
  <c r="T18" i="2"/>
  <c r="U10" i="2"/>
  <c r="U18" i="2"/>
  <c r="V14" i="2"/>
  <c r="W10" i="2"/>
  <c r="W22" i="2"/>
  <c r="U7" i="2"/>
  <c r="U11" i="2"/>
  <c r="U15" i="2"/>
  <c r="U19" i="2"/>
  <c r="V11" i="2"/>
  <c r="V19" i="2"/>
  <c r="W15" i="2"/>
  <c r="T8" i="2"/>
  <c r="T16" i="2"/>
  <c r="U12" i="2"/>
  <c r="V8" i="2"/>
  <c r="V20" i="2"/>
  <c r="W16" i="2"/>
  <c r="T13" i="2"/>
  <c r="U9" i="2"/>
  <c r="U21" i="2"/>
  <c r="V17" i="2"/>
  <c r="W13" i="2"/>
  <c r="T10" i="2"/>
  <c r="T22" i="2"/>
  <c r="U22" i="2"/>
  <c r="V18" i="2"/>
  <c r="W14" i="2"/>
  <c r="W7" i="2"/>
  <c r="U20" i="2"/>
  <c r="V12" i="2"/>
  <c r="W12" i="2"/>
  <c r="T9" i="2"/>
  <c r="T21" i="2"/>
  <c r="U13" i="2"/>
  <c r="V13" i="2"/>
  <c r="V21" i="2"/>
  <c r="W17" i="2"/>
  <c r="T14" i="2"/>
  <c r="U14" i="2"/>
  <c r="V10" i="2"/>
  <c r="V22" i="2"/>
  <c r="W18" i="2"/>
  <c r="W6" i="2"/>
  <c r="V6" i="2"/>
  <c r="U6" i="2"/>
  <c r="T6" i="2"/>
  <c r="K9" i="3"/>
  <c r="R10" i="3"/>
  <c r="N9" i="3"/>
  <c r="L11" i="3"/>
  <c r="R20" i="3"/>
  <c r="K21" i="3"/>
  <c r="O18" i="3"/>
  <c r="J13" i="3"/>
  <c r="R17" i="3"/>
  <c r="R12" i="3"/>
  <c r="O19" i="3"/>
  <c r="M12" i="3"/>
  <c r="J14" i="3"/>
  <c r="N17" i="3"/>
  <c r="N15" i="3"/>
  <c r="K7" i="3"/>
  <c r="Q9" i="3"/>
  <c r="K13" i="3"/>
  <c r="R5" i="3"/>
  <c r="Q18" i="3"/>
  <c r="M14" i="3"/>
  <c r="N20" i="3"/>
  <c r="M17" i="3"/>
  <c r="O8" i="3"/>
  <c r="R6" i="3"/>
  <c r="L7" i="3"/>
  <c r="R14" i="3"/>
  <c r="M8" i="3"/>
  <c r="N5" i="3"/>
  <c r="Q7" i="3"/>
  <c r="R15" i="3"/>
  <c r="I18" i="3"/>
  <c r="N13" i="3"/>
  <c r="N18" i="3"/>
  <c r="I7" i="3"/>
  <c r="Q21" i="3"/>
  <c r="L15" i="3"/>
  <c r="L10" i="3"/>
  <c r="J5" i="3"/>
  <c r="K14" i="3"/>
  <c r="O9" i="3"/>
  <c r="K18" i="3"/>
  <c r="J12" i="3"/>
  <c r="M16" i="3"/>
  <c r="P14" i="3"/>
  <c r="I17" i="3"/>
  <c r="N10" i="3"/>
  <c r="K17" i="3"/>
  <c r="I16" i="3"/>
  <c r="J16" i="3"/>
  <c r="R9" i="3"/>
  <c r="N21" i="3"/>
  <c r="J21" i="3"/>
  <c r="J17" i="3"/>
  <c r="M20" i="3"/>
  <c r="K19" i="3"/>
  <c r="O6" i="3"/>
  <c r="L20" i="3"/>
  <c r="O14" i="3"/>
  <c r="O11" i="3"/>
  <c r="K8" i="3"/>
  <c r="J10" i="3"/>
  <c r="J6" i="3"/>
  <c r="P8" i="3"/>
  <c r="R11" i="3"/>
  <c r="L19" i="3"/>
  <c r="L16" i="3"/>
  <c r="Q14" i="3"/>
  <c r="K15" i="3"/>
  <c r="P7" i="3"/>
  <c r="M13" i="3"/>
  <c r="J7" i="3"/>
  <c r="O16" i="3"/>
  <c r="R8" i="3"/>
  <c r="I21" i="3"/>
  <c r="R19" i="3"/>
  <c r="L12" i="3"/>
  <c r="J11" i="3"/>
  <c r="O12" i="3"/>
  <c r="J20" i="3"/>
  <c r="K16" i="3"/>
  <c r="P16" i="3"/>
  <c r="N7" i="3"/>
  <c r="R16" i="3"/>
  <c r="M5" i="3"/>
  <c r="I8" i="3"/>
  <c r="P13" i="3"/>
  <c r="P19" i="3"/>
  <c r="N13" i="2"/>
  <c r="S16" i="2"/>
  <c r="K15" i="2"/>
  <c r="P21" i="2"/>
  <c r="N12" i="2"/>
  <c r="Q11" i="2"/>
  <c r="Q12" i="2"/>
  <c r="S12" i="2"/>
  <c r="K11" i="3"/>
  <c r="J18" i="3"/>
  <c r="M18" i="3"/>
  <c r="P9" i="3"/>
  <c r="I15" i="3"/>
  <c r="K12" i="3"/>
  <c r="Q5" i="3"/>
  <c r="J15" i="2"/>
  <c r="K20" i="2"/>
  <c r="Q16" i="2"/>
  <c r="M7" i="2"/>
  <c r="L19" i="2"/>
  <c r="M14" i="2"/>
  <c r="K22" i="2"/>
  <c r="L6" i="3"/>
  <c r="O17" i="3"/>
  <c r="K20" i="3"/>
  <c r="M7" i="3"/>
  <c r="R13" i="3"/>
  <c r="O21" i="3"/>
  <c r="Q17" i="3"/>
  <c r="P5" i="3"/>
  <c r="P16" i="2"/>
  <c r="M18" i="2"/>
  <c r="O9" i="2"/>
  <c r="L14" i="3"/>
  <c r="Q20" i="3"/>
  <c r="Q11" i="3"/>
  <c r="Q16" i="3"/>
  <c r="N19" i="3"/>
  <c r="O5" i="3"/>
  <c r="I11" i="3"/>
  <c r="J19" i="3"/>
  <c r="L9" i="3"/>
  <c r="P6" i="3"/>
  <c r="N16" i="3"/>
  <c r="O13" i="3"/>
  <c r="I12" i="3"/>
  <c r="L5" i="3"/>
  <c r="R19" i="2"/>
  <c r="O21" i="2"/>
  <c r="L14" i="2"/>
  <c r="K21" i="2"/>
  <c r="Q12" i="3"/>
  <c r="I20" i="3"/>
  <c r="P8" i="2"/>
  <c r="M10" i="2"/>
  <c r="R7" i="2"/>
  <c r="Q17" i="2"/>
  <c r="N8" i="2"/>
  <c r="K6" i="2"/>
  <c r="J6" i="2"/>
  <c r="O15" i="2"/>
  <c r="R17" i="2"/>
  <c r="O8" i="2"/>
  <c r="O18" i="2"/>
  <c r="M16" i="2"/>
  <c r="O19" i="2"/>
  <c r="O20" i="2"/>
  <c r="R10" i="2"/>
  <c r="O15" i="3"/>
  <c r="I6" i="3"/>
  <c r="I9" i="3"/>
  <c r="J8" i="3"/>
  <c r="L10" i="2"/>
  <c r="J9" i="2"/>
  <c r="S11" i="2"/>
  <c r="S8" i="2"/>
  <c r="P14" i="2"/>
  <c r="J10" i="2"/>
  <c r="O12" i="2"/>
  <c r="N22" i="2"/>
  <c r="K13" i="2"/>
  <c r="S13" i="2"/>
  <c r="I14" i="3"/>
  <c r="M21" i="3"/>
  <c r="N21" i="2"/>
  <c r="N10" i="2"/>
  <c r="Q19" i="2"/>
  <c r="L13" i="2"/>
  <c r="O7" i="3"/>
  <c r="N6" i="3"/>
  <c r="P11" i="3"/>
  <c r="Q19" i="3"/>
  <c r="R11" i="2"/>
  <c r="P10" i="2"/>
  <c r="O13" i="2"/>
  <c r="K12" i="2"/>
  <c r="L7" i="2"/>
  <c r="S21" i="2"/>
  <c r="Q14" i="2"/>
  <c r="K10" i="2"/>
  <c r="L17" i="2"/>
  <c r="J17" i="2"/>
  <c r="R20" i="2"/>
  <c r="N11" i="2"/>
  <c r="I19" i="3"/>
  <c r="Q10" i="3"/>
  <c r="P10" i="3"/>
  <c r="L18" i="3"/>
  <c r="L18" i="2"/>
  <c r="R13" i="2"/>
  <c r="S19" i="2"/>
  <c r="M15" i="2"/>
  <c r="R8" i="2"/>
  <c r="P11" i="2"/>
  <c r="N19" i="2"/>
  <c r="R14" i="2"/>
  <c r="R22" i="2"/>
  <c r="K11" i="2"/>
  <c r="O22" i="2"/>
  <c r="L9" i="2"/>
  <c r="P22" i="2"/>
  <c r="Q18" i="2"/>
  <c r="S15" i="2"/>
  <c r="O11" i="2"/>
  <c r="Q15" i="3"/>
  <c r="L13" i="3"/>
  <c r="N14" i="3"/>
  <c r="N18" i="2"/>
  <c r="K17" i="2"/>
  <c r="P17" i="2"/>
  <c r="K9" i="2"/>
  <c r="Q22" i="2"/>
  <c r="R18" i="2"/>
  <c r="K14" i="2"/>
  <c r="O17" i="2"/>
  <c r="O16" i="2"/>
  <c r="K5" i="3"/>
  <c r="J18" i="2"/>
  <c r="J9" i="3"/>
  <c r="L8" i="3"/>
  <c r="M6" i="2"/>
  <c r="Q8" i="3"/>
  <c r="K6" i="3"/>
  <c r="R12" i="2"/>
  <c r="M21" i="2"/>
  <c r="M9" i="2"/>
  <c r="N12" i="3"/>
  <c r="P18" i="3"/>
  <c r="N7" i="2"/>
  <c r="J20" i="2"/>
  <c r="P7" i="2"/>
  <c r="M22" i="2"/>
  <c r="S10" i="2"/>
  <c r="J16" i="2"/>
  <c r="S6" i="2"/>
  <c r="P20" i="2"/>
  <c r="R6" i="2"/>
  <c r="R21" i="3"/>
  <c r="N14" i="2"/>
  <c r="Q20" i="2"/>
  <c r="P6" i="2"/>
  <c r="L20" i="2"/>
  <c r="N17" i="2"/>
  <c r="Q21" i="2"/>
  <c r="L21" i="2"/>
  <c r="M11" i="2"/>
  <c r="I5" i="3"/>
  <c r="O10" i="2"/>
  <c r="Q13" i="2"/>
  <c r="K16" i="2"/>
  <c r="L6" i="2"/>
  <c r="M11" i="3"/>
  <c r="I10" i="3"/>
  <c r="S7" i="2"/>
  <c r="P12" i="2"/>
  <c r="S20" i="2"/>
  <c r="L21" i="3"/>
  <c r="L12" i="2"/>
  <c r="S18" i="2"/>
  <c r="Q9" i="2"/>
  <c r="P15" i="2"/>
  <c r="J8" i="2"/>
  <c r="M6" i="3"/>
  <c r="R21" i="2"/>
  <c r="S9" i="2"/>
  <c r="O6" i="2"/>
  <c r="M15" i="3"/>
  <c r="M19" i="2"/>
  <c r="S22" i="2"/>
  <c r="J14" i="2"/>
  <c r="M20" i="2"/>
  <c r="N6" i="2"/>
  <c r="R9" i="2"/>
  <c r="O14" i="2"/>
  <c r="M9" i="3"/>
  <c r="P19" i="2"/>
  <c r="N9" i="2"/>
  <c r="J11" i="2"/>
  <c r="J15" i="3"/>
  <c r="K10" i="3"/>
  <c r="O10" i="3"/>
  <c r="I13" i="3"/>
  <c r="N15" i="2"/>
  <c r="J21" i="2"/>
  <c r="M12" i="2"/>
  <c r="Q10" i="2"/>
  <c r="M13" i="2"/>
  <c r="Q6" i="2"/>
  <c r="P17" i="3"/>
  <c r="P18" i="2"/>
  <c r="K19" i="2"/>
  <c r="Q15" i="2"/>
  <c r="Q13" i="3"/>
  <c r="N20" i="2"/>
  <c r="M19" i="3"/>
  <c r="O20" i="3"/>
  <c r="N8" i="3"/>
  <c r="M17" i="2"/>
  <c r="K18" i="2"/>
  <c r="R7" i="3"/>
  <c r="M10" i="3"/>
  <c r="J12" i="2"/>
  <c r="J22" i="2"/>
  <c r="S17" i="2"/>
  <c r="O7" i="2"/>
  <c r="J19" i="2"/>
  <c r="M8" i="2"/>
  <c r="S14" i="2"/>
  <c r="L22" i="2"/>
  <c r="P13" i="2"/>
  <c r="P15" i="3"/>
  <c r="L17" i="3"/>
  <c r="R18" i="3"/>
  <c r="K7" i="2"/>
  <c r="P12" i="3"/>
  <c r="R15" i="2"/>
  <c r="K8" i="2"/>
  <c r="J13" i="2"/>
  <c r="N11" i="3"/>
  <c r="L15" i="2"/>
  <c r="P9" i="2"/>
  <c r="P20" i="3"/>
  <c r="Q6" i="3"/>
  <c r="L8" i="2"/>
  <c r="R16" i="2"/>
  <c r="J7" i="2"/>
  <c r="N16" i="2"/>
  <c r="P21" i="3"/>
  <c r="Q7" i="2"/>
  <c r="Q8" i="2"/>
  <c r="L11" i="2"/>
  <c r="L16" i="2"/>
  <c r="I5" i="6"/>
  <c r="AJ5" i="5"/>
  <c r="AJ17" i="5"/>
  <c r="AC21" i="5"/>
  <c r="AG10" i="5"/>
  <c r="AD15" i="5"/>
  <c r="AG14" i="5"/>
  <c r="AN16" i="5"/>
  <c r="AH20" i="5"/>
  <c r="AK12" i="5"/>
  <c r="AN20" i="5"/>
  <c r="AB19" i="5"/>
  <c r="AF20" i="5"/>
  <c r="AA16" i="5"/>
  <c r="AK11" i="5"/>
  <c r="AN6" i="5"/>
  <c r="AB8" i="5"/>
  <c r="AF6" i="5"/>
  <c r="AL13" i="5"/>
  <c r="AA14" i="5"/>
  <c r="AD10" i="5"/>
  <c r="AM9" i="5"/>
  <c r="AH9" i="5"/>
  <c r="AC8" i="5"/>
  <c r="AF10" i="5"/>
  <c r="AI5" i="5"/>
  <c r="AL18" i="5"/>
  <c r="AH7" i="5"/>
  <c r="AC16" i="5"/>
  <c r="AJ18" i="5"/>
  <c r="AI15" i="5"/>
  <c r="AD19" i="5"/>
  <c r="AA8" i="5"/>
  <c r="AA15" i="5"/>
  <c r="AI9" i="5"/>
  <c r="AD20" i="5"/>
  <c r="AM7" i="5"/>
  <c r="AE18" i="5"/>
  <c r="AE16" i="5"/>
  <c r="AA7" i="5"/>
  <c r="AM15" i="5"/>
  <c r="AH15" i="5"/>
  <c r="AG9" i="5"/>
  <c r="AB16" i="5"/>
  <c r="AK8" i="5"/>
  <c r="AI18" i="5"/>
  <c r="AD7" i="5"/>
  <c r="AC12" i="5"/>
  <c r="AE13" i="5"/>
  <c r="AH5" i="5"/>
  <c r="AN19" i="5"/>
  <c r="AJ8" i="5"/>
  <c r="AI19" i="5"/>
  <c r="AE7" i="5"/>
  <c r="AK16" i="5"/>
  <c r="AH21" i="5"/>
  <c r="AE10" i="5"/>
  <c r="AG18" i="5"/>
  <c r="AC14" i="5"/>
  <c r="AF21" i="5"/>
  <c r="AE11" i="5"/>
  <c r="AK21" i="5"/>
  <c r="AM20" i="5"/>
  <c r="AB7" i="5"/>
  <c r="AM21" i="5"/>
  <c r="AK7" i="5"/>
  <c r="AD9" i="5"/>
  <c r="AF14" i="5"/>
  <c r="AK15" i="5"/>
  <c r="AG8" i="5"/>
  <c r="AH8" i="5"/>
  <c r="AN21" i="5"/>
  <c r="AH11" i="5"/>
  <c r="AF11" i="5"/>
  <c r="AA13" i="5"/>
  <c r="AC13" i="5"/>
  <c r="AJ16" i="5"/>
  <c r="AB11" i="5"/>
  <c r="AL14" i="5"/>
  <c r="AG16" i="5"/>
  <c r="AE14" i="5"/>
  <c r="AI7" i="5"/>
  <c r="AL7" i="5"/>
  <c r="AM19" i="5"/>
  <c r="AG15" i="5"/>
  <c r="AG17" i="5"/>
  <c r="AB10" i="5"/>
  <c r="AK20" i="5"/>
  <c r="AN5" i="5"/>
  <c r="AI16" i="5"/>
  <c r="AH12" i="5"/>
  <c r="AD11" i="5"/>
  <c r="AF9" i="5"/>
  <c r="AD14" i="5"/>
  <c r="AA11" i="5"/>
  <c r="AJ15" i="5"/>
  <c r="AC9" i="5"/>
  <c r="AK6" i="5"/>
  <c r="AL5" i="5"/>
  <c r="AM18" i="5"/>
  <c r="AB14" i="5"/>
  <c r="AG11" i="5"/>
  <c r="AL6" i="5"/>
  <c r="AH16" i="5"/>
  <c r="AN12" i="5"/>
  <c r="AI11" i="5"/>
  <c r="AB18" i="5"/>
  <c r="AE8" i="5"/>
  <c r="AG5" i="5"/>
  <c r="AA6" i="5"/>
  <c r="AB21" i="5"/>
  <c r="AL9" i="5"/>
  <c r="AD8" i="5"/>
  <c r="AK10" i="5"/>
  <c r="AM17" i="5"/>
  <c r="AA9" i="5"/>
  <c r="AI12" i="5"/>
  <c r="AI17" i="5"/>
  <c r="AK14" i="5"/>
  <c r="AF8" i="5"/>
  <c r="AL8" i="5"/>
  <c r="AE12" i="5"/>
  <c r="AI14" i="5"/>
  <c r="AD12" i="5"/>
  <c r="AC19" i="5"/>
  <c r="AK19" i="5"/>
  <c r="AL21" i="5"/>
  <c r="AL16" i="5"/>
  <c r="AN17" i="5"/>
  <c r="AF5" i="5"/>
  <c r="AB6" i="5"/>
  <c r="AG7" i="5"/>
  <c r="AN10" i="5"/>
  <c r="AJ11" i="5"/>
  <c r="AM11" i="5"/>
  <c r="AA19" i="5"/>
  <c r="AC10" i="5"/>
  <c r="AM14" i="5"/>
  <c r="AH10" i="5"/>
  <c r="AA21" i="5"/>
  <c r="AA10" i="5"/>
  <c r="AA17" i="5"/>
  <c r="AJ12" i="5"/>
  <c r="AL11" i="5"/>
  <c r="AE6" i="5"/>
  <c r="AN9" i="5"/>
  <c r="AI10" i="5"/>
  <c r="AN7" i="5"/>
  <c r="AF13" i="5"/>
  <c r="AH19" i="5"/>
  <c r="AJ13" i="5"/>
  <c r="AJ10" i="5"/>
  <c r="AD18" i="5"/>
  <c r="AE5" i="5"/>
  <c r="AC6" i="5"/>
  <c r="AI8" i="5"/>
  <c r="AB12" i="5"/>
  <c r="AL12" i="5"/>
  <c r="AE15" i="5"/>
  <c r="AC20" i="5"/>
  <c r="AG12" i="5"/>
  <c r="AC17" i="5"/>
  <c r="AN13" i="5"/>
  <c r="AH6" i="5"/>
  <c r="AC11" i="5"/>
  <c r="AE19" i="5"/>
  <c r="AN14" i="5"/>
  <c r="AF16" i="5"/>
  <c r="AM8" i="5"/>
  <c r="AC7" i="5"/>
  <c r="AG6" i="5"/>
  <c r="AM12" i="5"/>
  <c r="AC15" i="5"/>
  <c r="AG21" i="5"/>
  <c r="AD21" i="5"/>
  <c r="AN15" i="5"/>
  <c r="AJ14" i="5"/>
  <c r="AD5" i="5"/>
  <c r="AD6" i="5"/>
  <c r="AK9" i="5"/>
  <c r="AD13" i="5"/>
  <c r="AB15" i="5"/>
  <c r="AK18" i="5"/>
  <c r="AE21" i="5"/>
  <c r="AI13" i="5"/>
  <c r="AI20" i="5"/>
  <c r="AF17" i="5"/>
  <c r="AJ7" i="5"/>
  <c r="AG13" i="5"/>
  <c r="AI21" i="5"/>
  <c r="AD17" i="5"/>
  <c r="AL19" i="5"/>
  <c r="AC5" i="5"/>
  <c r="AF7" i="5"/>
  <c r="AM10" i="5"/>
  <c r="AH18" i="5"/>
  <c r="AL20" i="5"/>
  <c r="AB9" i="5"/>
  <c r="AJ20" i="5"/>
  <c r="AB5" i="5"/>
  <c r="AA12" i="5"/>
  <c r="AC18" i="5"/>
  <c r="AA18" i="5"/>
  <c r="AE9" i="5"/>
  <c r="AA5" i="5"/>
  <c r="AJ9" i="5"/>
  <c r="AG20" i="5"/>
  <c r="AE20" i="5"/>
  <c r="AM13" i="5"/>
  <c r="AL10" i="5"/>
  <c r="AL17" i="5"/>
  <c r="AM16" i="5"/>
  <c r="AB17" i="5"/>
  <c r="AE17" i="5"/>
  <c r="AN11" i="5"/>
  <c r="AN18" i="5"/>
  <c r="AF18" i="5"/>
  <c r="AF19" i="5"/>
  <c r="AI6" i="5"/>
  <c r="AB13" i="5"/>
  <c r="AB20" i="5"/>
  <c r="AH14" i="5"/>
  <c r="AJ21" i="5"/>
  <c r="AJ6" i="5"/>
  <c r="AM5" i="5"/>
  <c r="AK17" i="5"/>
  <c r="AN8" i="5"/>
  <c r="AH13" i="5"/>
  <c r="AD16" i="5"/>
  <c r="AF15" i="5"/>
  <c r="AG19" i="5"/>
  <c r="AF12" i="5"/>
  <c r="AL15" i="5"/>
  <c r="AJ19" i="5"/>
  <c r="AK5" i="5"/>
  <c r="AA20" i="5"/>
  <c r="AH17" i="5"/>
  <c r="AK13" i="5"/>
  <c r="AM6" i="5"/>
  <c r="AA14" i="4"/>
  <c r="AM18" i="4"/>
  <c r="AC11" i="4"/>
  <c r="AH20" i="4"/>
  <c r="AL12" i="4"/>
  <c r="AN20" i="4"/>
  <c r="AD21" i="4"/>
  <c r="AD11" i="4"/>
  <c r="AA16" i="4"/>
  <c r="AC6" i="4"/>
  <c r="AL18" i="4"/>
  <c r="AD12" i="4"/>
  <c r="AG20" i="4"/>
  <c r="AK12" i="4"/>
  <c r="AG5" i="4"/>
  <c r="AJ14" i="4"/>
  <c r="AE7" i="4"/>
  <c r="AE6" i="4"/>
  <c r="AJ15" i="4"/>
  <c r="AM13" i="4"/>
  <c r="AF5" i="4"/>
  <c r="AE17" i="4"/>
  <c r="AC15" i="4"/>
  <c r="AF6" i="4"/>
  <c r="AI14" i="4"/>
  <c r="AC9" i="4"/>
  <c r="AD16" i="4"/>
  <c r="AA21" i="4"/>
  <c r="AI7" i="4"/>
  <c r="AG19" i="4"/>
  <c r="AB9" i="4"/>
  <c r="AE16" i="4"/>
  <c r="AL9" i="4"/>
  <c r="AC19" i="4"/>
  <c r="AG11" i="4"/>
  <c r="AJ19" i="4"/>
  <c r="AF7" i="4"/>
  <c r="AC12" i="4"/>
  <c r="AB18" i="4"/>
  <c r="AN6" i="4"/>
  <c r="AG8" i="4"/>
  <c r="AA12" i="4"/>
  <c r="AB19" i="4"/>
  <c r="AH12" i="4"/>
  <c r="AE5" i="4"/>
  <c r="AG17" i="4"/>
  <c r="AD13" i="4"/>
  <c r="AJ6" i="4"/>
  <c r="AM14" i="4"/>
  <c r="AB6" i="4"/>
  <c r="AL10" i="4"/>
  <c r="AK16" i="4"/>
  <c r="AH21" i="4"/>
  <c r="AF10" i="4"/>
  <c r="AI9" i="4"/>
  <c r="AI16" i="4"/>
  <c r="AI6" i="4"/>
  <c r="AN15" i="4"/>
  <c r="AK20" i="4"/>
  <c r="AD5" i="4"/>
  <c r="AD17" i="4"/>
  <c r="AM6" i="4"/>
  <c r="AJ11" i="4"/>
  <c r="AB5" i="4"/>
  <c r="AI18" i="4"/>
  <c r="AL17" i="4"/>
  <c r="AB10" i="4"/>
  <c r="AE18" i="4"/>
  <c r="AD7" i="4"/>
  <c r="AD14" i="4"/>
  <c r="AC20" i="4"/>
  <c r="AM7" i="4"/>
  <c r="AL13" i="4"/>
  <c r="AK10" i="4"/>
  <c r="AA20" i="4"/>
  <c r="AA10" i="4"/>
  <c r="AF19" i="4"/>
  <c r="AD8" i="4"/>
  <c r="AC5" i="4"/>
  <c r="AH7" i="4"/>
  <c r="AK19" i="4"/>
  <c r="AG6" i="4"/>
  <c r="AH13" i="4"/>
  <c r="AK21" i="4"/>
  <c r="AF8" i="4"/>
  <c r="AJ17" i="4"/>
  <c r="AJ7" i="4"/>
  <c r="AG12" i="4"/>
  <c r="AM11" i="4"/>
  <c r="AG13" i="4"/>
  <c r="AM20" i="4"/>
  <c r="AM9" i="4"/>
  <c r="AN16" i="4"/>
  <c r="AD9" i="4"/>
  <c r="AH9" i="4"/>
  <c r="AB21" i="4"/>
  <c r="AB11" i="4"/>
  <c r="AM15" i="4"/>
  <c r="AH19" i="4"/>
  <c r="AA13" i="4"/>
  <c r="AN10" i="4"/>
  <c r="AM16" i="4"/>
  <c r="AE10" i="4"/>
  <c r="AB15" i="4"/>
  <c r="AA5" i="4"/>
  <c r="AG10" i="4"/>
  <c r="AF12" i="4"/>
  <c r="AD6" i="4"/>
  <c r="AE13" i="4"/>
  <c r="AF20" i="4"/>
  <c r="AJ12" i="4"/>
  <c r="AJ10" i="4"/>
  <c r="AI8" i="4"/>
  <c r="AF13" i="4"/>
  <c r="AE19" i="4"/>
  <c r="AA7" i="4"/>
  <c r="AC14" i="4"/>
  <c r="AF14" i="4"/>
  <c r="AG21" i="4"/>
  <c r="AK13" i="4"/>
  <c r="AH18" i="4"/>
  <c r="AI21" i="4"/>
  <c r="AJ16" i="4"/>
  <c r="AN8" i="4"/>
  <c r="AN21" i="4"/>
  <c r="AI20" i="4"/>
  <c r="AM5" i="4"/>
  <c r="AJ9" i="4"/>
  <c r="AI15" i="4"/>
  <c r="AA9" i="4"/>
  <c r="AB16" i="4"/>
  <c r="AL11" i="4"/>
  <c r="AM10" i="4"/>
  <c r="AL16" i="4"/>
  <c r="AE15" i="4"/>
  <c r="AC17" i="4"/>
  <c r="AA6" i="4"/>
  <c r="AB13" i="4"/>
  <c r="AA19" i="4"/>
  <c r="AE11" i="4"/>
  <c r="AJ20" i="4"/>
  <c r="AN12" i="4"/>
  <c r="AE14" i="4"/>
  <c r="AD20" i="4"/>
  <c r="AN7" i="4"/>
  <c r="AA15" i="4"/>
  <c r="AG16" i="4"/>
  <c r="AB20" i="4"/>
  <c r="AN5" i="4"/>
  <c r="AC7" i="4"/>
  <c r="AH16" i="4"/>
  <c r="AH6" i="4"/>
  <c r="AK14" i="4"/>
  <c r="AC8" i="4"/>
  <c r="AB14" i="4"/>
  <c r="AK17" i="4"/>
  <c r="AM8" i="4"/>
  <c r="AF11" i="4"/>
  <c r="AG18" i="4"/>
  <c r="AI17" i="4"/>
  <c r="AK8" i="4"/>
  <c r="AL15" i="4"/>
  <c r="AB8" i="4"/>
  <c r="AE8" i="4"/>
  <c r="AN19" i="4"/>
  <c r="AN9" i="4"/>
  <c r="AC18" i="4"/>
  <c r="AI11" i="4"/>
  <c r="AD15" i="4"/>
  <c r="AC21" i="4"/>
  <c r="AE12" i="4"/>
  <c r="AL14" i="4"/>
  <c r="AM21" i="4"/>
  <c r="AK18" i="4"/>
  <c r="AA11" i="4"/>
  <c r="AD19" i="4"/>
  <c r="AH11" i="4"/>
  <c r="AL5" i="4"/>
  <c r="AG9" i="4"/>
  <c r="AG7" i="4"/>
  <c r="AH14" i="4"/>
  <c r="AL6" i="4"/>
  <c r="AC16" i="4"/>
  <c r="AF16" i="4"/>
  <c r="AJ8" i="4"/>
  <c r="AK15" i="4"/>
  <c r="AD18" i="4"/>
  <c r="AF9" i="4"/>
  <c r="AM19" i="4"/>
  <c r="AG14" i="4"/>
  <c r="AK6" i="4"/>
  <c r="AN14" i="4"/>
  <c r="AK5" i="4"/>
  <c r="AN13" i="4"/>
  <c r="AH8" i="4"/>
  <c r="AM17" i="4"/>
  <c r="AC10" i="4"/>
  <c r="AF18" i="4"/>
  <c r="AJ5" i="4"/>
  <c r="AE21" i="4"/>
  <c r="AI5" i="4"/>
  <c r="AL7" i="4"/>
  <c r="AF15" i="4"/>
  <c r="AA17" i="4"/>
  <c r="AE9" i="4"/>
  <c r="AI10" i="4"/>
  <c r="AK9" i="4"/>
  <c r="AN17" i="4"/>
  <c r="AD10" i="4"/>
  <c r="AI19" i="4"/>
  <c r="AH17" i="4"/>
  <c r="AB12" i="4"/>
  <c r="AA18" i="4"/>
  <c r="AJ21" i="4"/>
  <c r="AK11" i="4"/>
  <c r="AC13" i="4"/>
  <c r="AF21" i="4"/>
  <c r="AJ13" i="4"/>
  <c r="AB7" i="4"/>
  <c r="AJ18" i="4"/>
  <c r="AH15" i="4"/>
  <c r="AE20" i="4"/>
  <c r="AA8" i="4"/>
  <c r="AF17" i="4"/>
  <c r="AN11" i="4"/>
  <c r="AI13" i="4"/>
  <c r="AL21" i="4"/>
  <c r="AM12" i="4"/>
  <c r="AG15" i="4"/>
  <c r="AK7" i="4"/>
  <c r="AB17" i="4"/>
  <c r="AH10" i="4"/>
  <c r="AL19" i="4"/>
  <c r="AN18" i="4"/>
  <c r="AI12" i="4"/>
  <c r="AL20" i="4"/>
  <c r="AL8" i="4"/>
  <c r="AH5" i="4"/>
  <c r="AA6" i="6"/>
  <c r="AF16" i="6"/>
  <c r="AL18" i="6"/>
  <c r="AK8" i="6"/>
  <c r="AB10" i="6"/>
  <c r="AM14" i="6"/>
  <c r="AJ19" i="6"/>
  <c r="AM19" i="6"/>
  <c r="AJ16" i="6"/>
  <c r="AF12" i="6"/>
  <c r="AI20" i="6"/>
  <c r="AN10" i="6"/>
  <c r="AG21" i="6"/>
  <c r="AI12" i="6"/>
  <c r="AN5" i="6"/>
  <c r="AC7" i="6"/>
  <c r="AJ18" i="6"/>
  <c r="AB21" i="6"/>
  <c r="AC12" i="6"/>
  <c r="AH13" i="6"/>
  <c r="AE18" i="6"/>
  <c r="AN21" i="6"/>
  <c r="AD6" i="6"/>
  <c r="AB20" i="6"/>
  <c r="AL15" i="6"/>
  <c r="AB8" i="6"/>
  <c r="AF14" i="6"/>
  <c r="AL7" i="6"/>
  <c r="AA16" i="6"/>
  <c r="AM5" i="6"/>
  <c r="AE8" i="6"/>
  <c r="AN20" i="6"/>
  <c r="AG7" i="6"/>
  <c r="AG14" i="6"/>
  <c r="AN16" i="6"/>
  <c r="AK21" i="6"/>
  <c r="AB6" i="6"/>
  <c r="AH8" i="6"/>
  <c r="AI7" i="6"/>
  <c r="AD19" i="6"/>
  <c r="AH11" i="6"/>
  <c r="AN18" i="6"/>
  <c r="AD11" i="6"/>
  <c r="AG19" i="6"/>
  <c r="AL5" i="6"/>
  <c r="AG9" i="6"/>
  <c r="AC6" i="6"/>
  <c r="AI8" i="6"/>
  <c r="AK16" i="6"/>
  <c r="AF20" i="6"/>
  <c r="AD9" i="6"/>
  <c r="AD7" i="6"/>
  <c r="AL10" i="6"/>
  <c r="AA11" i="6"/>
  <c r="AK6" i="6"/>
  <c r="AN14" i="6"/>
  <c r="AG6" i="6"/>
  <c r="AJ14" i="6"/>
  <c r="AN6" i="6"/>
  <c r="AK5" i="6"/>
  <c r="AI10" i="6"/>
  <c r="AG8" i="6"/>
  <c r="AK9" i="6"/>
  <c r="AC20" i="6"/>
  <c r="AM7" i="6"/>
  <c r="AJ12" i="6"/>
  <c r="AF8" i="6"/>
  <c r="AB13" i="6"/>
  <c r="AI15" i="6"/>
  <c r="AC10" i="6"/>
  <c r="AF18" i="6"/>
  <c r="AM9" i="6"/>
  <c r="AB18" i="6"/>
  <c r="AF10" i="6"/>
  <c r="AJ5" i="6"/>
  <c r="AK11" i="6"/>
  <c r="AK10" i="6"/>
  <c r="AC13" i="6"/>
  <c r="AJ7" i="6"/>
  <c r="AE11" i="6"/>
  <c r="AB16" i="6"/>
  <c r="AH9" i="6"/>
  <c r="AF15" i="6"/>
  <c r="AA19" i="6"/>
  <c r="AI13" i="6"/>
  <c r="AA7" i="6"/>
  <c r="AE13" i="6"/>
  <c r="AH21" i="6"/>
  <c r="AL13" i="6"/>
  <c r="AI5" i="6"/>
  <c r="AM12" i="6"/>
  <c r="AA13" i="6"/>
  <c r="AE14" i="6"/>
  <c r="AB11" i="6"/>
  <c r="AK14" i="6"/>
  <c r="AH19" i="6"/>
  <c r="AJ10" i="6"/>
  <c r="AJ17" i="6"/>
  <c r="AH6" i="6"/>
  <c r="AA17" i="6"/>
  <c r="AG10" i="6"/>
  <c r="AM17" i="6"/>
  <c r="AA9" i="6"/>
  <c r="AD17" i="6"/>
  <c r="AH5" i="6"/>
  <c r="AA14" i="6"/>
  <c r="AE15" i="6"/>
  <c r="AI16" i="6"/>
  <c r="AH14" i="6"/>
  <c r="AC18" i="6"/>
  <c r="AL21" i="6"/>
  <c r="AN12" i="6"/>
  <c r="AN19" i="6"/>
  <c r="AN9" i="6"/>
  <c r="AG20" i="6"/>
  <c r="AM13" i="6"/>
  <c r="AE21" i="6"/>
  <c r="AG12" i="6"/>
  <c r="AJ20" i="6"/>
  <c r="AG5" i="6"/>
  <c r="AC15" i="6"/>
  <c r="AG16" i="6"/>
  <c r="AM18" i="6"/>
  <c r="AN17" i="6"/>
  <c r="AI21" i="6"/>
  <c r="AC8" i="6"/>
  <c r="AD15" i="6"/>
  <c r="AE6" i="6"/>
  <c r="AF13" i="6"/>
  <c r="AN7" i="6"/>
  <c r="AE17" i="6"/>
  <c r="AL8" i="6"/>
  <c r="AM15" i="6"/>
  <c r="AE9" i="6"/>
  <c r="AF5" i="6"/>
  <c r="AE16" i="6"/>
  <c r="AK18" i="6"/>
  <c r="AC21" i="6"/>
  <c r="AF21" i="6"/>
  <c r="AB9" i="6"/>
  <c r="AI11" i="6"/>
  <c r="AH17" i="6"/>
  <c r="AA12" i="6"/>
  <c r="AL16" i="6"/>
  <c r="AF11" i="6"/>
  <c r="AK20" i="6"/>
  <c r="AD12" i="6"/>
  <c r="AE19" i="6"/>
  <c r="AK12" i="6"/>
  <c r="AE5" i="6"/>
  <c r="AG17" i="6"/>
  <c r="AA21" i="6"/>
  <c r="AH7" i="6"/>
  <c r="AM8" i="6"/>
  <c r="AH12" i="6"/>
  <c r="AA15" i="6"/>
  <c r="AL19" i="6"/>
  <c r="AG15" i="6"/>
  <c r="AD20" i="6"/>
  <c r="AL14" i="6"/>
  <c r="AD8" i="6"/>
  <c r="AJ15" i="6"/>
  <c r="AL6" i="6"/>
  <c r="AC16" i="6"/>
  <c r="AD5" i="6"/>
  <c r="AI18" i="6"/>
  <c r="AF7" i="6"/>
  <c r="AL9" i="6"/>
  <c r="AE12" i="6"/>
  <c r="AN15" i="6"/>
  <c r="AG18" i="6"/>
  <c r="AE7" i="6"/>
  <c r="AK17" i="6"/>
  <c r="AK7" i="6"/>
  <c r="AF19" i="6"/>
  <c r="AH10" i="6"/>
  <c r="AB19" i="6"/>
  <c r="AD10" i="6"/>
  <c r="AI19" i="6"/>
  <c r="AC5" i="6"/>
  <c r="AK19" i="6"/>
  <c r="AJ9" i="6"/>
  <c r="AD13" i="6"/>
  <c r="AK15" i="6"/>
  <c r="AD18" i="6"/>
  <c r="AM21" i="6"/>
  <c r="AI9" i="6"/>
  <c r="AA20" i="6"/>
  <c r="AC11" i="6"/>
  <c r="AM6" i="6"/>
  <c r="AN13" i="6"/>
  <c r="AI6" i="6"/>
  <c r="AJ13" i="6"/>
  <c r="AB7" i="6"/>
  <c r="AB5" i="6"/>
  <c r="AM20" i="6"/>
  <c r="AN11" i="6"/>
  <c r="AH15" i="6"/>
  <c r="AA18" i="6"/>
  <c r="AH20" i="6"/>
  <c r="AF9" i="6"/>
  <c r="AM11" i="6"/>
  <c r="AF6" i="6"/>
  <c r="AI14" i="6"/>
  <c r="AE10" i="6"/>
  <c r="AF17" i="6"/>
  <c r="AA10" i="6"/>
  <c r="AB17" i="6"/>
  <c r="AJ11" i="6"/>
  <c r="AA5" i="6"/>
  <c r="AL11" i="6"/>
  <c r="AD14" i="6"/>
  <c r="AL17" i="6"/>
  <c r="AC19" i="6"/>
  <c r="AA8" i="6"/>
  <c r="AL12" i="6"/>
  <c r="AC14" i="6"/>
  <c r="AJ8" i="6"/>
  <c r="AE20" i="6"/>
  <c r="AK13" i="6"/>
  <c r="AL20" i="6"/>
  <c r="AG13" i="6"/>
  <c r="AJ21" i="6"/>
  <c r="AB15" i="6"/>
  <c r="AB14" i="6"/>
  <c r="AH16" i="6"/>
  <c r="AD21" i="6"/>
  <c r="AJ6" i="6"/>
  <c r="AG11" i="6"/>
  <c r="AD16" i="6"/>
  <c r="AI17" i="6"/>
  <c r="AB12" i="6"/>
  <c r="AN8" i="6"/>
  <c r="AC17" i="6"/>
  <c r="AM10" i="6"/>
  <c r="AM16" i="6"/>
  <c r="AC9" i="6"/>
  <c r="AH18" i="6"/>
  <c r="AK16" i="2"/>
  <c r="AN22" i="2"/>
  <c r="AM9" i="2"/>
  <c r="AM21" i="2"/>
  <c r="AA18" i="2"/>
  <c r="AI15" i="2"/>
  <c r="AD11" i="2"/>
  <c r="AJ12" i="2"/>
  <c r="AI22" i="2"/>
  <c r="AJ11" i="2"/>
  <c r="AB18" i="2"/>
  <c r="AH11" i="2"/>
  <c r="AB6" i="2"/>
  <c r="AH10" i="2"/>
  <c r="AL8" i="2"/>
  <c r="AL7" i="2"/>
  <c r="AN9" i="2"/>
  <c r="AN17" i="2"/>
  <c r="AJ18" i="2"/>
  <c r="AI17" i="2"/>
  <c r="AH6" i="2"/>
  <c r="AI9" i="2"/>
  <c r="AH13" i="2"/>
  <c r="AD17" i="2"/>
  <c r="AE11" i="2"/>
  <c r="AC15" i="2"/>
  <c r="AC6" i="2"/>
  <c r="AJ20" i="2"/>
  <c r="AL20" i="2"/>
  <c r="AL11" i="2"/>
  <c r="AN21" i="2"/>
  <c r="AK10" i="2"/>
  <c r="AA15" i="2"/>
  <c r="AI12" i="2"/>
  <c r="AD7" i="2"/>
  <c r="AA13" i="2"/>
  <c r="AD6" i="2"/>
  <c r="AM16" i="2"/>
  <c r="AL15" i="2"/>
  <c r="AK18" i="2"/>
  <c r="AL10" i="2"/>
  <c r="AF7" i="2"/>
  <c r="AD10" i="2"/>
  <c r="AF17" i="2"/>
  <c r="AA8" i="2"/>
  <c r="AJ8" i="2"/>
  <c r="AJ17" i="2"/>
  <c r="AN12" i="2"/>
  <c r="AL19" i="2"/>
  <c r="AL14" i="2"/>
  <c r="AL22" i="2"/>
  <c r="AA22" i="2"/>
  <c r="AI7" i="2"/>
  <c r="AD15" i="2"/>
  <c r="AG18" i="2"/>
  <c r="AC16" i="2"/>
  <c r="AK9" i="2"/>
  <c r="AM11" i="2"/>
  <c r="AM10" i="2"/>
  <c r="AM18" i="2"/>
  <c r="AG16" i="2"/>
  <c r="AD20" i="2"/>
  <c r="AC17" i="2"/>
  <c r="AG11" i="2"/>
  <c r="AD19" i="2"/>
  <c r="AG13" i="2"/>
  <c r="AG6" i="2"/>
  <c r="AH20" i="2"/>
  <c r="AK17" i="2"/>
  <c r="AM19" i="2"/>
  <c r="AM22" i="2"/>
  <c r="AN10" i="2"/>
  <c r="AC9" i="2"/>
  <c r="AI10" i="2"/>
  <c r="AC18" i="2"/>
  <c r="AI19" i="2"/>
  <c r="AB12" i="2"/>
  <c r="AC13" i="2"/>
  <c r="AA14" i="2"/>
  <c r="AH16" i="2"/>
  <c r="AF20" i="2"/>
  <c r="AD14" i="2"/>
  <c r="AH12" i="2"/>
  <c r="AD16" i="2"/>
  <c r="AH22" i="2"/>
  <c r="AJ7" i="2"/>
  <c r="AB8" i="2"/>
  <c r="AJ22" i="2"/>
  <c r="AG8" i="2"/>
  <c r="AK7" i="2"/>
  <c r="AL13" i="2"/>
  <c r="AN15" i="2"/>
  <c r="AN18" i="2"/>
  <c r="AN6" i="2"/>
  <c r="AD18" i="2"/>
  <c r="AA7" i="2"/>
  <c r="AE18" i="2"/>
  <c r="AD12" i="2"/>
  <c r="AJ21" i="2"/>
  <c r="AI18" i="2"/>
  <c r="AF11" i="2"/>
  <c r="AF10" i="2"/>
  <c r="AB20" i="2"/>
  <c r="AA21" i="2"/>
  <c r="AG10" i="2"/>
  <c r="AK11" i="2"/>
  <c r="AL21" i="2"/>
  <c r="AK8" i="2"/>
  <c r="AN7" i="2"/>
  <c r="AM6" i="2"/>
  <c r="AA9" i="2"/>
  <c r="AI21" i="2"/>
  <c r="AG15" i="2"/>
  <c r="AE20" i="2"/>
  <c r="AE21" i="2"/>
  <c r="AC8" i="2"/>
  <c r="AH9" i="2"/>
  <c r="AC12" i="2"/>
  <c r="AA10" i="2"/>
  <c r="AI8" i="2"/>
  <c r="AA19" i="2"/>
  <c r="AF15" i="2"/>
  <c r="AK15" i="2"/>
  <c r="AM17" i="2"/>
  <c r="AK20" i="2"/>
  <c r="AL12" i="2"/>
  <c r="AL6" i="2"/>
  <c r="AH8" i="2"/>
  <c r="AB9" i="2"/>
  <c r="AA20" i="2"/>
  <c r="AG21" i="2"/>
  <c r="AE12" i="2"/>
  <c r="AJ19" i="2"/>
  <c r="AI20" i="2"/>
  <c r="AJ15" i="2"/>
  <c r="AF19" i="2"/>
  <c r="AF8" i="2"/>
  <c r="AA16" i="2"/>
  <c r="AE6" i="2"/>
  <c r="AG20" i="2"/>
  <c r="AA17" i="2"/>
  <c r="AG22" i="2"/>
  <c r="AI16" i="2"/>
  <c r="AH18" i="2"/>
  <c r="AJ6" i="2"/>
  <c r="AE22" i="2"/>
  <c r="AC21" i="2"/>
  <c r="AF12" i="2"/>
  <c r="AA6" i="2"/>
  <c r="AI6" i="2"/>
  <c r="AK19" i="2"/>
  <c r="AN13" i="2"/>
  <c r="AL16" i="2"/>
  <c r="AM12" i="2"/>
  <c r="AK6" i="2"/>
  <c r="AE13" i="2"/>
  <c r="AE15" i="2"/>
  <c r="AD21" i="2"/>
  <c r="AJ13" i="2"/>
  <c r="AD8" i="2"/>
  <c r="AC7" i="2"/>
  <c r="AD13" i="2"/>
  <c r="AE16" i="2"/>
  <c r="AI11" i="2"/>
  <c r="AM7" i="2"/>
  <c r="AK14" i="2"/>
  <c r="AM8" i="2"/>
  <c r="AN8" i="2"/>
  <c r="AB17" i="2"/>
  <c r="AE17" i="2"/>
  <c r="AA11" i="2"/>
  <c r="AG7" i="2"/>
  <c r="AB19" i="2"/>
  <c r="AF16" i="2"/>
  <c r="AF9" i="2"/>
  <c r="AB7" i="2"/>
  <c r="AH14" i="2"/>
  <c r="AD9" i="2"/>
  <c r="AC10" i="2"/>
  <c r="AM15" i="2"/>
  <c r="AK22" i="2"/>
  <c r="AM20" i="2"/>
  <c r="AN20" i="2"/>
  <c r="AB15" i="2"/>
  <c r="AF18" i="2"/>
  <c r="AE9" i="2"/>
  <c r="AH17" i="2"/>
  <c r="AD22" i="2"/>
  <c r="AF14" i="2"/>
  <c r="AB11" i="2"/>
  <c r="AJ16" i="2"/>
  <c r="AB21" i="2"/>
  <c r="AB22" i="2"/>
  <c r="AF6" i="2"/>
  <c r="AG14" i="2"/>
  <c r="AN11" i="2"/>
  <c r="AL18" i="2"/>
  <c r="AN16" i="2"/>
  <c r="AK21" i="2"/>
  <c r="AH21" i="2"/>
  <c r="AB10" i="2"/>
  <c r="AB13" i="2"/>
  <c r="AB16" i="2"/>
  <c r="AE14" i="2"/>
  <c r="AH19" i="2"/>
  <c r="AF22" i="2"/>
  <c r="AF13" i="2"/>
  <c r="AJ9" i="2"/>
  <c r="AA12" i="2"/>
  <c r="AN19" i="2"/>
  <c r="AM14" i="2"/>
  <c r="AK13" i="2"/>
  <c r="AL9" i="2"/>
  <c r="AE7" i="2"/>
  <c r="AB14" i="2"/>
  <c r="AI14" i="2"/>
  <c r="AG9" i="2"/>
  <c r="AC22" i="2"/>
  <c r="AE8" i="2"/>
  <c r="AC14" i="2"/>
  <c r="AC20" i="2"/>
  <c r="AJ14" i="2"/>
  <c r="AF21" i="2"/>
  <c r="AE10" i="2"/>
  <c r="AK12" i="2"/>
  <c r="AN14" i="2"/>
  <c r="AL17" i="2"/>
  <c r="AM13" i="2"/>
  <c r="AE19" i="2"/>
  <c r="AH15" i="2"/>
  <c r="AG19" i="2"/>
  <c r="AJ10" i="2"/>
  <c r="AC19" i="2"/>
  <c r="AH7" i="2"/>
  <c r="AI13" i="2"/>
  <c r="AG17" i="2"/>
  <c r="AG12" i="2"/>
  <c r="AC11" i="2"/>
  <c r="AN14" i="3"/>
  <c r="AM16" i="3"/>
  <c r="AL19" i="3"/>
  <c r="AM13" i="3"/>
  <c r="AD13" i="3"/>
  <c r="AA8" i="3"/>
  <c r="AA14" i="3"/>
  <c r="AE15" i="3"/>
  <c r="AC14" i="3"/>
  <c r="AH16" i="3"/>
  <c r="AG16" i="3"/>
  <c r="AA18" i="3"/>
  <c r="AB19" i="3"/>
  <c r="AE18" i="3"/>
  <c r="AG8" i="3"/>
  <c r="AI8" i="3"/>
  <c r="AI20" i="3"/>
  <c r="AN18" i="3"/>
  <c r="AN8" i="3"/>
  <c r="AM11" i="3"/>
  <c r="AN9" i="3"/>
  <c r="AF14" i="3"/>
  <c r="AG15" i="3"/>
  <c r="AD5" i="3"/>
  <c r="AJ7" i="3"/>
  <c r="AA21" i="3"/>
  <c r="AC17" i="3"/>
  <c r="AB15" i="3"/>
  <c r="AC13" i="3"/>
  <c r="AE17" i="3"/>
  <c r="AF5" i="3"/>
  <c r="AF17" i="3"/>
  <c r="AA19" i="3"/>
  <c r="AN7" i="3"/>
  <c r="AA10" i="3"/>
  <c r="AF9" i="3"/>
  <c r="AC19" i="3"/>
  <c r="AF13" i="3"/>
  <c r="AJ10" i="3"/>
  <c r="AI6" i="3"/>
  <c r="AE8" i="3"/>
  <c r="AH6" i="3"/>
  <c r="AH11" i="3"/>
  <c r="AC20" i="3"/>
  <c r="AB11" i="3"/>
  <c r="AG11" i="3"/>
  <c r="AF6" i="3"/>
  <c r="AC5" i="3"/>
  <c r="AJ15" i="3"/>
  <c r="AI15" i="3"/>
  <c r="AA9" i="3"/>
  <c r="AD18" i="3"/>
  <c r="AC15" i="3"/>
  <c r="AJ20" i="3"/>
  <c r="AD14" i="3"/>
  <c r="AK7" i="3"/>
  <c r="AN16" i="3"/>
  <c r="AN17" i="3"/>
  <c r="AK6" i="3"/>
  <c r="AK15" i="3"/>
  <c r="AK9" i="3"/>
  <c r="AN15" i="3"/>
  <c r="AN5" i="3"/>
  <c r="AA6" i="3"/>
  <c r="AF18" i="3"/>
  <c r="AD10" i="3"/>
  <c r="AK10" i="3"/>
  <c r="AL7" i="3"/>
  <c r="AK17" i="3"/>
  <c r="AK8" i="3"/>
  <c r="AM5" i="3"/>
  <c r="AJ18" i="3"/>
  <c r="AD19" i="3"/>
  <c r="AJ13" i="3"/>
  <c r="AJ12" i="3"/>
  <c r="AG5" i="3"/>
  <c r="AK14" i="3"/>
  <c r="AL15" i="3"/>
  <c r="AL9" i="3"/>
  <c r="AK20" i="3"/>
  <c r="AL5" i="3"/>
  <c r="AH9" i="3"/>
  <c r="AB9" i="3"/>
  <c r="AI18" i="3"/>
  <c r="AJ21" i="3"/>
  <c r="AK18" i="3"/>
  <c r="AM7" i="3"/>
  <c r="AL17" i="3"/>
  <c r="AL12" i="3"/>
  <c r="AK5" i="3"/>
  <c r="AG20" i="3"/>
  <c r="AD15" i="3"/>
  <c r="AD9" i="3"/>
  <c r="AB20" i="3"/>
  <c r="AI10" i="3"/>
  <c r="AH21" i="3"/>
  <c r="AC6" i="3"/>
  <c r="AB7" i="3"/>
  <c r="AE6" i="3"/>
  <c r="AB18" i="3"/>
  <c r="AF15" i="3"/>
  <c r="AE11" i="3"/>
  <c r="AJ17" i="3"/>
  <c r="AH5" i="3"/>
  <c r="AB14" i="3"/>
  <c r="AG12" i="3"/>
  <c r="AC16" i="3"/>
  <c r="AJ16" i="3"/>
  <c r="AF21" i="3"/>
  <c r="AD11" i="3"/>
  <c r="AB6" i="3"/>
  <c r="AJ19" i="3"/>
  <c r="AH8" i="3"/>
  <c r="AE21" i="3"/>
  <c r="AL6" i="3"/>
  <c r="AM15" i="3"/>
  <c r="AM9" i="3"/>
  <c r="AL20" i="3"/>
  <c r="AG21" i="3"/>
  <c r="AA7" i="3"/>
  <c r="AH20" i="3"/>
  <c r="AG19" i="3"/>
  <c r="AH7" i="3"/>
  <c r="AH13" i="3"/>
  <c r="AC10" i="3"/>
  <c r="AF10" i="3"/>
  <c r="AC21" i="3"/>
  <c r="AF20" i="3"/>
  <c r="AL14" i="3"/>
  <c r="AM19" i="3"/>
  <c r="AM17" i="3"/>
  <c r="AM12" i="3"/>
  <c r="AJ9" i="3"/>
  <c r="AJ14" i="3"/>
  <c r="AA11" i="3"/>
  <c r="AJ6" i="3"/>
  <c r="AA16" i="3"/>
  <c r="AB10" i="3"/>
  <c r="AI5" i="3"/>
  <c r="AA5" i="3"/>
  <c r="AA17" i="3"/>
  <c r="AD20" i="3"/>
  <c r="AD17" i="3"/>
  <c r="AI13" i="3"/>
  <c r="AE5" i="3"/>
  <c r="AH15" i="3"/>
  <c r="AB13" i="3"/>
  <c r="AI11" i="3"/>
  <c r="AN12" i="3"/>
  <c r="AC8" i="3"/>
  <c r="AE7" i="3"/>
  <c r="AB12" i="3"/>
  <c r="AD7" i="3"/>
  <c r="AF19" i="3"/>
  <c r="AI9" i="3"/>
  <c r="AD6" i="3"/>
  <c r="AH14" i="3"/>
  <c r="AI16" i="3"/>
  <c r="AE14" i="3"/>
  <c r="AC12" i="3"/>
  <c r="AL18" i="3"/>
  <c r="AN11" i="3"/>
  <c r="AM21" i="3"/>
  <c r="AM20" i="3"/>
  <c r="AA20" i="3"/>
  <c r="AE13" i="3"/>
  <c r="AI12" i="3"/>
  <c r="AA13" i="3"/>
  <c r="AB8" i="3"/>
  <c r="AE20" i="3"/>
  <c r="AF16" i="3"/>
  <c r="AH12" i="3"/>
  <c r="AD16" i="3"/>
  <c r="AF8" i="3"/>
  <c r="AG6" i="3"/>
  <c r="AD8" i="3"/>
  <c r="AM6" i="3"/>
  <c r="AN19" i="3"/>
  <c r="AN13" i="3"/>
  <c r="AM10" i="3"/>
  <c r="AK12" i="3"/>
  <c r="AN21" i="3"/>
  <c r="AN20" i="3"/>
  <c r="AD21" i="3"/>
  <c r="AG7" i="3"/>
  <c r="AM14" i="3"/>
  <c r="AK16" i="3"/>
  <c r="AL10" i="3"/>
  <c r="AK13" i="3"/>
  <c r="AH18" i="3"/>
  <c r="AJ8" i="3"/>
  <c r="AE16" i="3"/>
  <c r="AB16" i="3"/>
  <c r="AM18" i="3"/>
  <c r="AL8" i="3"/>
  <c r="AK11" i="3"/>
  <c r="AK21" i="3"/>
  <c r="AB21" i="3"/>
  <c r="AJ11" i="3"/>
  <c r="AC18" i="3"/>
  <c r="AG17" i="3"/>
  <c r="AH19" i="3"/>
  <c r="AN6" i="3"/>
  <c r="AL16" i="3"/>
  <c r="AK19" i="3"/>
  <c r="AL13" i="3"/>
  <c r="AH10" i="3"/>
  <c r="AG14" i="3"/>
  <c r="AB5" i="3"/>
  <c r="AG9" i="3"/>
  <c r="AE10" i="3"/>
  <c r="AI7" i="3"/>
  <c r="AJ5" i="3"/>
  <c r="AB17" i="3"/>
  <c r="AE19" i="3"/>
  <c r="AG13" i="3"/>
  <c r="AD12" i="3"/>
  <c r="AI21" i="3"/>
  <c r="AN10" i="3"/>
  <c r="AM8" i="3"/>
  <c r="AL11" i="3"/>
  <c r="AL21" i="3"/>
  <c r="AF11" i="3"/>
  <c r="AC9" i="3"/>
  <c r="AE12" i="3"/>
  <c r="AI19" i="3"/>
  <c r="AF12" i="3"/>
  <c r="AA15" i="3"/>
  <c r="AG18" i="3"/>
  <c r="AE9" i="3"/>
  <c r="AF7" i="3"/>
  <c r="AI17" i="3"/>
  <c r="AH17" i="3"/>
  <c r="AC7" i="3"/>
  <c r="AA12" i="3"/>
  <c r="AC11" i="3"/>
  <c r="AI14" i="3"/>
  <c r="AG10" i="3"/>
  <c r="I43" i="7"/>
  <c r="I112" i="7"/>
  <c r="I59" i="7"/>
  <c r="I82" i="7"/>
  <c r="I80" i="7"/>
  <c r="I17" i="7"/>
  <c r="I89" i="7"/>
  <c r="I55" i="7"/>
  <c r="I86" i="7"/>
  <c r="I30" i="7"/>
  <c r="I16" i="7"/>
  <c r="I40" i="7"/>
  <c r="I19" i="7"/>
  <c r="I91" i="7"/>
  <c r="I115" i="7"/>
  <c r="I76" i="7"/>
  <c r="I98" i="7"/>
  <c r="I85" i="7"/>
  <c r="I99" i="7"/>
  <c r="I35" i="7"/>
  <c r="I42" i="7"/>
  <c r="I34" i="7"/>
  <c r="I93" i="7"/>
  <c r="I73" i="7"/>
  <c r="I116" i="7"/>
  <c r="I75" i="7"/>
  <c r="I56" i="7"/>
  <c r="I123" i="7"/>
  <c r="I108" i="7"/>
  <c r="I111" i="7"/>
  <c r="I120" i="7"/>
  <c r="I81" i="7"/>
  <c r="I121" i="7"/>
  <c r="I97" i="7"/>
  <c r="I38" i="7"/>
  <c r="I78" i="7"/>
  <c r="I32" i="7"/>
  <c r="I39" i="7"/>
  <c r="I119" i="7"/>
  <c r="I124" i="7"/>
  <c r="I128" i="7"/>
  <c r="I77" i="7"/>
  <c r="I92" i="7"/>
  <c r="I44" i="7"/>
  <c r="I74" i="7"/>
  <c r="I94" i="7"/>
  <c r="I129" i="7"/>
  <c r="I118" i="7"/>
  <c r="I14" i="7"/>
  <c r="I113" i="7"/>
  <c r="I100" i="7"/>
  <c r="I72" i="7"/>
  <c r="I41" i="7"/>
  <c r="I15" i="7"/>
  <c r="I117" i="7"/>
  <c r="I79" i="7"/>
  <c r="I58" i="7"/>
  <c r="I45" i="7"/>
  <c r="I18" i="7"/>
  <c r="I61" i="7"/>
  <c r="I122" i="7"/>
  <c r="I107" i="7"/>
  <c r="I96" i="7"/>
  <c r="I57" i="7"/>
  <c r="I127" i="7"/>
  <c r="I109" i="7"/>
  <c r="I36" i="7"/>
  <c r="I21" i="7"/>
  <c r="I20" i="7"/>
  <c r="I88" i="7"/>
  <c r="I83" i="7"/>
  <c r="I62" i="7"/>
  <c r="I33" i="7"/>
  <c r="I12" i="7"/>
  <c r="I87" i="7"/>
  <c r="I37" i="7"/>
  <c r="I84" i="7"/>
  <c r="I95" i="7"/>
  <c r="I13" i="7"/>
  <c r="H12" i="7" l="1"/>
  <c r="H20" i="7"/>
  <c r="H18" i="7"/>
  <c r="H17" i="7"/>
  <c r="H15" i="7"/>
  <c r="H14" i="7"/>
  <c r="H21" i="7"/>
  <c r="H19" i="7"/>
  <c r="H16" i="7"/>
  <c r="H13" i="7"/>
  <c r="H109" i="7"/>
  <c r="H108" i="7"/>
  <c r="H129" i="7"/>
  <c r="H121" i="7"/>
  <c r="H113" i="7"/>
  <c r="H118" i="7"/>
  <c r="H124" i="7"/>
  <c r="H123" i="7"/>
  <c r="H128" i="7"/>
  <c r="H120" i="7"/>
  <c r="H112" i="7"/>
  <c r="H117" i="7"/>
  <c r="H116" i="7"/>
  <c r="H122" i="7"/>
  <c r="H127" i="7"/>
  <c r="H119" i="7"/>
  <c r="H111" i="7"/>
  <c r="H107" i="7"/>
  <c r="H115" i="7"/>
  <c r="H86" i="7"/>
  <c r="H85" i="7"/>
  <c r="H82" i="7"/>
  <c r="H94" i="7"/>
  <c r="H93" i="7"/>
  <c r="H84" i="7"/>
  <c r="H83" i="7"/>
  <c r="H81" i="7"/>
  <c r="H80" i="7"/>
  <c r="H95" i="7"/>
  <c r="H87" i="7"/>
  <c r="H79" i="7"/>
  <c r="H78" i="7"/>
  <c r="H77" i="7"/>
  <c r="H100" i="7"/>
  <c r="H92" i="7"/>
  <c r="H76" i="7"/>
  <c r="H99" i="7"/>
  <c r="H91" i="7"/>
  <c r="H75" i="7"/>
  <c r="H98" i="7"/>
  <c r="H74" i="7"/>
  <c r="H97" i="7"/>
  <c r="H89" i="7"/>
  <c r="H73" i="7"/>
  <c r="H96" i="7"/>
  <c r="H88" i="7"/>
  <c r="H72" i="7"/>
  <c r="H61" i="7"/>
  <c r="H59" i="7"/>
  <c r="H57" i="7"/>
  <c r="H56" i="7"/>
  <c r="H62" i="7"/>
  <c r="H58" i="7"/>
  <c r="H55" i="7"/>
  <c r="H45" i="7"/>
  <c r="H43" i="7"/>
  <c r="H41" i="7"/>
  <c r="H39" i="7"/>
  <c r="H37" i="7"/>
  <c r="H35" i="7"/>
  <c r="H33" i="7"/>
  <c r="H32" i="7"/>
  <c r="H44" i="7"/>
  <c r="H42" i="7"/>
  <c r="H40" i="7"/>
  <c r="H38" i="7"/>
  <c r="H36" i="7"/>
  <c r="H34" i="7"/>
  <c r="H30" i="7"/>
  <c r="I125" i="7"/>
  <c r="I126" i="7"/>
  <c r="I114" i="7"/>
  <c r="I106" i="7"/>
  <c r="I90" i="7"/>
  <c r="I60" i="7"/>
  <c r="I31" i="7"/>
  <c r="I110" i="7"/>
  <c r="H110" i="7" l="1"/>
  <c r="H31" i="7"/>
  <c r="H60" i="7"/>
  <c r="H90" i="7"/>
  <c r="H106" i="7"/>
  <c r="H114" i="7"/>
  <c r="H126" i="7"/>
  <c r="H125" i="7"/>
</calcChain>
</file>

<file path=xl/sharedStrings.xml><?xml version="1.0" encoding="utf-8"?>
<sst xmlns="http://schemas.openxmlformats.org/spreadsheetml/2006/main" count="766" uniqueCount="320">
  <si>
    <t>REPORT n4</t>
  </si>
  <si>
    <t>PART 1</t>
  </si>
  <si>
    <t>(theoretical)</t>
  </si>
  <si>
    <t>0)</t>
  </si>
  <si>
    <t>Set K=100; r=1%; vol=20%</t>
  </si>
  <si>
    <t>1)</t>
  </si>
  <si>
    <t>Provide a VBA script that computes the Greeks for a B&amp;S model for S=60,65,70,..,130, 135, 140 and time to maturity tau=0.1,0.2,…,1, 2, 3, 4, 5 years</t>
  </si>
  <si>
    <t>2)</t>
  </si>
  <si>
    <t>Same as in 1 with a shock of the volatility of +-50%</t>
  </si>
  <si>
    <t>3)</t>
  </si>
  <si>
    <t>Display in a 3D graph the corresponding surfaces for all greeks</t>
  </si>
  <si>
    <t>PART 2</t>
  </si>
  <si>
    <t>(empirical)</t>
  </si>
  <si>
    <t xml:space="preserve">1) </t>
  </si>
  <si>
    <t>choose in Yahoo an asset which does not pay dividends and on which there is a book of European options</t>
  </si>
  <si>
    <t xml:space="preserve">2) </t>
  </si>
  <si>
    <t>visualize in a 3D picture the implied volatility surface (as a function of the strikes and time to maturities) using the Call prices</t>
  </si>
  <si>
    <t xml:space="preserve">3) </t>
  </si>
  <si>
    <t>check the presence of the implied volatility smile/skew</t>
  </si>
  <si>
    <t xml:space="preserve">4) </t>
  </si>
  <si>
    <t>check the smoothness of the Greeks as time to maturity increases</t>
  </si>
  <si>
    <t>DEADLINE  April 8</t>
  </si>
  <si>
    <t>Function OptionDelta(OptionType, S, X, T, r, v, d)</t>
  </si>
  <si>
    <t>option type</t>
  </si>
  <si>
    <t>asset price</t>
  </si>
  <si>
    <t>strike price</t>
  </si>
  <si>
    <t>time to maturity</t>
  </si>
  <si>
    <t>volatility</t>
  </si>
  <si>
    <t>risk free rate</t>
  </si>
  <si>
    <t>dividend rate</t>
  </si>
  <si>
    <t>C</t>
  </si>
  <si>
    <t>Maturity</t>
  </si>
  <si>
    <t>Function Gamma(S, X, T, r, v, d)</t>
  </si>
  <si>
    <t>PART 3</t>
  </si>
  <si>
    <t>Choose the same asset of Part 2 and estimate the historical volatility</t>
  </si>
  <si>
    <t>Price with the BS formula the ATM Call options for the maturities you chosed in Part 2 and compare the prices with the ones you got in part 2</t>
  </si>
  <si>
    <t>(use the interest rate in the US or EUR market according to files provided)</t>
  </si>
  <si>
    <t>(optional) visualise the difference between the quoted ATM implied volatility and the historical volatility</t>
  </si>
  <si>
    <t>Part 1 2 and 3 should be unified in the same PDF file</t>
  </si>
  <si>
    <t>Function OptionRho(OptionType, S, X, T, r, v, d)</t>
  </si>
  <si>
    <t>Function OptionVega(S, X, T, r, v, d)</t>
  </si>
  <si>
    <t>Function OptionTheta(OptionType, S, X, T, r, v, d)</t>
  </si>
  <si>
    <t>Strike</t>
  </si>
  <si>
    <t>Last Price</t>
  </si>
  <si>
    <t>Bid</t>
  </si>
  <si>
    <t>Ask</t>
  </si>
  <si>
    <t>% Change</t>
  </si>
  <si>
    <t>Volume</t>
  </si>
  <si>
    <t>Open Interest</t>
  </si>
  <si>
    <t>Implied Volatility</t>
  </si>
  <si>
    <t>-</t>
  </si>
  <si>
    <t>CallsforMay 6, 2022</t>
  </si>
  <si>
    <t>CallsforAugust 19, 2022</t>
  </si>
  <si>
    <t>CallsforNovember 18, 2022</t>
  </si>
  <si>
    <t>Function ImpliedVolatility(CallOrPut, S, K, r, T, q, OptionValue, guess)</t>
  </si>
  <si>
    <t>S is the asset price</t>
  </si>
  <si>
    <t>CallOrPut is either “Call” or “Put”</t>
  </si>
  <si>
    <t>K is the strike price</t>
  </si>
  <si>
    <t>r is the risk-free rate</t>
  </si>
  <si>
    <t>q is the dividend yield</t>
  </si>
  <si>
    <t>v is the volatility</t>
  </si>
  <si>
    <t>callorput</t>
  </si>
  <si>
    <t>s</t>
  </si>
  <si>
    <t>Edwards Lifesciences Corporation (EW)</t>
  </si>
  <si>
    <t>calculated implied volatility</t>
  </si>
  <si>
    <t>r</t>
  </si>
  <si>
    <t>T</t>
  </si>
  <si>
    <t>mid price</t>
  </si>
  <si>
    <t>guess</t>
  </si>
  <si>
    <t>q</t>
  </si>
  <si>
    <t>call</t>
  </si>
  <si>
    <t>percent</t>
  </si>
  <si>
    <t>CallsforJanuary 20, 2023</t>
  </si>
  <si>
    <t>CallsforJanuary 19, 2024</t>
  </si>
  <si>
    <t>Date</t>
  </si>
  <si>
    <t>Open</t>
  </si>
  <si>
    <t>High</t>
  </si>
  <si>
    <t>Low</t>
  </si>
  <si>
    <t>Close</t>
  </si>
  <si>
    <t>Adj Close</t>
  </si>
  <si>
    <t>daily return</t>
  </si>
  <si>
    <t>daily volatility</t>
  </si>
  <si>
    <t>annual volatility</t>
  </si>
  <si>
    <t>c</t>
  </si>
  <si>
    <t>data for analysis</t>
  </si>
  <si>
    <t>S</t>
  </si>
  <si>
    <t>calculated Black-Scholes price</t>
  </si>
  <si>
    <t>d</t>
  </si>
  <si>
    <t>Function BSCall(Stock As Double, Exercise As Double, Rate As Double, Sigma As Double, Time As Double)</t>
  </si>
  <si>
    <t>implied volatility</t>
  </si>
  <si>
    <t>Report n.4</t>
  </si>
  <si>
    <t>Part 1 (Theoretical)</t>
  </si>
  <si>
    <t>K</t>
  </si>
  <si>
    <t>V</t>
  </si>
  <si>
    <t>Parameters</t>
  </si>
  <si>
    <t>Value</t>
  </si>
  <si>
    <t>Gamma</t>
  </si>
  <si>
    <t>Delta</t>
  </si>
  <si>
    <t>Theta</t>
  </si>
  <si>
    <t>Rho</t>
  </si>
  <si>
    <t>Vega</t>
  </si>
  <si>
    <t>calculated vol</t>
  </si>
  <si>
    <t>Part 2 (Emperical)</t>
  </si>
  <si>
    <t>AAPL220513C00150000</t>
  </si>
  <si>
    <t>2022-04-08 2:10PM EDT</t>
  </si>
  <si>
    <t>AAPL220513C00155000</t>
  </si>
  <si>
    <t>2022-04-08 11:42AM EDT</t>
  </si>
  <si>
    <t>AAPL220513C00160000</t>
  </si>
  <si>
    <t>2022-04-08 2:16PM EDT</t>
  </si>
  <si>
    <t>AAPL220513C00165000</t>
  </si>
  <si>
    <t>2022-04-08 11:29AM EDT</t>
  </si>
  <si>
    <t>AAPL220513C00170000</t>
  </si>
  <si>
    <t>2022-04-08 2:40PM EDT</t>
  </si>
  <si>
    <t>AAPL220513C00175000</t>
  </si>
  <si>
    <t>2022-04-08 2:44PM EDT</t>
  </si>
  <si>
    <t>AAPL220513C00180000</t>
  </si>
  <si>
    <t>2022-04-08 2:41PM EDT</t>
  </si>
  <si>
    <t>AAPL220513C00185000</t>
  </si>
  <si>
    <t>2022-04-08 2:42PM EDT</t>
  </si>
  <si>
    <t>AAPL220513C00190000</t>
  </si>
  <si>
    <t>2022-04-08 2:23PM EDT</t>
  </si>
  <si>
    <t>AAPL220513C00195000</t>
  </si>
  <si>
    <t>2022-04-08 1:11PM EDT</t>
  </si>
  <si>
    <t>AAPL220513C00200000</t>
  </si>
  <si>
    <t>2022-04-08 1:18PM EDT</t>
  </si>
  <si>
    <t>AAPL220617C00150000</t>
  </si>
  <si>
    <t>2022-04-08 1:07PM EDT</t>
  </si>
  <si>
    <t>AAPL220617C00155000</t>
  </si>
  <si>
    <t>2022-04-08 12:38PM EDT</t>
  </si>
  <si>
    <t>AAPL220617C00160000</t>
  </si>
  <si>
    <t>2022-04-08 2:34PM EDT</t>
  </si>
  <si>
    <t>AAPL220617C00165000</t>
  </si>
  <si>
    <t>2022-04-08 2:37PM EDT</t>
  </si>
  <si>
    <t>AAPL220617C00170000</t>
  </si>
  <si>
    <t>AAPL220617C00175000</t>
  </si>
  <si>
    <t>2022-04-08 2:43PM EDT</t>
  </si>
  <si>
    <t>AAPL220617C00180000</t>
  </si>
  <si>
    <t>AAPL220617C00185000</t>
  </si>
  <si>
    <t>2022-04-08 2:45PM EDT</t>
  </si>
  <si>
    <t>AAPL220617C00190000</t>
  </si>
  <si>
    <t>AAPL220617C00195000</t>
  </si>
  <si>
    <t>2022-04-08 2:46PM EDT</t>
  </si>
  <si>
    <t>AAPL220617C00200000</t>
  </si>
  <si>
    <t>AAPL220715C00150000</t>
  </si>
  <si>
    <t>2022-04-08 1:05PM EDT</t>
  </si>
  <si>
    <t>AAPL220715C00155000</t>
  </si>
  <si>
    <t>2022-04-08 2:48PM EDT</t>
  </si>
  <si>
    <t>AAPL220715C00160000</t>
  </si>
  <si>
    <t>2022-04-08 2:32PM EDT</t>
  </si>
  <si>
    <t>AAPL220715C00165000</t>
  </si>
  <si>
    <t>AAPL220715C00170000</t>
  </si>
  <si>
    <t>AAPL220715C00175000</t>
  </si>
  <si>
    <t>2022-04-08 2:38PM EDT</t>
  </si>
  <si>
    <t>AAPL220715C00180000</t>
  </si>
  <si>
    <t>AAPL220715C00185000</t>
  </si>
  <si>
    <t>2022-04-08 2:31PM EDT</t>
  </si>
  <si>
    <t>AAPL220715C00190000</t>
  </si>
  <si>
    <t>2022-04-08 2:28PM EDT</t>
  </si>
  <si>
    <t>AAPL220715C00195000</t>
  </si>
  <si>
    <t>AAPL220715C00200000</t>
  </si>
  <si>
    <t>AAPL220819C00150000</t>
  </si>
  <si>
    <t>2022-04-08 12:48PM EDT</t>
  </si>
  <si>
    <t>AAPL220819C00155000</t>
  </si>
  <si>
    <t>2022-04-08 12:04PM EDT</t>
  </si>
  <si>
    <t>AAPL220819C00160000</t>
  </si>
  <si>
    <t>2022-04-08 2:06PM EDT</t>
  </si>
  <si>
    <t>AAPL220819C00165000</t>
  </si>
  <si>
    <t>2022-04-08 2:27PM EDT</t>
  </si>
  <si>
    <t>AAPL220819C00170000</t>
  </si>
  <si>
    <t>AAPL220819C00175000</t>
  </si>
  <si>
    <t>AAPL220819C00180000</t>
  </si>
  <si>
    <t>2022-04-08 2:29PM EDT</t>
  </si>
  <si>
    <t>AAPL220819C00185000</t>
  </si>
  <si>
    <t>2022-04-08 2:35PM EDT</t>
  </si>
  <si>
    <t>AAPL220819C00190000</t>
  </si>
  <si>
    <t>AAPL220819C00195000</t>
  </si>
  <si>
    <t>AAPL220819C00200000</t>
  </si>
  <si>
    <t>2022-04-08 12:54PM EDT</t>
  </si>
  <si>
    <t>AAPL220916C00150000</t>
  </si>
  <si>
    <t>2022-04-08 3:03PM EDT</t>
  </si>
  <si>
    <t>AAPL220916C00155000</t>
  </si>
  <si>
    <t>2022-04-07 2:59PM EDT</t>
  </si>
  <si>
    <t>AAPL220916C00160000</t>
  </si>
  <si>
    <t>AAPL220916C00165000</t>
  </si>
  <si>
    <t>2022-04-08 2:59PM EDT</t>
  </si>
  <si>
    <t>AAPL220916C00170000</t>
  </si>
  <si>
    <t>2022-04-08 3:06PM EDT</t>
  </si>
  <si>
    <t>AAPL220916C00175000</t>
  </si>
  <si>
    <t>2022-04-08 3:12PM EDT</t>
  </si>
  <si>
    <t>AAPL220916C00180000</t>
  </si>
  <si>
    <t>2022-04-08 3:17PM EDT</t>
  </si>
  <si>
    <t>AAPL220916C00185000</t>
  </si>
  <si>
    <t>2022-04-08 3:04PM EDT</t>
  </si>
  <si>
    <t>AAPL220916C00190000</t>
  </si>
  <si>
    <t>2022-04-08 2:53PM EDT</t>
  </si>
  <si>
    <t>AAPL220916C00195000</t>
  </si>
  <si>
    <t>2022-04-08 3:09PM EDT</t>
  </si>
  <si>
    <t>AAPL220916C00200000</t>
  </si>
  <si>
    <t>AAPL221021C00150000</t>
  </si>
  <si>
    <t>AAPL221021C00155000</t>
  </si>
  <si>
    <t>2022-04-08 11:02AM EDT</t>
  </si>
  <si>
    <t>AAPL221021C00160000</t>
  </si>
  <si>
    <t>2022-04-08 11:59AM EDT</t>
  </si>
  <si>
    <t>AAPL221021C00165000</t>
  </si>
  <si>
    <t>AAPL221021C00170000</t>
  </si>
  <si>
    <t>2022-04-08 2:54PM EDT</t>
  </si>
  <si>
    <t>AAPL221021C00175000</t>
  </si>
  <si>
    <t>2022-04-08 2:51PM EDT</t>
  </si>
  <si>
    <t>AAPL221021C00180000</t>
  </si>
  <si>
    <t>2022-04-08 3:15PM EDT</t>
  </si>
  <si>
    <t>AAPL221021C00185000</t>
  </si>
  <si>
    <t>AAPL221021C00190000</t>
  </si>
  <si>
    <t>2022-04-08 3:14PM EDT</t>
  </si>
  <si>
    <t>AAPL221021C00195000</t>
  </si>
  <si>
    <t>2022-04-08 2:02PM EDT</t>
  </si>
  <si>
    <t>AAPL221021C00200000</t>
  </si>
  <si>
    <t>2022-04-08 2:47PM EDT</t>
  </si>
  <si>
    <t>AAPL221118C00150000</t>
  </si>
  <si>
    <t>2022-04-08 2:25PM EDT</t>
  </si>
  <si>
    <t>AAPL221118C00155000</t>
  </si>
  <si>
    <t>2022-04-08 10:59AM EDT</t>
  </si>
  <si>
    <t>AAPL221118C00160000</t>
  </si>
  <si>
    <t>2022-04-08 3:18PM EDT</t>
  </si>
  <si>
    <t>AAPL221118C00165000</t>
  </si>
  <si>
    <t>2022-04-08 2:12PM EDT</t>
  </si>
  <si>
    <t>AAPL221118C00170000</t>
  </si>
  <si>
    <t>AAPL221118C00175000</t>
  </si>
  <si>
    <t>AAPL221118C00180000</t>
  </si>
  <si>
    <t>2022-04-08 2:18PM EDT</t>
  </si>
  <si>
    <t>AAPL221118C00185000</t>
  </si>
  <si>
    <t>AAPL221118C00190000</t>
  </si>
  <si>
    <t>2022-04-08 1:55PM EDT</t>
  </si>
  <si>
    <t>AAPL221118C00195000</t>
  </si>
  <si>
    <t>2022-04-08 1:58PM EDT</t>
  </si>
  <si>
    <t>AAPL221118C00200000</t>
  </si>
  <si>
    <t>AAPL230120C00150000</t>
  </si>
  <si>
    <t>2022-04-08 2:30PM EDT</t>
  </si>
  <si>
    <t>AAPL230120C00155000</t>
  </si>
  <si>
    <t>AAPL230120C00160000</t>
  </si>
  <si>
    <t>AAPL230120C00165000</t>
  </si>
  <si>
    <t>AAPL230120C00170000</t>
  </si>
  <si>
    <t>AAPL230120C00175000</t>
  </si>
  <si>
    <t>AAPL230120C00180000</t>
  </si>
  <si>
    <t>AAPL230120C00185000</t>
  </si>
  <si>
    <t>AAPL230120C00190000</t>
  </si>
  <si>
    <t>2022-04-08 3:05PM EDT</t>
  </si>
  <si>
    <t>AAPL230120C00195000</t>
  </si>
  <si>
    <t>AAPL230120C00200000</t>
  </si>
  <si>
    <t>2022-04-08 3:16PM EDT</t>
  </si>
  <si>
    <t>AAPL230317C00150000</t>
  </si>
  <si>
    <t>AAPL230317C00155000</t>
  </si>
  <si>
    <t>2022-04-08 3:21PM EDT</t>
  </si>
  <si>
    <t>AAPL230317C00160000</t>
  </si>
  <si>
    <t>2022-04-08 2:09PM EDT</t>
  </si>
  <si>
    <t>AAPL230317C00165000</t>
  </si>
  <si>
    <t>AAPL230317C00170000</t>
  </si>
  <si>
    <t>AAPL230317C00175000</t>
  </si>
  <si>
    <t>2022-04-08 1:54PM EDT</t>
  </si>
  <si>
    <t>AAPL230317C00180000</t>
  </si>
  <si>
    <t>2022-04-08 3:02PM EDT</t>
  </si>
  <si>
    <t>AAPL230317C00185000</t>
  </si>
  <si>
    <t>2022-04-08 3:10PM EDT</t>
  </si>
  <si>
    <t>AAPL230317C00190000</t>
  </si>
  <si>
    <t>2022-04-08 1:49PM EDT</t>
  </si>
  <si>
    <t>AAPL230317C00195000</t>
  </si>
  <si>
    <t>AAPL230317C00200000</t>
  </si>
  <si>
    <t>2022-04-08 11:26AM EDT</t>
  </si>
  <si>
    <t>AAPL230616C00150000</t>
  </si>
  <si>
    <t>2022-04-08 1:40PM EDT</t>
  </si>
  <si>
    <t>AAPL230616C00155000</t>
  </si>
  <si>
    <t>2022-04-08 2:49PM EDT</t>
  </si>
  <si>
    <t>AAPL230616C00160000</t>
  </si>
  <si>
    <t>2022-04-08 1:36PM EDT</t>
  </si>
  <si>
    <t>AAPL230616C00165000</t>
  </si>
  <si>
    <t>AAPL230616C00170000</t>
  </si>
  <si>
    <t>AAPL230616C00175000</t>
  </si>
  <si>
    <t>AAPL230616C00180000</t>
  </si>
  <si>
    <t>2022-04-08 3:13PM EDT</t>
  </si>
  <si>
    <t>AAPL230616C00185000</t>
  </si>
  <si>
    <t>AAPL230616C00190000</t>
  </si>
  <si>
    <t>AAPL230616C00195000</t>
  </si>
  <si>
    <t>2022-04-08 3:11PM EDT</t>
  </si>
  <si>
    <t>AAPL230616C00200000</t>
  </si>
  <si>
    <t>2022-04-08 1:34PM EDT</t>
  </si>
  <si>
    <t>AAPL240119C00150000</t>
  </si>
  <si>
    <t>2022-04-08 10:28AM EDT</t>
  </si>
  <si>
    <t>AAPL240119C00155000</t>
  </si>
  <si>
    <t>AAPL240119C00160000</t>
  </si>
  <si>
    <t>2022-04-08 12:07PM EDT</t>
  </si>
  <si>
    <t>AAPL240119C00165000</t>
  </si>
  <si>
    <t>2022-04-08 2:05PM EDT</t>
  </si>
  <si>
    <t>AAPL240119C00170000</t>
  </si>
  <si>
    <t>AAPL240119C00175000</t>
  </si>
  <si>
    <t>AAPL240119C00180000</t>
  </si>
  <si>
    <t>AAPL240119C00185000</t>
  </si>
  <si>
    <t>2022-04-08 9:57AM EDT</t>
  </si>
  <si>
    <t>AAPL240119C00190000</t>
  </si>
  <si>
    <t>AAPL240119C00195000</t>
  </si>
  <si>
    <t>2022-04-08 3:00PM EDT</t>
  </si>
  <si>
    <t>AAPL240119C00200000</t>
  </si>
  <si>
    <t>2022-04-08 3:22PM EDT</t>
  </si>
  <si>
    <t>vega</t>
  </si>
  <si>
    <t>rho</t>
  </si>
  <si>
    <t>theta</t>
  </si>
  <si>
    <t>gamma</t>
  </si>
  <si>
    <t>delta</t>
  </si>
  <si>
    <t>stdv</t>
  </si>
  <si>
    <t>annual</t>
  </si>
  <si>
    <t>Contract Name</t>
  </si>
  <si>
    <t>Last Trade Date</t>
  </si>
  <si>
    <t>Change</t>
  </si>
  <si>
    <t>BS call</t>
  </si>
  <si>
    <t xml:space="preserve">mid </t>
  </si>
  <si>
    <t>Part 3 (Emperical)</t>
  </si>
  <si>
    <t xml:space="preserve">Target </t>
  </si>
  <si>
    <t>Apple Inc. (AAPL)</t>
  </si>
  <si>
    <t>Price</t>
  </si>
  <si>
    <t>In the above 3D plot the smile can be seen for different maturity. As we going far from the asset price, smile is more visible to us.</t>
  </si>
  <si>
    <t>Mojtaba Amini</t>
  </si>
  <si>
    <t>Report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</si>
</sst>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8"/>
      <color rgb="FF232A31"/>
      <name val="Arial"/>
      <family val="2"/>
    </font>
    <font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5">
    <xf numFmtId="0" fontId="0" fillId="0" borderId="0" xfId="0"/>
    <xf numFmtId="10" fontId="0" fillId="0" borderId="0" xfId="0" applyNumberFormat="1"/>
    <xf numFmtId="3" fontId="0" fillId="0" borderId="0" xfId="0" applyNumberFormat="1"/>
    <xf numFmtId="14" fontId="0" fillId="0" borderId="0" xfId="0" applyNumberFormat="1"/>
    <xf numFmtId="2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5" fontId="0" fillId="0" borderId="0" xfId="0" applyNumberFormat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9" fontId="0" fillId="0" borderId="12" xfId="0" applyNumberFormat="1" applyBorder="1"/>
    <xf numFmtId="0" fontId="0" fillId="0" borderId="0" xfId="0" applyBorder="1"/>
    <xf numFmtId="9" fontId="0" fillId="0" borderId="14" xfId="0" applyNumberFormat="1" applyBorder="1"/>
    <xf numFmtId="0" fontId="0" fillId="0" borderId="0" xfId="0" applyNumberFormat="1"/>
    <xf numFmtId="0" fontId="0" fillId="0" borderId="0" xfId="0" applyAlignment="1">
      <alignment horizontal="center" wrapText="1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15" fontId="3" fillId="0" borderId="0" xfId="0" applyNumberFormat="1" applyFont="1"/>
    <xf numFmtId="0" fontId="0" fillId="0" borderId="0" xfId="0" applyAlignment="1">
      <alignment wrapText="1"/>
    </xf>
    <xf numFmtId="0" fontId="0" fillId="0" borderId="0" xfId="0" applyBorder="1" applyAlignment="1">
      <alignment wrapText="1"/>
    </xf>
    <xf numFmtId="0" fontId="0" fillId="0" borderId="0" xfId="0" applyBorder="1" applyAlignment="1">
      <alignment vertical="center" wrapText="1"/>
    </xf>
    <xf numFmtId="0" fontId="0" fillId="0" borderId="9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6" xfId="0" applyBorder="1"/>
    <xf numFmtId="0" fontId="0" fillId="0" borderId="13" xfId="0" applyBorder="1" applyAlignment="1">
      <alignment horizontal="center"/>
    </xf>
    <xf numFmtId="0" fontId="0" fillId="0" borderId="17" xfId="0" applyBorder="1" applyAlignment="1">
      <alignment horizontal="center"/>
    </xf>
    <xf numFmtId="14" fontId="0" fillId="0" borderId="17" xfId="0" applyNumberFormat="1" applyBorder="1"/>
    <xf numFmtId="0" fontId="0" fillId="0" borderId="14" xfId="0" applyBorder="1"/>
    <xf numFmtId="0" fontId="4" fillId="0" borderId="1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4" fillId="0" borderId="0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0" fillId="2" borderId="15" xfId="0" applyFill="1" applyBorder="1"/>
    <xf numFmtId="0" fontId="0" fillId="2" borderId="15" xfId="0" applyFill="1" applyBorder="1" applyAlignment="1">
      <alignment horizontal="center"/>
    </xf>
    <xf numFmtId="0" fontId="0" fillId="3" borderId="15" xfId="0" applyFill="1" applyBorder="1"/>
    <xf numFmtId="0" fontId="0" fillId="3" borderId="15" xfId="0" applyFill="1" applyBorder="1" applyAlignment="1">
      <alignment horizontal="center"/>
    </xf>
    <xf numFmtId="0" fontId="0" fillId="4" borderId="9" xfId="0" applyFill="1" applyBorder="1" applyAlignment="1">
      <alignment horizontal="center" vertical="center"/>
    </xf>
    <xf numFmtId="0" fontId="0" fillId="4" borderId="16" xfId="0" applyFill="1" applyBorder="1" applyAlignment="1">
      <alignment horizontal="center" vertical="center"/>
    </xf>
    <xf numFmtId="0" fontId="0" fillId="4" borderId="16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2" borderId="11" xfId="0" applyFill="1" applyBorder="1"/>
    <xf numFmtId="0" fontId="0" fillId="2" borderId="12" xfId="0" applyFill="1" applyBorder="1"/>
    <xf numFmtId="0" fontId="0" fillId="3" borderId="11" xfId="0" applyFill="1" applyBorder="1"/>
    <xf numFmtId="0" fontId="0" fillId="3" borderId="12" xfId="0" applyFill="1" applyBorder="1"/>
    <xf numFmtId="0" fontId="0" fillId="3" borderId="13" xfId="0" applyFill="1" applyBorder="1"/>
    <xf numFmtId="0" fontId="0" fillId="3" borderId="17" xfId="0" applyFill="1" applyBorder="1"/>
    <xf numFmtId="0" fontId="0" fillId="3" borderId="17" xfId="0" applyFill="1" applyBorder="1" applyAlignment="1">
      <alignment horizontal="center"/>
    </xf>
    <xf numFmtId="0" fontId="0" fillId="3" borderId="14" xfId="0" applyFill="1" applyBorder="1"/>
    <xf numFmtId="0" fontId="0" fillId="5" borderId="9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Gamma ( Volatility = 0.1)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0"/>
      <c:rotY val="20"/>
      <c:depthPercent val="250"/>
      <c:rAngAx val="0"/>
      <c:perspective val="2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v>0.1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first_part_gamma!$Y$32:$Y$48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first_part_gamma!$AA$32:$AA$48</c:f>
              <c:numCache>
                <c:formatCode>General</c:formatCode>
                <c:ptCount val="17"/>
                <c:pt idx="0">
                  <c:v>9.8181668070309793E-58</c:v>
                </c:pt>
                <c:pt idx="1">
                  <c:v>1.867554133449226E-41</c:v>
                </c:pt>
                <c:pt idx="2">
                  <c:v>7.2920970083606921E-29</c:v>
                </c:pt>
                <c:pt idx="3">
                  <c:v>2.7634460319906583E-19</c:v>
                </c:pt>
                <c:pt idx="4">
                  <c:v>3.3905822708430664E-12</c:v>
                </c:pt>
                <c:pt idx="5">
                  <c:v>3.4793158250122268E-7</c:v>
                </c:pt>
                <c:pt idx="6">
                  <c:v>6.3723381042931433E-4</c:v>
                </c:pt>
                <c:pt idx="7">
                  <c:v>3.8441261874572009E-2</c:v>
                </c:pt>
                <c:pt idx="8">
                  <c:v>0.12601477970020517</c:v>
                </c:pt>
                <c:pt idx="9">
                  <c:v>3.3926069444668298E-2</c:v>
                </c:pt>
                <c:pt idx="10">
                  <c:v>1.0577125055269182E-3</c:v>
                </c:pt>
                <c:pt idx="11">
                  <c:v>5.0939285700327113E-6</c:v>
                </c:pt>
                <c:pt idx="12">
                  <c:v>4.8333065983836828E-9</c:v>
                </c:pt>
                <c:pt idx="13">
                  <c:v>1.1110259985098475E-12</c:v>
                </c:pt>
                <c:pt idx="14">
                  <c:v>7.382971539826821E-17</c:v>
                </c:pt>
                <c:pt idx="15">
                  <c:v>1.6508431991277696E-21</c:v>
                </c:pt>
                <c:pt idx="16">
                  <c:v>1.4160803501951785E-26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8A-4224-A582-72986DC11C94}"/>
            </c:ext>
          </c:extLst>
        </c:ser>
        <c:ser>
          <c:idx val="1"/>
          <c:order val="1"/>
          <c:tx>
            <c:v>0.2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first_part_gamma!$Y$32:$Y$48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first_part_gamma!$AB$32:$AB$48</c:f>
              <c:numCache>
                <c:formatCode>General</c:formatCode>
                <c:ptCount val="17"/>
                <c:pt idx="0">
                  <c:v>1.4877614568192042E-29</c:v>
                </c:pt>
                <c:pt idx="1">
                  <c:v>1.8565304082520428E-21</c:v>
                </c:pt>
                <c:pt idx="2">
                  <c:v>3.3439581371571196E-15</c:v>
                </c:pt>
                <c:pt idx="3">
                  <c:v>1.8884525527510619E-10</c:v>
                </c:pt>
                <c:pt idx="4">
                  <c:v>6.1021351588952594E-7</c:v>
                </c:pt>
                <c:pt idx="5">
                  <c:v>1.8120927891742718E-4</c:v>
                </c:pt>
                <c:pt idx="6">
                  <c:v>7.2202698909513228E-3</c:v>
                </c:pt>
                <c:pt idx="7">
                  <c:v>5.2414503254015789E-2</c:v>
                </c:pt>
                <c:pt idx="8">
                  <c:v>8.900571747852265E-2</c:v>
                </c:pt>
                <c:pt idx="9">
                  <c:v>4.3449753071981678E-2</c:v>
                </c:pt>
                <c:pt idx="10">
                  <c:v>7.2385257929532482E-3</c:v>
                </c:pt>
                <c:pt idx="11">
                  <c:v>4.751834300064429E-4</c:v>
                </c:pt>
                <c:pt idx="12">
                  <c:v>1.3878827508435486E-5</c:v>
                </c:pt>
                <c:pt idx="13">
                  <c:v>1.9995476488667826E-7</c:v>
                </c:pt>
                <c:pt idx="14">
                  <c:v>1.5520066218442012E-9</c:v>
                </c:pt>
                <c:pt idx="15">
                  <c:v>7.0007225305255789E-12</c:v>
                </c:pt>
                <c:pt idx="16">
                  <c:v>1.9592554647687471E-14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8A-4224-A582-72986DC11C94}"/>
            </c:ext>
          </c:extLst>
        </c:ser>
        <c:ser>
          <c:idx val="2"/>
          <c:order val="2"/>
          <c:tx>
            <c:v>0.3</c:v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first_part_gamma!$Y$32:$Y$48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first_part_gamma!$AC$32:$AC$48</c:f>
              <c:numCache>
                <c:formatCode>General</c:formatCode>
                <c:ptCount val="17"/>
                <c:pt idx="0">
                  <c:v>3.3715886606540406E-20</c:v>
                </c:pt>
                <c:pt idx="1">
                  <c:v>7.8761142092032735E-15</c:v>
                </c:pt>
                <c:pt idx="2">
                  <c:v>1.0961347486332762E-10</c:v>
                </c:pt>
                <c:pt idx="3">
                  <c:v>1.5233209793360453E-7</c:v>
                </c:pt>
                <c:pt idx="4">
                  <c:v>3.155135271549592E-5</c:v>
                </c:pt>
                <c:pt idx="5">
                  <c:v>1.3351896003566922E-3</c:v>
                </c:pt>
                <c:pt idx="6">
                  <c:v>1.4851555899595277E-2</c:v>
                </c:pt>
                <c:pt idx="7">
                  <c:v>5.3227540948401569E-2</c:v>
                </c:pt>
                <c:pt idx="8">
                  <c:v>7.2591153003284115E-2</c:v>
                </c:pt>
                <c:pt idx="9">
                  <c:v>4.3212117686085329E-2</c:v>
                </c:pt>
                <c:pt idx="10">
                  <c:v>1.2585716288856257E-2</c:v>
                </c:pt>
                <c:pt idx="11">
                  <c:v>1.9736239926009679E-3</c:v>
                </c:pt>
                <c:pt idx="12">
                  <c:v>1.8065746203269184E-4</c:v>
                </c:pt>
                <c:pt idx="13">
                  <c:v>1.0338747257813658E-5</c:v>
                </c:pt>
                <c:pt idx="14">
                  <c:v>3.9226661156427296E-7</c:v>
                </c:pt>
                <c:pt idx="15">
                  <c:v>1.037740725194923E-8</c:v>
                </c:pt>
                <c:pt idx="16">
                  <c:v>1.9993666289338756E-10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B8A-4224-A582-72986DC11C94}"/>
            </c:ext>
          </c:extLst>
        </c:ser>
        <c:ser>
          <c:idx val="3"/>
          <c:order val="3"/>
          <c:tx>
            <c:v>0.4</c:v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first_part_gamma!$Y$32:$Y$48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first_part_gamma!$AD$32:$AD$48</c:f>
              <c:numCache>
                <c:formatCode>General</c:formatCode>
                <c:ptCount val="17"/>
                <c:pt idx="0">
                  <c:v>1.5374265651823462E-15</c:v>
                </c:pt>
                <c:pt idx="1">
                  <c:v>1.5539109604002787E-11</c:v>
                </c:pt>
                <c:pt idx="2">
                  <c:v>1.9009673521623235E-8</c:v>
                </c:pt>
                <c:pt idx="3">
                  <c:v>4.1442242901485517E-6</c:v>
                </c:pt>
                <c:pt idx="4">
                  <c:v>2.1731776002153873E-4</c:v>
                </c:pt>
                <c:pt idx="5">
                  <c:v>3.4716293491663338E-3</c:v>
                </c:pt>
                <c:pt idx="6">
                  <c:v>2.0402828136932075E-2</c:v>
                </c:pt>
                <c:pt idx="7">
                  <c:v>5.1379281037838447E-2</c:v>
                </c:pt>
                <c:pt idx="8">
                  <c:v>6.2795098352771264E-2</c:v>
                </c:pt>
                <c:pt idx="9">
                  <c:v>4.1278492158452369E-2</c:v>
                </c:pt>
                <c:pt idx="10">
                  <c:v>1.5896481134192911E-2</c:v>
                </c:pt>
                <c:pt idx="11">
                  <c:v>3.8527882067153165E-3</c:v>
                </c:pt>
                <c:pt idx="12">
                  <c:v>6.2433347878451597E-4</c:v>
                </c:pt>
                <c:pt idx="13">
                  <c:v>7.1210683603857566E-5</c:v>
                </c:pt>
                <c:pt idx="14">
                  <c:v>5.9735759091088035E-6</c:v>
                </c:pt>
                <c:pt idx="15">
                  <c:v>3.8271106091862608E-7</c:v>
                </c:pt>
                <c:pt idx="16">
                  <c:v>1.9346494359707462E-8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B8A-4224-A582-72986DC11C94}"/>
            </c:ext>
          </c:extLst>
        </c:ser>
        <c:ser>
          <c:idx val="4"/>
          <c:order val="4"/>
          <c:tx>
            <c:v>0.5</c:v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first_part_gamma!$Y$32:$Y$48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first_part_gamma!$AE$32:$AE$48</c:f>
              <c:numCache>
                <c:formatCode>General</c:formatCode>
                <c:ptCount val="17"/>
                <c:pt idx="0">
                  <c:v>9.3540877738932821E-13</c:v>
                </c:pt>
                <c:pt idx="1">
                  <c:v>1.4365666725428593E-9</c:v>
                </c:pt>
                <c:pt idx="2">
                  <c:v>4.0857545005606393E-7</c:v>
                </c:pt>
                <c:pt idx="3">
                  <c:v>2.9313355232607553E-5</c:v>
                </c:pt>
                <c:pt idx="4">
                  <c:v>6.7417515498728662E-4</c:v>
                </c:pt>
                <c:pt idx="5">
                  <c:v>6.0028678035568004E-3</c:v>
                </c:pt>
                <c:pt idx="6">
                  <c:v>2.4058724750173604E-2</c:v>
                </c:pt>
                <c:pt idx="7">
                  <c:v>4.9024161779533067E-2</c:v>
                </c:pt>
                <c:pt idx="8">
                  <c:v>5.6102492608372502E-2</c:v>
                </c:pt>
                <c:pt idx="9">
                  <c:v>3.9140464152421513E-2</c:v>
                </c:pt>
                <c:pt idx="10">
                  <c:v>1.7823213843019738E-2</c:v>
                </c:pt>
                <c:pt idx="11">
                  <c:v>5.6093527215653792E-3</c:v>
                </c:pt>
                <c:pt idx="12">
                  <c:v>1.2805137235044073E-3</c:v>
                </c:pt>
                <c:pt idx="13">
                  <c:v>2.2091371478623331E-4</c:v>
                </c:pt>
                <c:pt idx="14">
                  <c:v>2.9830284442140869E-5</c:v>
                </c:pt>
                <c:pt idx="15">
                  <c:v>3.2491629195180632E-6</c:v>
                </c:pt>
                <c:pt idx="16">
                  <c:v>2.9299443269233372E-7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B8A-4224-A582-72986DC11C94}"/>
            </c:ext>
          </c:extLst>
        </c:ser>
        <c:ser>
          <c:idx val="5"/>
          <c:order val="5"/>
          <c:tx>
            <c:v>0.6</c:v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first_part_gamma!$Y$32:$Y$48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first_part_gamma!$AF$32:$AF$48</c:f>
              <c:numCache>
                <c:formatCode>General</c:formatCode>
                <c:ptCount val="17"/>
                <c:pt idx="0">
                  <c:v>6.6022100125859387E-11</c:v>
                </c:pt>
                <c:pt idx="1">
                  <c:v>2.8871903156587544E-8</c:v>
                </c:pt>
                <c:pt idx="2">
                  <c:v>3.1047063387496907E-6</c:v>
                </c:pt>
                <c:pt idx="3">
                  <c:v>1.0617694808839046E-4</c:v>
                </c:pt>
                <c:pt idx="4">
                  <c:v>1.4096380488958426E-3</c:v>
                </c:pt>
                <c:pt idx="5">
                  <c:v>8.5007827825346483E-3</c:v>
                </c:pt>
                <c:pt idx="6">
                  <c:v>2.6396354113062123E-2</c:v>
                </c:pt>
                <c:pt idx="7">
                  <c:v>4.6706228570157653E-2</c:v>
                </c:pt>
                <c:pt idx="8">
                  <c:v>5.1156750826999192E-2</c:v>
                </c:pt>
                <c:pt idx="9">
                  <c:v>3.7134472308525492E-2</c:v>
                </c:pt>
                <c:pt idx="10">
                  <c:v>1.8908593172743498E-2</c:v>
                </c:pt>
                <c:pt idx="11">
                  <c:v>7.0830615084530833E-3</c:v>
                </c:pt>
                <c:pt idx="12">
                  <c:v>2.0319475824949751E-3</c:v>
                </c:pt>
                <c:pt idx="13">
                  <c:v>4.6191019586218834E-4</c:v>
                </c:pt>
                <c:pt idx="14">
                  <c:v>8.5668780985105099E-5</c:v>
                </c:pt>
                <c:pt idx="15">
                  <c:v>1.3291938562945936E-5</c:v>
                </c:pt>
                <c:pt idx="16">
                  <c:v>1.7629795738939588E-6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B8A-4224-A582-72986DC11C94}"/>
            </c:ext>
          </c:extLst>
        </c:ser>
        <c:ser>
          <c:idx val="6"/>
          <c:order val="6"/>
          <c:tx>
            <c:v>0.7</c:v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first_part_gamma!$Y$32:$Y$48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first_part_gamma!$AG$32:$AG$48</c:f>
              <c:numCache>
                <c:formatCode>General</c:formatCode>
                <c:ptCount val="17"/>
                <c:pt idx="0">
                  <c:v>1.3641015888556874E-9</c:v>
                </c:pt>
                <c:pt idx="1">
                  <c:v>2.4319945667214557E-7</c:v>
                </c:pt>
                <c:pt idx="2">
                  <c:v>1.3055468334454289E-5</c:v>
                </c:pt>
                <c:pt idx="3">
                  <c:v>2.630006185665992E-4</c:v>
                </c:pt>
                <c:pt idx="4">
                  <c:v>2.3582196949555514E-3</c:v>
                </c:pt>
                <c:pt idx="5">
                  <c:v>1.0765981199439559E-2</c:v>
                </c:pt>
                <c:pt idx="6">
                  <c:v>2.7859621858699932E-2</c:v>
                </c:pt>
                <c:pt idx="7">
                  <c:v>4.4567221413124178E-2</c:v>
                </c:pt>
                <c:pt idx="8">
                  <c:v>4.7308695923014683E-2</c:v>
                </c:pt>
                <c:pt idx="9">
                  <c:v>3.5328302741473985E-2</c:v>
                </c:pt>
                <c:pt idx="10">
                  <c:v>1.9483332622964505E-2</c:v>
                </c:pt>
                <c:pt idx="11">
                  <c:v>8.2651375479295131E-3</c:v>
                </c:pt>
                <c:pt idx="12">
                  <c:v>2.7913416838140047E-3</c:v>
                </c:pt>
                <c:pt idx="13">
                  <c:v>7.7274142964303314E-4</c:v>
                </c:pt>
                <c:pt idx="14">
                  <c:v>1.7978334895153025E-4</c:v>
                </c:pt>
                <c:pt idx="15">
                  <c:v>3.591421503332701E-5</c:v>
                </c:pt>
                <c:pt idx="16">
                  <c:v>6.2750755529855403E-6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B8A-4224-A582-72986DC11C94}"/>
            </c:ext>
          </c:extLst>
        </c:ser>
        <c:ser>
          <c:idx val="7"/>
          <c:order val="7"/>
          <c:tx>
            <c:v>0.8</c:v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first_part_gamma!$Y$32:$Y$48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first_part_gamma!$AH$32:$AH$48</c:f>
              <c:numCache>
                <c:formatCode>General</c:formatCode>
                <c:ptCount val="17"/>
                <c:pt idx="0">
                  <c:v>1.309790020055326E-8</c:v>
                </c:pt>
                <c:pt idx="1">
                  <c:v>1.191420089105155E-6</c:v>
                </c:pt>
                <c:pt idx="2">
                  <c:v>3.7984667450688666E-5</c:v>
                </c:pt>
                <c:pt idx="3">
                  <c:v>5.1450381124671068E-4</c:v>
                </c:pt>
                <c:pt idx="4">
                  <c:v>3.4369932223750686E-3</c:v>
                </c:pt>
                <c:pt idx="5">
                  <c:v>1.2734636942227625E-2</c:v>
                </c:pt>
                <c:pt idx="6">
                  <c:v>2.8743231871235127E-2</c:v>
                </c:pt>
                <c:pt idx="7">
                  <c:v>4.2631739576590874E-2</c:v>
                </c:pt>
                <c:pt idx="8">
                  <c:v>4.4203475996246966E-2</c:v>
                </c:pt>
                <c:pt idx="9">
                  <c:v>3.3718545937390321E-2</c:v>
                </c:pt>
                <c:pt idx="10">
                  <c:v>1.9742547542846399E-2</c:v>
                </c:pt>
                <c:pt idx="11">
                  <c:v>9.19409140342148E-3</c:v>
                </c:pt>
                <c:pt idx="12">
                  <c:v>3.5093388466936421E-3</c:v>
                </c:pt>
                <c:pt idx="13">
                  <c:v>1.1262339391078598E-3</c:v>
                </c:pt>
                <c:pt idx="14">
                  <c:v>3.1058576900406615E-4</c:v>
                </c:pt>
                <c:pt idx="15">
                  <c:v>7.4991466396696723E-5</c:v>
                </c:pt>
                <c:pt idx="16">
                  <c:v>1.6111450652008537E-5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B8A-4224-A582-72986DC11C94}"/>
            </c:ext>
          </c:extLst>
        </c:ser>
        <c:ser>
          <c:idx val="8"/>
          <c:order val="8"/>
          <c:tx>
            <c:v>0.9</c:v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first_part_gamma!$Y$32:$Y$48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first_part_gamma!$AI$32:$AI$48</c:f>
              <c:numCache>
                <c:formatCode>General</c:formatCode>
                <c:ptCount val="17"/>
                <c:pt idx="0">
                  <c:v>7.5530633187758507E-8</c:v>
                </c:pt>
                <c:pt idx="1">
                  <c:v>4.070790527191798E-6</c:v>
                </c:pt>
                <c:pt idx="2">
                  <c:v>8.6540937665519212E-5</c:v>
                </c:pt>
                <c:pt idx="3">
                  <c:v>8.6084583659867776E-4</c:v>
                </c:pt>
                <c:pt idx="4">
                  <c:v>4.5738968285542487E-3</c:v>
                </c:pt>
                <c:pt idx="5">
                  <c:v>1.4407206646598534E-2</c:v>
                </c:pt>
                <c:pt idx="6">
                  <c:v>2.92381675347584E-2</c:v>
                </c:pt>
                <c:pt idx="7">
                  <c:v>4.0888684659269078E-2</c:v>
                </c:pt>
                <c:pt idx="8">
                  <c:v>4.1628578335024279E-2</c:v>
                </c:pt>
                <c:pt idx="9">
                  <c:v>3.2283704705699037E-2</c:v>
                </c:pt>
                <c:pt idx="10">
                  <c:v>1.9803191408745976E-2</c:v>
                </c:pt>
                <c:pt idx="11">
                  <c:v>9.9164315716425769E-3</c:v>
                </c:pt>
                <c:pt idx="12">
                  <c:v>4.1630686520652081E-3</c:v>
                </c:pt>
                <c:pt idx="13">
                  <c:v>1.4987745127806541E-3</c:v>
                </c:pt>
                <c:pt idx="14">
                  <c:v>4.7175720539731353E-4</c:v>
                </c:pt>
                <c:pt idx="15">
                  <c:v>1.3199891273585568E-4</c:v>
                </c:pt>
                <c:pt idx="16">
                  <c:v>3.3305383198972798E-5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B8A-4224-A582-72986DC11C94}"/>
            </c:ext>
          </c:extLst>
        </c:ser>
        <c:ser>
          <c:idx val="9"/>
          <c:order val="9"/>
          <c:tx>
            <c:v>1</c:v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first_part_gamma!$Y$32:$Y$48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first_part_gamma!$AJ$32:$AJ$48</c:f>
              <c:numCache>
                <c:formatCode>General</c:formatCode>
                <c:ptCount val="17"/>
                <c:pt idx="0">
                  <c:v>3.0503159925846777E-7</c:v>
                </c:pt>
                <c:pt idx="1">
                  <c:v>1.0815693509621757E-5</c:v>
                </c:pt>
                <c:pt idx="2">
                  <c:v>1.6626343859570762E-4</c:v>
                </c:pt>
                <c:pt idx="3">
                  <c:v>1.2919311227899846E-3</c:v>
                </c:pt>
                <c:pt idx="4">
                  <c:v>5.7155372876400061E-3</c:v>
                </c:pt>
                <c:pt idx="5">
                  <c:v>1.5810256172317044E-2</c:v>
                </c:pt>
                <c:pt idx="6">
                  <c:v>2.9469063817634214E-2</c:v>
                </c:pt>
                <c:pt idx="7">
                  <c:v>3.9317306319057527E-2</c:v>
                </c:pt>
                <c:pt idx="8">
                  <c:v>3.9447933090788895E-2</c:v>
                </c:pt>
                <c:pt idx="9">
                  <c:v>3.0999845988993836E-2</c:v>
                </c:pt>
                <c:pt idx="10">
                  <c:v>1.9737190221859435E-2</c:v>
                </c:pt>
                <c:pt idx="11">
                  <c:v>1.0474112849205517E-2</c:v>
                </c:pt>
                <c:pt idx="12">
                  <c:v>4.7451367772989453E-3</c:v>
                </c:pt>
                <c:pt idx="13">
                  <c:v>1.8728672584138741E-3</c:v>
                </c:pt>
                <c:pt idx="14">
                  <c:v>6.5528870342850616E-4</c:v>
                </c:pt>
                <c:pt idx="15">
                  <c:v>2.0630117799149032E-4</c:v>
                </c:pt>
                <c:pt idx="16">
                  <c:v>5.9197424706742854E-5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B8A-4224-A582-72986DC11C94}"/>
            </c:ext>
          </c:extLst>
        </c:ser>
        <c:ser>
          <c:idx val="10"/>
          <c:order val="10"/>
          <c:tx>
            <c:v>2</c:v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first_part_gamma!$Y$32:$Y$48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first_part_gamma!$AK$32:$AK$48</c:f>
              <c:numCache>
                <c:formatCode>General</c:formatCode>
                <c:ptCount val="17"/>
                <c:pt idx="0">
                  <c:v>1.4524281869372614E-4</c:v>
                </c:pt>
                <c:pt idx="1">
                  <c:v>7.8252244975754123E-4</c:v>
                </c:pt>
                <c:pt idx="2">
                  <c:v>2.7966437332461501E-3</c:v>
                </c:pt>
                <c:pt idx="3">
                  <c:v>7.1516197776597054E-3</c:v>
                </c:pt>
                <c:pt idx="4">
                  <c:v>1.3876417664915321E-2</c:v>
                </c:pt>
                <c:pt idx="5">
                  <c:v>2.1394744871527756E-2</c:v>
                </c:pt>
                <c:pt idx="6">
                  <c:v>2.7195143108108635E-2</c:v>
                </c:pt>
                <c:pt idx="7">
                  <c:v>2.9359502161316497E-2</c:v>
                </c:pt>
                <c:pt idx="8">
                  <c:v>2.7581853166270594E-2</c:v>
                </c:pt>
                <c:pt idx="9">
                  <c:v>2.3004058320651034E-2</c:v>
                </c:pt>
                <c:pt idx="10">
                  <c:v>1.7318613598151577E-2</c:v>
                </c:pt>
                <c:pt idx="11">
                  <c:v>1.193431892911874E-2</c:v>
                </c:pt>
                <c:pt idx="12">
                  <c:v>7.6165645282489083E-3</c:v>
                </c:pt>
                <c:pt idx="13">
                  <c:v>4.5470245404394486E-3</c:v>
                </c:pt>
                <c:pt idx="14">
                  <c:v>2.5609344709387875E-3</c:v>
                </c:pt>
                <c:pt idx="15">
                  <c:v>1.3707080362701774E-3</c:v>
                </c:pt>
                <c:pt idx="16">
                  <c:v>7.016211594893701E-4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B8A-4224-A582-72986DC11C94}"/>
            </c:ext>
          </c:extLst>
        </c:ser>
        <c:ser>
          <c:idx val="11"/>
          <c:order val="11"/>
          <c:tx>
            <c:v>3</c:v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first_part_gamma!$Y$32:$Y$48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first_part_gamma!$AL$32:$AL$48</c:f>
              <c:numCache>
                <c:formatCode>General</c:formatCode>
                <c:ptCount val="17"/>
                <c:pt idx="0">
                  <c:v>1.0316841901525141E-3</c:v>
                </c:pt>
                <c:pt idx="1">
                  <c:v>2.966058949873731E-3</c:v>
                </c:pt>
                <c:pt idx="2">
                  <c:v>6.5180762218454997E-3</c:v>
                </c:pt>
                <c:pt idx="3">
                  <c:v>1.150786954283289E-2</c:v>
                </c:pt>
                <c:pt idx="4">
                  <c:v>1.6964964604488354E-2</c:v>
                </c:pt>
                <c:pt idx="5">
                  <c:v>2.152609940586208E-2</c:v>
                </c:pt>
                <c:pt idx="6">
                  <c:v>2.4084363839664259E-2</c:v>
                </c:pt>
                <c:pt idx="7">
                  <c:v>2.4229204673908024E-2</c:v>
                </c:pt>
                <c:pt idx="8">
                  <c:v>2.226855310230557E-2</c:v>
                </c:pt>
                <c:pt idx="9">
                  <c:v>1.8944723118837964E-2</c:v>
                </c:pt>
                <c:pt idx="10">
                  <c:v>1.5081963394812057E-2</c:v>
                </c:pt>
                <c:pt idx="11">
                  <c:v>1.1338612960202372E-2</c:v>
                </c:pt>
                <c:pt idx="12">
                  <c:v>8.1120649104783824E-3</c:v>
                </c:pt>
                <c:pt idx="13">
                  <c:v>5.5590796015987437E-3</c:v>
                </c:pt>
                <c:pt idx="14">
                  <c:v>3.669350702524464E-3</c:v>
                </c:pt>
                <c:pt idx="15">
                  <c:v>2.3440212104340022E-3</c:v>
                </c:pt>
                <c:pt idx="16">
                  <c:v>1.4551400495073856E-3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B8A-4224-A582-72986DC11C94}"/>
            </c:ext>
          </c:extLst>
        </c:ser>
        <c:ser>
          <c:idx val="12"/>
          <c:order val="12"/>
          <c:tx>
            <c:v>4</c:v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first_part_gamma!$Y$32:$Y$48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first_part_gamma!$AM$32:$AM$48</c:f>
              <c:numCache>
                <c:formatCode>General</c:formatCode>
                <c:ptCount val="17"/>
                <c:pt idx="0">
                  <c:v>2.6204952010288863E-3</c:v>
                </c:pt>
                <c:pt idx="1">
                  <c:v>5.5034091875470386E-3</c:v>
                </c:pt>
                <c:pt idx="2">
                  <c:v>9.4835539632301003E-3</c:v>
                </c:pt>
                <c:pt idx="3">
                  <c:v>1.3912357420204602E-2</c:v>
                </c:pt>
                <c:pt idx="4">
                  <c:v>1.7877273947675215E-2</c:v>
                </c:pt>
                <c:pt idx="5">
                  <c:v>2.0578086869191912E-2</c:v>
                </c:pt>
                <c:pt idx="6">
                  <c:v>2.1600690529166151E-2</c:v>
                </c:pt>
                <c:pt idx="7">
                  <c:v>2.0977075164115507E-2</c:v>
                </c:pt>
                <c:pt idx="8">
                  <c:v>1.9069390773026208E-2</c:v>
                </c:pt>
                <c:pt idx="9">
                  <c:v>1.6384783361470954E-2</c:v>
                </c:pt>
                <c:pt idx="10">
                  <c:v>1.3413459498534529E-2</c:v>
                </c:pt>
                <c:pt idx="11">
                  <c:v>1.053298866360371E-2</c:v>
                </c:pt>
                <c:pt idx="12">
                  <c:v>7.978625905498065E-3</c:v>
                </c:pt>
                <c:pt idx="13">
                  <c:v>5.8580251271742132E-3</c:v>
                </c:pt>
                <c:pt idx="14">
                  <c:v>4.1859606357164706E-3</c:v>
                </c:pt>
                <c:pt idx="15">
                  <c:v>2.9213283025393976E-3</c:v>
                </c:pt>
                <c:pt idx="16">
                  <c:v>1.9971762450752021E-3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B8A-4224-A582-72986DC11C94}"/>
            </c:ext>
          </c:extLst>
        </c:ser>
        <c:ser>
          <c:idx val="13"/>
          <c:order val="13"/>
          <c:tx>
            <c:v>5</c:v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first_part_gamma!$Y$32:$Y$48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first_part_gamma!$AN$32:$AN$48</c:f>
              <c:numCache>
                <c:formatCode>General</c:formatCode>
                <c:ptCount val="17"/>
                <c:pt idx="0">
                  <c:v>4.4499754398238511E-3</c:v>
                </c:pt>
                <c:pt idx="1">
                  <c:v>7.7406121902881767E-3</c:v>
                </c:pt>
                <c:pt idx="2">
                  <c:v>1.1528012005023357E-2</c:v>
                </c:pt>
                <c:pt idx="3">
                  <c:v>1.5132702486471092E-2</c:v>
                </c:pt>
                <c:pt idx="4">
                  <c:v>1.7906989830010489E-2</c:v>
                </c:pt>
                <c:pt idx="5">
                  <c:v>1.9442006249843845E-2</c:v>
                </c:pt>
                <c:pt idx="6">
                  <c:v>1.9641714650531644E-2</c:v>
                </c:pt>
                <c:pt idx="7">
                  <c:v>1.8675003380643759E-2</c:v>
                </c:pt>
                <c:pt idx="8">
                  <c:v>1.6865374880276125E-2</c:v>
                </c:pt>
                <c:pt idx="9">
                  <c:v>1.4577547243302307E-2</c:v>
                </c:pt>
                <c:pt idx="10">
                  <c:v>1.2135644435772964E-2</c:v>
                </c:pt>
                <c:pt idx="11">
                  <c:v>9.7818031211006871E-3</c:v>
                </c:pt>
                <c:pt idx="12">
                  <c:v>7.6679346587994893E-3</c:v>
                </c:pt>
                <c:pt idx="13">
                  <c:v>5.8677624274978343E-3</c:v>
                </c:pt>
                <c:pt idx="14">
                  <c:v>4.3973494544828021E-3</c:v>
                </c:pt>
                <c:pt idx="15">
                  <c:v>3.2361150487909911E-3</c:v>
                </c:pt>
                <c:pt idx="16">
                  <c:v>2.3442052804045392E-3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B8A-4224-A582-72986DC11C94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3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5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8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9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1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4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</c:bandFmts>
        <c:axId val="381592207"/>
        <c:axId val="381588879"/>
        <c:axId val="486801247"/>
      </c:surface3DChart>
      <c:catAx>
        <c:axId val="38159220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stock</a:t>
                </a:r>
                <a:r>
                  <a:rPr lang="en-US" baseline="0"/>
                  <a:t> price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588879"/>
        <c:crosses val="autoZero"/>
        <c:auto val="1"/>
        <c:lblAlgn val="ctr"/>
        <c:lblOffset val="100"/>
        <c:noMultiLvlLbl val="0"/>
      </c:catAx>
      <c:valAx>
        <c:axId val="381588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gamma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592207"/>
        <c:crosses val="autoZero"/>
        <c:crossBetween val="midCat"/>
      </c:valAx>
      <c:serAx>
        <c:axId val="486801247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maturity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588879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Gamma</a:t>
            </a:r>
            <a:r>
              <a:rPr lang="en-US" baseline="0"/>
              <a:t> (Volatility = 0.2)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0"/>
      <c:rotY val="20"/>
      <c:depthPercent val="250"/>
      <c:rAngAx val="0"/>
      <c:perspective val="2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1.6635160680529299E-2"/>
          <c:y val="0.12623655913978496"/>
          <c:w val="0.96346099459684742"/>
          <c:h val="0.73622627816684205"/>
        </c:manualLayout>
      </c:layout>
      <c:surface3DChart>
        <c:wireframe val="0"/>
        <c:ser>
          <c:idx val="0"/>
          <c:order val="0"/>
          <c:tx>
            <c:v>0.1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first_part_gamma!$G$5:$G$21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first_part_gamma!$I$5:$I$21</c:f>
              <c:numCache>
                <c:formatCode>General</c:formatCode>
                <c:ptCount val="17"/>
                <c:pt idx="0">
                  <c:v>1.0516556577990479E-15</c:v>
                </c:pt>
                <c:pt idx="1">
                  <c:v>1.1286957540817279E-11</c:v>
                </c:pt>
                <c:pt idx="2">
                  <c:v>1.4597010892531745E-8</c:v>
                </c:pt>
                <c:pt idx="3">
                  <c:v>3.3512354645083037E-6</c:v>
                </c:pt>
                <c:pt idx="4">
                  <c:v>1.8444991272199745E-4</c:v>
                </c:pt>
                <c:pt idx="5">
                  <c:v>3.0836372935947143E-3</c:v>
                </c:pt>
                <c:pt idx="6">
                  <c:v>1.8916378586336522E-2</c:v>
                </c:pt>
                <c:pt idx="7">
                  <c:v>4.960740057577824E-2</c:v>
                </c:pt>
                <c:pt idx="8">
                  <c:v>6.3007389850102583E-2</c:v>
                </c:pt>
                <c:pt idx="9">
                  <c:v>4.2961708392642108E-2</c:v>
                </c:pt>
                <c:pt idx="10">
                  <c:v>1.7132125878144413E-2</c:v>
                </c:pt>
                <c:pt idx="11">
                  <c:v>4.2930333278127031E-3</c:v>
                </c:pt>
                <c:pt idx="12">
                  <c:v>7.1823787351586244E-4</c:v>
                </c:pt>
                <c:pt idx="13">
                  <c:v>8.4468232865850956E-5</c:v>
                </c:pt>
                <c:pt idx="14">
                  <c:v>7.2972234478141014E-6</c:v>
                </c:pt>
                <c:pt idx="15">
                  <c:v>4.8093577566927407E-7</c:v>
                </c:pt>
                <c:pt idx="16">
                  <c:v>2.4984119686305784E-8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F1-4A41-B12E-81D3F271882E}"/>
            </c:ext>
          </c:extLst>
        </c:ser>
        <c:ser>
          <c:idx val="1"/>
          <c:order val="1"/>
          <c:tx>
            <c:v>0.2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first_part_gamma!$G$5:$G$21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first_part_gamma!$J$5:$J$21</c:f>
              <c:numCache>
                <c:formatCode>General</c:formatCode>
                <c:ptCount val="17"/>
                <c:pt idx="0">
                  <c:v>8.9897290546272933E-9</c:v>
                </c:pt>
                <c:pt idx="1">
                  <c:v>8.6832323834608022E-7</c:v>
                </c:pt>
                <c:pt idx="2">
                  <c:v>2.9265998523210969E-5</c:v>
                </c:pt>
                <c:pt idx="3">
                  <c:v>4.1746111765088789E-4</c:v>
                </c:pt>
                <c:pt idx="4">
                  <c:v>2.9270332354272232E-3</c:v>
                </c:pt>
                <c:pt idx="5">
                  <c:v>1.134964427745312E-2</c:v>
                </c:pt>
                <c:pt idx="6">
                  <c:v>2.6739234389615497E-2</c:v>
                </c:pt>
                <c:pt idx="7">
                  <c:v>4.1300684164172589E-2</c:v>
                </c:pt>
                <c:pt idx="8">
                  <c:v>4.4502858739261325E-2</c:v>
                </c:pt>
                <c:pt idx="9">
                  <c:v>3.5212130286942131E-2</c:v>
                </c:pt>
                <c:pt idx="10">
                  <c:v>2.1349081451222499E-2</c:v>
                </c:pt>
                <c:pt idx="11">
                  <c:v>1.0279303406877476E-2</c:v>
                </c:pt>
                <c:pt idx="12">
                  <c:v>4.0508179535475647E-3</c:v>
                </c:pt>
                <c:pt idx="13">
                  <c:v>1.3404252747399995E-3</c:v>
                </c:pt>
                <c:pt idx="14">
                  <c:v>3.8068919850193204E-4</c:v>
                </c:pt>
                <c:pt idx="15">
                  <c:v>9.4556994587265296E-5</c:v>
                </c:pt>
                <c:pt idx="16">
                  <c:v>2.0876714879530865E-5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CF1-4A41-B12E-81D3F271882E}"/>
            </c:ext>
          </c:extLst>
        </c:ser>
        <c:ser>
          <c:idx val="2"/>
          <c:order val="2"/>
          <c:tx>
            <c:v>0.3</c:v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first_part_gamma!$G$5:$G$21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first_part_gamma!$K$5:$K$21</c:f>
              <c:numCache>
                <c:formatCode>General</c:formatCode>
                <c:ptCount val="17"/>
                <c:pt idx="0">
                  <c:v>1.6833377571562758E-6</c:v>
                </c:pt>
                <c:pt idx="1">
                  <c:v>3.3820751258091636E-5</c:v>
                </c:pt>
                <c:pt idx="2">
                  <c:v>3.3795857220289077E-4</c:v>
                </c:pt>
                <c:pt idx="3">
                  <c:v>1.9093551185000314E-3</c:v>
                </c:pt>
                <c:pt idx="4">
                  <c:v>6.7361389316554247E-3</c:v>
                </c:pt>
                <c:pt idx="5">
                  <c:v>1.6048048164004219E-2</c:v>
                </c:pt>
                <c:pt idx="6">
                  <c:v>2.7482291431425852E-2</c:v>
                </c:pt>
                <c:pt idx="7">
                  <c:v>3.5581792279001198E-2</c:v>
                </c:pt>
                <c:pt idx="8">
                  <c:v>3.6295576501642057E-2</c:v>
                </c:pt>
                <c:pt idx="9">
                  <c:v>3.0178399358531966E-2</c:v>
                </c:pt>
                <c:pt idx="10">
                  <c:v>2.1039503593612036E-2</c:v>
                </c:pt>
                <c:pt idx="11">
                  <c:v>1.2594003477751478E-2</c:v>
                </c:pt>
                <c:pt idx="12">
                  <c:v>6.6034037139998062E-3</c:v>
                </c:pt>
                <c:pt idx="13">
                  <c:v>3.084792741286774E-3</c:v>
                </c:pt>
                <c:pt idx="14">
                  <c:v>1.3026922814580184E-3</c:v>
                </c:pt>
                <c:pt idx="15">
                  <c:v>5.0353481185787989E-4</c:v>
                </c:pt>
                <c:pt idx="16">
                  <c:v>1.800784918926651E-4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CF1-4A41-B12E-81D3F271882E}"/>
            </c:ext>
          </c:extLst>
        </c:ser>
        <c:ser>
          <c:idx val="3"/>
          <c:order val="3"/>
          <c:tx>
            <c:v>0.4</c:v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first_part_gamma!$G$5:$G$21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first_part_gamma!$L$5:$L$21</c:f>
              <c:numCache>
                <c:formatCode>General</c:formatCode>
                <c:ptCount val="17"/>
                <c:pt idx="0">
                  <c:v>2.2064431982817092E-5</c:v>
                </c:pt>
                <c:pt idx="1">
                  <c:v>2.0218238688417126E-4</c:v>
                </c:pt>
                <c:pt idx="2">
                  <c:v>1.1000759814895978E-3</c:v>
                </c:pt>
                <c:pt idx="3">
                  <c:v>3.9113907532951544E-3</c:v>
                </c:pt>
                <c:pt idx="4">
                  <c:v>9.7884039294375211E-3</c:v>
                </c:pt>
                <c:pt idx="5">
                  <c:v>1.827895482236909E-2</c:v>
                </c:pt>
                <c:pt idx="6">
                  <c:v>2.6687880405210137E-2</c:v>
                </c:pt>
                <c:pt idx="7">
                  <c:v>3.1635322258043566E-2</c:v>
                </c:pt>
                <c:pt idx="8">
                  <c:v>3.1397549176385632E-2</c:v>
                </c:pt>
                <c:pt idx="9">
                  <c:v>2.6761306237360671E-2</c:v>
                </c:pt>
                <c:pt idx="10">
                  <c:v>2.0006577096239694E-2</c:v>
                </c:pt>
                <c:pt idx="11">
                  <c:v>1.3352820984703351E-2</c:v>
                </c:pt>
                <c:pt idx="12">
                  <c:v>8.0758746095868535E-3</c:v>
                </c:pt>
                <c:pt idx="13">
                  <c:v>4.4825674910614188E-3</c:v>
                </c:pt>
                <c:pt idx="14">
                  <c:v>2.3082701661092638E-3</c:v>
                </c:pt>
                <c:pt idx="15">
                  <c:v>1.1130292486590083E-3</c:v>
                </c:pt>
                <c:pt idx="16">
                  <c:v>5.0660659975445015E-4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CF1-4A41-B12E-81D3F271882E}"/>
            </c:ext>
          </c:extLst>
        </c:ser>
        <c:ser>
          <c:idx val="4"/>
          <c:order val="4"/>
          <c:tx>
            <c:v>0.5</c:v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first_part_gamma!$G$5:$G$21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first_part_gamma!$M$5:$M$21</c:f>
              <c:numCache>
                <c:formatCode>General</c:formatCode>
                <c:ptCount val="17"/>
                <c:pt idx="0">
                  <c:v>1.0070170546498096E-4</c:v>
                </c:pt>
                <c:pt idx="1">
                  <c:v>5.7611680391896742E-4</c:v>
                </c:pt>
                <c:pt idx="2">
                  <c:v>2.1766539744157011E-3</c:v>
                </c:pt>
                <c:pt idx="3">
                  <c:v>5.8617741810673696E-3</c:v>
                </c:pt>
                <c:pt idx="4">
                  <c:v>1.1937780047109168E-2</c:v>
                </c:pt>
                <c:pt idx="5">
                  <c:v>1.926193999623425E-2</c:v>
                </c:pt>
                <c:pt idx="6">
                  <c:v>2.5556533759819561E-2</c:v>
                </c:pt>
                <c:pt idx="7">
                  <c:v>2.8732281352043244E-2</c:v>
                </c:pt>
                <c:pt idx="8">
                  <c:v>2.8051246304186251E-2</c:v>
                </c:pt>
                <c:pt idx="9">
                  <c:v>2.4267506445708333E-2</c:v>
                </c:pt>
                <c:pt idx="10">
                  <c:v>1.8918485039079756E-2</c:v>
                </c:pt>
                <c:pt idx="11">
                  <c:v>1.3478753756809101E-2</c:v>
                </c:pt>
                <c:pt idx="12">
                  <c:v>8.881243547387634E-3</c:v>
                </c:pt>
                <c:pt idx="13">
                  <c:v>5.466867238047071E-3</c:v>
                </c:pt>
                <c:pt idx="14">
                  <c:v>3.1709157235184286E-3</c:v>
                </c:pt>
                <c:pt idx="15">
                  <c:v>1.7459186523562447E-3</c:v>
                </c:pt>
                <c:pt idx="16">
                  <c:v>9.1839058774420622E-4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CF1-4A41-B12E-81D3F271882E}"/>
            </c:ext>
          </c:extLst>
        </c:ser>
        <c:ser>
          <c:idx val="5"/>
          <c:order val="5"/>
          <c:tx>
            <c:v>0.6</c:v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first_part_gamma!$G$5:$G$21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first_part_gamma!$N$5:$N$21</c:f>
              <c:numCache>
                <c:formatCode>General</c:formatCode>
                <c:ptCount val="17"/>
                <c:pt idx="0">
                  <c:v>2.7236380704730449E-4</c:v>
                </c:pt>
                <c:pt idx="1">
                  <c:v>1.1382523244176247E-3</c:v>
                </c:pt>
                <c:pt idx="2">
                  <c:v>3.3722289783455592E-3</c:v>
                </c:pt>
                <c:pt idx="3">
                  <c:v>7.5458967272333394E-3</c:v>
                </c:pt>
                <c:pt idx="4">
                  <c:v>1.3395159432299533E-2</c:v>
                </c:pt>
                <c:pt idx="5">
                  <c:v>1.9607203543702149E-2</c:v>
                </c:pt>
                <c:pt idx="6">
                  <c:v>2.4406774147524603E-2</c:v>
                </c:pt>
                <c:pt idx="7">
                  <c:v>2.64881643942976E-2</c:v>
                </c:pt>
                <c:pt idx="8">
                  <c:v>2.5578375413499596E-2</c:v>
                </c:pt>
                <c:pt idx="9">
                  <c:v>2.234876720629585E-2</c:v>
                </c:pt>
                <c:pt idx="10">
                  <c:v>1.7916173218194179E-2</c:v>
                </c:pt>
                <c:pt idx="11">
                  <c:v>1.333267834934383E-2</c:v>
                </c:pt>
                <c:pt idx="12">
                  <c:v>9.3013597568778455E-3</c:v>
                </c:pt>
                <c:pt idx="13">
                  <c:v>6.1342693499021788E-3</c:v>
                </c:pt>
                <c:pt idx="14">
                  <c:v>3.8518254155354282E-3</c:v>
                </c:pt>
                <c:pt idx="15">
                  <c:v>2.3169614647433373E-3</c:v>
                </c:pt>
                <c:pt idx="16">
                  <c:v>1.3421930911671853E-3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CF1-4A41-B12E-81D3F271882E}"/>
            </c:ext>
          </c:extLst>
        </c:ser>
        <c:ser>
          <c:idx val="6"/>
          <c:order val="6"/>
          <c:tx>
            <c:v>0.7</c:v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first_part_gamma!$G$5:$G$21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first_part_gamma!$O$5:$O$21</c:f>
              <c:numCache>
                <c:formatCode>General</c:formatCode>
                <c:ptCount val="17"/>
                <c:pt idx="0">
                  <c:v>5.476048159651799E-4</c:v>
                </c:pt>
                <c:pt idx="1">
                  <c:v>1.8286848240875091E-3</c:v>
                </c:pt>
                <c:pt idx="2">
                  <c:v>4.5539531232495038E-3</c:v>
                </c:pt>
                <c:pt idx="3">
                  <c:v>8.92731806222242E-3</c:v>
                </c:pt>
                <c:pt idx="4">
                  <c:v>1.4366321033900604E-2</c:v>
                </c:pt>
                <c:pt idx="5">
                  <c:v>1.9615204928584505E-2</c:v>
                </c:pt>
                <c:pt idx="6">
                  <c:v>2.3329031963279279E-2</c:v>
                </c:pt>
                <c:pt idx="7">
                  <c:v>2.4688265009858643E-2</c:v>
                </c:pt>
                <c:pt idx="8">
                  <c:v>2.3654347961507342E-2</c:v>
                </c:pt>
                <c:pt idx="9">
                  <c:v>2.0814619144845087E-2</c:v>
                </c:pt>
                <c:pt idx="10">
                  <c:v>1.7022556226213847E-2</c:v>
                </c:pt>
                <c:pt idx="11">
                  <c:v>1.3067821328100538E-2</c:v>
                </c:pt>
                <c:pt idx="12">
                  <c:v>9.4962050866496343E-3</c:v>
                </c:pt>
                <c:pt idx="13">
                  <c:v>6.5790096216856182E-3</c:v>
                </c:pt>
                <c:pt idx="14">
                  <c:v>4.3719665660242645E-3</c:v>
                </c:pt>
                <c:pt idx="15">
                  <c:v>2.8013465758306814E-3</c:v>
                </c:pt>
                <c:pt idx="16">
                  <c:v>1.7385470025647579E-3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CF1-4A41-B12E-81D3F271882E}"/>
            </c:ext>
          </c:extLst>
        </c:ser>
        <c:ser>
          <c:idx val="7"/>
          <c:order val="7"/>
          <c:tx>
            <c:v>0.8</c:v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first_part_gamma!$G$5:$G$21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first_part_gamma!$P$5:$P$21</c:f>
              <c:numCache>
                <c:formatCode>General</c:formatCode>
                <c:ptCount val="17"/>
                <c:pt idx="0">
                  <c:v>9.1609936771568209E-4</c:v>
                </c:pt>
                <c:pt idx="1">
                  <c:v>2.585538590771336E-3</c:v>
                </c:pt>
                <c:pt idx="2">
                  <c:v>5.6523508060789462E-3</c:v>
                </c:pt>
                <c:pt idx="3">
                  <c:v>1.0033802504733588E-2</c:v>
                </c:pt>
                <c:pt idx="4">
                  <c:v>1.5001364182628535E-2</c:v>
                </c:pt>
                <c:pt idx="5">
                  <c:v>1.944073459830415E-2</c:v>
                </c:pt>
                <c:pt idx="6">
                  <c:v>2.2344641814505347E-2</c:v>
                </c:pt>
                <c:pt idx="7">
                  <c:v>2.3203661883923712E-2</c:v>
                </c:pt>
                <c:pt idx="8">
                  <c:v>2.2101737998123483E-2</c:v>
                </c:pt>
                <c:pt idx="9">
                  <c:v>1.9552017122180455E-2</c:v>
                </c:pt>
                <c:pt idx="10">
                  <c:v>1.6231040004613291E-2</c:v>
                </c:pt>
                <c:pt idx="11">
                  <c:v>1.2754236173725023E-2</c:v>
                </c:pt>
                <c:pt idx="12">
                  <c:v>9.5562993383245896E-3</c:v>
                </c:pt>
                <c:pt idx="13">
                  <c:v>6.8698255498420117E-3</c:v>
                </c:pt>
                <c:pt idx="14">
                  <c:v>4.763448098667143E-3</c:v>
                </c:pt>
                <c:pt idx="15">
                  <c:v>3.2002933770762325E-3</c:v>
                </c:pt>
                <c:pt idx="16">
                  <c:v>2.0914714572423773E-3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CF1-4A41-B12E-81D3F271882E}"/>
            </c:ext>
          </c:extLst>
        </c:ser>
        <c:ser>
          <c:idx val="8"/>
          <c:order val="8"/>
          <c:tx>
            <c:v>0.9</c:v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first_part_gamma!$G$5:$G$21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first_part_gamma!$Q$5:$Q$21</c:f>
              <c:numCache>
                <c:formatCode>General</c:formatCode>
                <c:ptCount val="17"/>
                <c:pt idx="0">
                  <c:v>1.3571389458380512E-3</c:v>
                </c:pt>
                <c:pt idx="1">
                  <c:v>3.3605151026574521E-3</c:v>
                </c:pt>
                <c:pt idx="2">
                  <c:v>6.6387114573764538E-3</c:v>
                </c:pt>
                <c:pt idx="3">
                  <c:v>1.090940622330224E-2</c:v>
                </c:pt>
                <c:pt idx="4">
                  <c:v>1.5403132263133367E-2</c:v>
                </c:pt>
                <c:pt idx="5">
                  <c:v>1.9167361944162006E-2</c:v>
                </c:pt>
                <c:pt idx="6">
                  <c:v>2.1452524339852525E-2</c:v>
                </c:pt>
                <c:pt idx="7">
                  <c:v>2.1952066922098775E-2</c:v>
                </c:pt>
                <c:pt idx="8">
                  <c:v>2.0814289167512139E-2</c:v>
                </c:pt>
                <c:pt idx="9">
                  <c:v>1.8489346824041977E-2</c:v>
                </c:pt>
                <c:pt idx="10">
                  <c:v>1.5528543194402063E-2</c:v>
                </c:pt>
                <c:pt idx="11">
                  <c:v>1.2425602990436631E-2</c:v>
                </c:pt>
                <c:pt idx="12">
                  <c:v>9.5342861100476319E-3</c:v>
                </c:pt>
                <c:pt idx="13">
                  <c:v>7.0538139252298484E-3</c:v>
                </c:pt>
                <c:pt idx="14">
                  <c:v>5.0554177985015734E-3</c:v>
                </c:pt>
                <c:pt idx="15">
                  <c:v>3.5239585209983202E-3</c:v>
                </c:pt>
                <c:pt idx="16">
                  <c:v>2.3974428180687469E-3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CF1-4A41-B12E-81D3F271882E}"/>
            </c:ext>
          </c:extLst>
        </c:ser>
        <c:ser>
          <c:idx val="9"/>
          <c:order val="9"/>
          <c:tx>
            <c:v>1</c:v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first_part_gamma!$G$5:$G$21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first_part_gamma!$R$5:$R$21</c:f>
              <c:numCache>
                <c:formatCode>General</c:formatCode>
                <c:ptCount val="17"/>
                <c:pt idx="0">
                  <c:v>1.8477969471792112E-3</c:v>
                </c:pt>
                <c:pt idx="1">
                  <c:v>4.1207309613217006E-3</c:v>
                </c:pt>
                <c:pt idx="2">
                  <c:v>7.5067523489369872E-3</c:v>
                </c:pt>
                <c:pt idx="3">
                  <c:v>1.1597225794774839E-2</c:v>
                </c:pt>
                <c:pt idx="4">
                  <c:v>1.5641421674019225E-2</c:v>
                </c:pt>
                <c:pt idx="5">
                  <c:v>1.8841983940109528E-2</c:v>
                </c:pt>
                <c:pt idx="6">
                  <c:v>2.0644622964645629E-2</c:v>
                </c:pt>
                <c:pt idx="7">
                  <c:v>2.087829727981377E-2</c:v>
                </c:pt>
                <c:pt idx="8">
                  <c:v>1.9723966545394447E-2</c:v>
                </c:pt>
                <c:pt idx="9">
                  <c:v>1.7578836087368842E-2</c:v>
                </c:pt>
                <c:pt idx="10">
                  <c:v>1.4901938093572724E-2</c:v>
                </c:pt>
                <c:pt idx="11">
                  <c:v>1.2098525266351955E-2</c:v>
                </c:pt>
                <c:pt idx="12">
                  <c:v>9.46175015661453E-3</c:v>
                </c:pt>
                <c:pt idx="13">
                  <c:v>7.162937779782763E-3</c:v>
                </c:pt>
                <c:pt idx="14">
                  <c:v>5.2712072632879253E-3</c:v>
                </c:pt>
                <c:pt idx="15">
                  <c:v>3.7843224261389784E-3</c:v>
                </c:pt>
                <c:pt idx="16">
                  <c:v>2.6587031941631986E-3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CF1-4A41-B12E-81D3F271882E}"/>
            </c:ext>
          </c:extLst>
        </c:ser>
        <c:ser>
          <c:idx val="10"/>
          <c:order val="10"/>
          <c:tx>
            <c:v>2</c:v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first_part_gamma!$G$5:$G$21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first_part_gamma!$S$5:$S$21</c:f>
              <c:numCache>
                <c:formatCode>General</c:formatCode>
                <c:ptCount val="17"/>
                <c:pt idx="0">
                  <c:v>6.5999568536451924E-3</c:v>
                </c:pt>
                <c:pt idx="1">
                  <c:v>9.1893387459059377E-3</c:v>
                </c:pt>
                <c:pt idx="2">
                  <c:v>1.1624159945686186E-2</c:v>
                </c:pt>
                <c:pt idx="3">
                  <c:v>1.3601749391133745E-2</c:v>
                </c:pt>
                <c:pt idx="4">
                  <c:v>1.4928999083209108E-2</c:v>
                </c:pt>
                <c:pt idx="5">
                  <c:v>1.5538821309956893E-2</c:v>
                </c:pt>
                <c:pt idx="6">
                  <c:v>1.5471684475151492E-2</c:v>
                </c:pt>
                <c:pt idx="7">
                  <c:v>1.4840061535306964E-2</c:v>
                </c:pt>
                <c:pt idx="8">
                  <c:v>1.3790926583135297E-2</c:v>
                </c:pt>
                <c:pt idx="9">
                  <c:v>1.2475292570391813E-2</c:v>
                </c:pt>
                <c:pt idx="10">
                  <c:v>1.1028059378052651E-2</c:v>
                </c:pt>
                <c:pt idx="11">
                  <c:v>9.5576676672171137E-3</c:v>
                </c:pt>
                <c:pt idx="12">
                  <c:v>8.1432630811320347E-3</c:v>
                </c:pt>
                <c:pt idx="13">
                  <c:v>6.8366861897907428E-3</c:v>
                </c:pt>
                <c:pt idx="14">
                  <c:v>5.6669702285113378E-3</c:v>
                </c:pt>
                <c:pt idx="15">
                  <c:v>4.6456697775222452E-3</c:v>
                </c:pt>
                <c:pt idx="16">
                  <c:v>3.7719785580502142E-3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CF1-4A41-B12E-81D3F271882E}"/>
            </c:ext>
          </c:extLst>
        </c:ser>
        <c:ser>
          <c:idx val="11"/>
          <c:order val="11"/>
          <c:tx>
            <c:v>3</c:v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first_part_gamma!$G$5:$G$21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first_part_gamma!$T$5:$T$21</c:f>
              <c:numCache>
                <c:formatCode>General</c:formatCode>
                <c:ptCount val="17"/>
                <c:pt idx="0">
                  <c:v>9.1771016304238069E-3</c:v>
                </c:pt>
                <c:pt idx="1">
                  <c:v>1.0920849507992854E-2</c:v>
                </c:pt>
                <c:pt idx="2">
                  <c:v>1.2233016676571298E-2</c:v>
                </c:pt>
                <c:pt idx="3">
                  <c:v>1.3047996011475228E-2</c:v>
                </c:pt>
                <c:pt idx="4">
                  <c:v>1.3370603439876852E-2</c:v>
                </c:pt>
                <c:pt idx="5">
                  <c:v>1.3255131727717093E-2</c:v>
                </c:pt>
                <c:pt idx="6">
                  <c:v>1.2783505889003443E-2</c:v>
                </c:pt>
                <c:pt idx="7">
                  <c:v>1.2047161650680642E-2</c:v>
                </c:pt>
                <c:pt idx="8">
                  <c:v>1.1134276551152785E-2</c:v>
                </c:pt>
                <c:pt idx="9">
                  <c:v>1.0122157910866229E-2</c:v>
                </c:pt>
                <c:pt idx="10">
                  <c:v>9.0737477955800411E-3</c:v>
                </c:pt>
                <c:pt idx="11">
                  <c:v>8.0369990403848391E-3</c:v>
                </c:pt>
                <c:pt idx="12">
                  <c:v>7.0460051549628569E-3</c:v>
                </c:pt>
                <c:pt idx="13">
                  <c:v>6.1230240136718661E-3</c:v>
                </c:pt>
                <c:pt idx="14">
                  <c:v>5.2808038728821569E-3</c:v>
                </c:pt>
                <c:pt idx="15">
                  <c:v>4.5248469998567693E-3</c:v>
                </c:pt>
                <c:pt idx="16">
                  <c:v>3.855415263882422E-3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CF1-4A41-B12E-81D3F271882E}"/>
            </c:ext>
          </c:extLst>
        </c:ser>
        <c:ser>
          <c:idx val="12"/>
          <c:order val="12"/>
          <c:tx>
            <c:v>4</c:v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first_part_gamma!$G$5:$G$21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first_part_gamma!$U$5:$U$21</c:f>
              <c:numCache>
                <c:formatCode>General</c:formatCode>
                <c:ptCount val="17"/>
                <c:pt idx="0">
                  <c:v>1.0313315500073911E-2</c:v>
                </c:pt>
                <c:pt idx="1">
                  <c:v>1.1346268148064857E-2</c:v>
                </c:pt>
                <c:pt idx="2">
                  <c:v>1.1959970353331821E-2</c:v>
                </c:pt>
                <c:pt idx="3">
                  <c:v>1.2179483699411454E-2</c:v>
                </c:pt>
                <c:pt idx="4">
                  <c:v>1.205928909750143E-2</c:v>
                </c:pt>
                <c:pt idx="5">
                  <c:v>1.1667493720574828E-2</c:v>
                </c:pt>
                <c:pt idx="6">
                  <c:v>1.1074310697636874E-2</c:v>
                </c:pt>
                <c:pt idx="7">
                  <c:v>1.034474514620942E-2</c:v>
                </c:pt>
                <c:pt idx="8">
                  <c:v>9.5346953865131021E-3</c:v>
                </c:pt>
                <c:pt idx="9">
                  <c:v>8.6895009017126795E-3</c:v>
                </c:pt>
                <c:pt idx="10">
                  <c:v>7.8440625463605997E-3</c:v>
                </c:pt>
                <c:pt idx="11">
                  <c:v>7.0238536178371452E-3</c:v>
                </c:pt>
                <c:pt idx="12">
                  <c:v>6.2463417557349936E-3</c:v>
                </c:pt>
                <c:pt idx="13">
                  <c:v>5.5225119093422646E-3</c:v>
                </c:pt>
                <c:pt idx="14">
                  <c:v>4.858308981287961E-3</c:v>
                </c:pt>
                <c:pt idx="15">
                  <c:v>4.2559078918170063E-3</c:v>
                </c:pt>
                <c:pt idx="16">
                  <c:v>3.7147763845488606E-3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CF1-4A41-B12E-81D3F271882E}"/>
            </c:ext>
          </c:extLst>
        </c:ser>
        <c:ser>
          <c:idx val="13"/>
          <c:order val="13"/>
          <c:tx>
            <c:v>5</c:v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first_part_gamma!$G$5:$G$21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first_part_gamma!$V$5:$V$21</c:f>
              <c:numCache>
                <c:formatCode>General</c:formatCode>
                <c:ptCount val="17"/>
                <c:pt idx="0">
                  <c:v>1.073708151996329E-2</c:v>
                </c:pt>
                <c:pt idx="1">
                  <c:v>1.1268946181697022E-2</c:v>
                </c:pt>
                <c:pt idx="2">
                  <c:v>1.1453027766679769E-2</c:v>
                </c:pt>
                <c:pt idx="3">
                  <c:v>1.1343634002882847E-2</c:v>
                </c:pt>
                <c:pt idx="4">
                  <c:v>1.1002627628314172E-2</c:v>
                </c:pt>
                <c:pt idx="5">
                  <c:v>1.0490736571836447E-2</c:v>
                </c:pt>
                <c:pt idx="6">
                  <c:v>9.8625457284395694E-3</c:v>
                </c:pt>
                <c:pt idx="7">
                  <c:v>9.1641696406864273E-3</c:v>
                </c:pt>
                <c:pt idx="8">
                  <c:v>8.4326874401380626E-3</c:v>
                </c:pt>
                <c:pt idx="9">
                  <c:v>7.6966219777363501E-3</c:v>
                </c:pt>
                <c:pt idx="10">
                  <c:v>6.9769553505238452E-3</c:v>
                </c:pt>
                <c:pt idx="11">
                  <c:v>6.2883493733863101E-3</c:v>
                </c:pt>
                <c:pt idx="12">
                  <c:v>5.6403714114604637E-3</c:v>
                </c:pt>
                <c:pt idx="13">
                  <c:v>5.0386172534840883E-3</c:v>
                </c:pt>
                <c:pt idx="14">
                  <c:v>4.4856819490140861E-3</c:v>
                </c:pt>
                <c:pt idx="15">
                  <c:v>3.9819655859202495E-3</c:v>
                </c:pt>
                <c:pt idx="16">
                  <c:v>3.5263212434632854E-3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CF1-4A41-B12E-81D3F271882E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3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5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8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9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1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4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</c:bandFmts>
        <c:axId val="548354208"/>
        <c:axId val="548352128"/>
        <c:axId val="923537936"/>
      </c:surface3DChart>
      <c:catAx>
        <c:axId val="548354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stock price</a:t>
                </a:r>
              </a:p>
            </c:rich>
          </c:tx>
          <c:layout>
            <c:manualLayout>
              <c:xMode val="edge"/>
              <c:yMode val="edge"/>
              <c:x val="0.14202110912359331"/>
              <c:y val="0.8569218743662014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352128"/>
        <c:crosses val="autoZero"/>
        <c:auto val="1"/>
        <c:lblAlgn val="ctr"/>
        <c:lblOffset val="100"/>
        <c:noMultiLvlLbl val="0"/>
      </c:catAx>
      <c:valAx>
        <c:axId val="548352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gamma</a:t>
                </a:r>
              </a:p>
            </c:rich>
          </c:tx>
          <c:layout>
            <c:manualLayout>
              <c:xMode val="edge"/>
              <c:yMode val="edge"/>
              <c:x val="7.1110040281423162E-2"/>
              <c:y val="0.4764751986646830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354208"/>
        <c:crosses val="autoZero"/>
        <c:crossBetween val="midCat"/>
      </c:valAx>
      <c:serAx>
        <c:axId val="923537936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Maturity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352128"/>
        <c:crosses val="autoZero"/>
      </c:ser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5382560572712448"/>
          <c:y val="0.92037736841932161"/>
          <c:w val="0.67639956131129686"/>
          <c:h val="5.873811473657553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Gamma ( Volatility = 0.3)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0"/>
      <c:rotY val="20"/>
      <c:depthPercent val="250"/>
      <c:rAngAx val="0"/>
      <c:perspective val="2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v>0.1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first_part_gamma!$Y$5:$Y$21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first_part_gamma!$AA$5:$AA$21</c:f>
              <c:numCache>
                <c:formatCode>General</c:formatCode>
                <c:ptCount val="17"/>
                <c:pt idx="0">
                  <c:v>4.8371729163416155E-8</c:v>
                </c:pt>
                <c:pt idx="1">
                  <c:v>2.7992835519207707E-6</c:v>
                </c:pt>
                <c:pt idx="2">
                  <c:v>6.3562115182022813E-5</c:v>
                </c:pt>
                <c:pt idx="3">
                  <c:v>6.7225819369320027E-4</c:v>
                </c:pt>
                <c:pt idx="4">
                  <c:v>3.7827836741325775E-3</c:v>
                </c:pt>
                <c:pt idx="5">
                  <c:v>1.257501258451457E-2</c:v>
                </c:pt>
                <c:pt idx="6">
                  <c:v>2.6849994493107564E-2</c:v>
                </c:pt>
                <c:pt idx="7">
                  <c:v>3.9397555493342631E-2</c:v>
                </c:pt>
                <c:pt idx="8">
                  <c:v>4.1981596977461719E-2</c:v>
                </c:pt>
                <c:pt idx="9">
                  <c:v>3.4000529020197359E-2</c:v>
                </c:pt>
                <c:pt idx="10">
                  <c:v>2.1736822486638243E-2</c:v>
                </c:pt>
                <c:pt idx="11">
                  <c:v>1.132338909622355E-2</c:v>
                </c:pt>
                <c:pt idx="12">
                  <c:v>4.9370130845059279E-3</c:v>
                </c:pt>
                <c:pt idx="13">
                  <c:v>1.8430873083992024E-3</c:v>
                </c:pt>
                <c:pt idx="14">
                  <c:v>6.0071558236562614E-4</c:v>
                </c:pt>
                <c:pt idx="15">
                  <c:v>1.7381608681207663E-4</c:v>
                </c:pt>
                <c:pt idx="16">
                  <c:v>4.5297412812204596E-5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E1-4330-A7A2-D28E68C52C24}"/>
            </c:ext>
          </c:extLst>
        </c:ser>
        <c:ser>
          <c:idx val="1"/>
          <c:order val="1"/>
          <c:tx>
            <c:v>0.2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first_part_gamma!$Y$5:$Y$21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first_part_gamma!$AB$5:$AB$21</c:f>
              <c:numCache>
                <c:formatCode>General</c:formatCode>
                <c:ptCount val="17"/>
                <c:pt idx="0">
                  <c:v>4.8005602280442924E-5</c:v>
                </c:pt>
                <c:pt idx="1">
                  <c:v>3.4238659642402488E-4</c:v>
                </c:pt>
                <c:pt idx="2">
                  <c:v>1.5369719040112578E-3</c:v>
                </c:pt>
                <c:pt idx="3">
                  <c:v>4.7282210181891805E-3</c:v>
                </c:pt>
                <c:pt idx="4">
                  <c:v>1.0647723775453427E-2</c:v>
                </c:pt>
                <c:pt idx="5">
                  <c:v>1.8488250396357001E-2</c:v>
                </c:pt>
                <c:pt idx="6">
                  <c:v>2.5799834788109949E-2</c:v>
                </c:pt>
                <c:pt idx="7">
                  <c:v>2.9920175402764988E-2</c:v>
                </c:pt>
                <c:pt idx="8">
                  <c:v>2.963562571944587E-2</c:v>
                </c:pt>
                <c:pt idx="9">
                  <c:v>2.5642378317564656E-2</c:v>
                </c:pt>
                <c:pt idx="10">
                  <c:v>1.9748701502398165E-2</c:v>
                </c:pt>
                <c:pt idx="11">
                  <c:v>1.3752363931184045E-2</c:v>
                </c:pt>
                <c:pt idx="12">
                  <c:v>8.7746917760978451E-3</c:v>
                </c:pt>
                <c:pt idx="13">
                  <c:v>5.1878950118337827E-3</c:v>
                </c:pt>
                <c:pt idx="14">
                  <c:v>2.8696661309163176E-3</c:v>
                </c:pt>
                <c:pt idx="15">
                  <c:v>1.4974023713320017E-3</c:v>
                </c:pt>
                <c:pt idx="16">
                  <c:v>7.4234719458286542E-4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E1-4330-A7A2-D28E68C52C24}"/>
            </c:ext>
          </c:extLst>
        </c:ser>
        <c:ser>
          <c:idx val="2"/>
          <c:order val="2"/>
          <c:tx>
            <c:v>0.3</c:v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first_part_gamma!$Y$5:$Y$21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first_part_gamma!$AC$5:$AC$21</c:f>
              <c:numCache>
                <c:formatCode>General</c:formatCode>
                <c:ptCount val="17"/>
                <c:pt idx="0">
                  <c:v>4.3836057898992057E-4</c:v>
                </c:pt>
                <c:pt idx="1">
                  <c:v>1.5558922158995399E-3</c:v>
                </c:pt>
                <c:pt idx="2">
                  <c:v>4.0687523516901589E-3</c:v>
                </c:pt>
                <c:pt idx="3">
                  <c:v>8.2932442565351958E-3</c:v>
                </c:pt>
                <c:pt idx="4">
                  <c:v>1.3762943653982113E-2</c:v>
                </c:pt>
                <c:pt idx="5">
                  <c:v>1.9245583173855805E-2</c:v>
                </c:pt>
                <c:pt idx="6">
                  <c:v>2.3306691732956811E-2</c:v>
                </c:pt>
                <c:pt idx="7">
                  <c:v>2.4990132225163462E-2</c:v>
                </c:pt>
                <c:pt idx="8">
                  <c:v>2.4156756171112039E-2</c:v>
                </c:pt>
                <c:pt idx="9">
                  <c:v>2.1367578691690262E-2</c:v>
                </c:pt>
                <c:pt idx="10">
                  <c:v>1.7510243021562306E-2</c:v>
                </c:pt>
                <c:pt idx="11">
                  <c:v>1.3432302518922605E-2</c:v>
                </c:pt>
                <c:pt idx="12">
                  <c:v>9.7303217208305603E-3</c:v>
                </c:pt>
                <c:pt idx="13">
                  <c:v>6.7057249264153357E-3</c:v>
                </c:pt>
                <c:pt idx="14">
                  <c:v>4.4244401962093699E-3</c:v>
                </c:pt>
                <c:pt idx="15">
                  <c:v>2.8101370337925168E-3</c:v>
                </c:pt>
                <c:pt idx="16">
                  <c:v>1.726199932637131E-3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6E1-4330-A7A2-D28E68C52C24}"/>
            </c:ext>
          </c:extLst>
        </c:ser>
        <c:ser>
          <c:idx val="3"/>
          <c:order val="3"/>
          <c:tx>
            <c:v>0.4</c:v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first_part_gamma!$Y$5:$Y$21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first_part_gamma!$AD$5:$AD$21</c:f>
              <c:numCache>
                <c:formatCode>General</c:formatCode>
                <c:ptCount val="17"/>
                <c:pt idx="0">
                  <c:v>1.2684980236185482E-3</c:v>
                </c:pt>
                <c:pt idx="1">
                  <c:v>3.1761382873591237E-3</c:v>
                </c:pt>
                <c:pt idx="2">
                  <c:v>6.3393895489089105E-3</c:v>
                </c:pt>
                <c:pt idx="3">
                  <c:v>1.0517834159617734E-2</c:v>
                </c:pt>
                <c:pt idx="4">
                  <c:v>1.4983978051139487E-2</c:v>
                </c:pt>
                <c:pt idx="5">
                  <c:v>1.8803436356655608E-2</c:v>
                </c:pt>
                <c:pt idx="6">
                  <c:v>2.1212946857819128E-2</c:v>
                </c:pt>
                <c:pt idx="7">
                  <c:v>2.187052870331763E-2</c:v>
                </c:pt>
                <c:pt idx="8">
                  <c:v>2.0885236208200961E-2</c:v>
                </c:pt>
                <c:pt idx="9">
                  <c:v>1.8678514542129088E-2</c:v>
                </c:pt>
                <c:pt idx="10">
                  <c:v>1.5789104753624824E-2</c:v>
                </c:pt>
                <c:pt idx="11">
                  <c:v>1.2712341075815795E-2</c:v>
                </c:pt>
                <c:pt idx="12">
                  <c:v>9.8121320272589463E-3</c:v>
                </c:pt>
                <c:pt idx="13">
                  <c:v>7.3006500382870035E-3</c:v>
                </c:pt>
                <c:pt idx="14">
                  <c:v>5.2609033868653314E-3</c:v>
                </c:pt>
                <c:pt idx="15">
                  <c:v>3.6864683342030654E-3</c:v>
                </c:pt>
                <c:pt idx="16">
                  <c:v>2.5207026945741878E-3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6E1-4330-A7A2-D28E68C52C24}"/>
            </c:ext>
          </c:extLst>
        </c:ser>
        <c:ser>
          <c:idx val="4"/>
          <c:order val="4"/>
          <c:tx>
            <c:v>0.5</c:v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first_part_gamma!$Y$5:$Y$21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first_part_gamma!$AE$5:$AE$21</c:f>
              <c:numCache>
                <c:formatCode>General</c:formatCode>
                <c:ptCount val="17"/>
                <c:pt idx="0">
                  <c:v>2.3382957957450985E-3</c:v>
                </c:pt>
                <c:pt idx="1">
                  <c:v>4.7488233231175484E-3</c:v>
                </c:pt>
                <c:pt idx="2">
                  <c:v>8.0599773466249677E-3</c:v>
                </c:pt>
                <c:pt idx="3">
                  <c:v>1.1819037433225307E-2</c:v>
                </c:pt>
                <c:pt idx="4">
                  <c:v>1.5364246918448029E-2</c:v>
                </c:pt>
                <c:pt idx="5">
                  <c:v>1.8068228988525181E-2</c:v>
                </c:pt>
                <c:pt idx="6">
                  <c:v>1.9534751872486739E-2</c:v>
                </c:pt>
                <c:pt idx="7">
                  <c:v>1.9671994336736283E-2</c:v>
                </c:pt>
                <c:pt idx="8">
                  <c:v>1.8648956198552002E-2</c:v>
                </c:pt>
                <c:pt idx="9">
                  <c:v>1.6789169768697557E-2</c:v>
                </c:pt>
                <c:pt idx="10">
                  <c:v>1.4458770943216178E-2</c:v>
                </c:pt>
                <c:pt idx="11">
                  <c:v>1.1984095247208172E-2</c:v>
                </c:pt>
                <c:pt idx="12">
                  <c:v>9.6090347795308416E-3</c:v>
                </c:pt>
                <c:pt idx="13">
                  <c:v>7.4859286012427398E-3</c:v>
                </c:pt>
                <c:pt idx="14">
                  <c:v>5.6874317310270693E-3</c:v>
                </c:pt>
                <c:pt idx="15">
                  <c:v>4.2274159872265253E-3</c:v>
                </c:pt>
                <c:pt idx="16">
                  <c:v>3.0825818422678905E-3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6E1-4330-A7A2-D28E68C52C24}"/>
            </c:ext>
          </c:extLst>
        </c:ser>
        <c:ser>
          <c:idx val="5"/>
          <c:order val="5"/>
          <c:tx>
            <c:v>0.6</c:v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first_part_gamma!$Y$5:$Y$21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first_part_gamma!$AF$5:$AF$21</c:f>
              <c:numCache>
                <c:formatCode>General</c:formatCode>
                <c:ptCount val="17"/>
                <c:pt idx="0">
                  <c:v>3.4549517028754717E-3</c:v>
                </c:pt>
                <c:pt idx="1">
                  <c:v>6.1025757786037126E-3</c:v>
                </c:pt>
                <c:pt idx="2">
                  <c:v>9.2966719191608007E-3</c:v>
                </c:pt>
                <c:pt idx="3">
                  <c:v>1.2555154567235544E-2</c:v>
                </c:pt>
                <c:pt idx="4">
                  <c:v>1.5354539900425004E-2</c:v>
                </c:pt>
                <c:pt idx="5">
                  <c:v>1.7291682643531966E-2</c:v>
                </c:pt>
                <c:pt idx="6">
                  <c:v>1.8172524320191757E-2</c:v>
                </c:pt>
                <c:pt idx="7">
                  <c:v>1.8015399304984771E-2</c:v>
                </c:pt>
                <c:pt idx="8">
                  <c:v>1.6995504070964788E-2</c:v>
                </c:pt>
                <c:pt idx="9">
                  <c:v>1.5368208376167369E-2</c:v>
                </c:pt>
                <c:pt idx="10">
                  <c:v>1.3400367884206782E-2</c:v>
                </c:pt>
                <c:pt idx="11">
                  <c:v>1.132386000635301E-2</c:v>
                </c:pt>
                <c:pt idx="12">
                  <c:v>9.313082481780104E-3</c:v>
                </c:pt>
                <c:pt idx="13">
                  <c:v>7.4811990466972442E-3</c:v>
                </c:pt>
                <c:pt idx="14">
                  <c:v>5.8878427994134399E-3</c:v>
                </c:pt>
                <c:pt idx="15">
                  <c:v>4.5518443181372789E-3</c:v>
                </c:pt>
                <c:pt idx="16">
                  <c:v>3.4645436604697206E-3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6E1-4330-A7A2-D28E68C52C24}"/>
            </c:ext>
          </c:extLst>
        </c:ser>
        <c:ser>
          <c:idx val="6"/>
          <c:order val="6"/>
          <c:tx>
            <c:v>0.7</c:v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first_part_gamma!$Y$5:$Y$21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first_part_gamma!$AG$5:$AG$21</c:f>
              <c:numCache>
                <c:formatCode>General</c:formatCode>
                <c:ptCount val="17"/>
                <c:pt idx="0">
                  <c:v>4.5096296845151063E-3</c:v>
                </c:pt>
                <c:pt idx="1">
                  <c:v>7.2096701015754924E-3</c:v>
                </c:pt>
                <c:pt idx="2">
                  <c:v>1.0167303762997196E-2</c:v>
                </c:pt>
                <c:pt idx="3">
                  <c:v>1.2946786325768763E-2</c:v>
                </c:pt>
                <c:pt idx="4">
                  <c:v>1.5157858484034765E-2</c:v>
                </c:pt>
                <c:pt idx="5">
                  <c:v>1.6550341873979184E-2</c:v>
                </c:pt>
                <c:pt idx="6">
                  <c:v>1.7044687194816176E-2</c:v>
                </c:pt>
                <c:pt idx="7">
                  <c:v>1.6709061466729101E-2</c:v>
                </c:pt>
                <c:pt idx="8">
                  <c:v>1.5708358311106813E-2</c:v>
                </c:pt>
                <c:pt idx="9">
                  <c:v>1.4249101786859477E-2</c:v>
                </c:pt>
                <c:pt idx="10">
                  <c:v>1.253521869678631E-2</c:v>
                </c:pt>
                <c:pt idx="11">
                  <c:v>1.074020246658062E-2</c:v>
                </c:pt>
                <c:pt idx="12">
                  <c:v>8.9946864621100828E-3</c:v>
                </c:pt>
                <c:pt idx="13">
                  <c:v>7.3853698760191324E-3</c:v>
                </c:pt>
                <c:pt idx="14">
                  <c:v>5.9606848610583791E-3</c:v>
                </c:pt>
                <c:pt idx="15">
                  <c:v>4.7393843504899566E-3</c:v>
                </c:pt>
                <c:pt idx="16">
                  <c:v>3.7194597267081694E-3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6E1-4330-A7A2-D28E68C52C24}"/>
            </c:ext>
          </c:extLst>
        </c:ser>
        <c:ser>
          <c:idx val="7"/>
          <c:order val="7"/>
          <c:tx>
            <c:v>0.8</c:v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first_part_gamma!$Y$5:$Y$21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first_part_gamma!$AH$5:$AH$21</c:f>
              <c:numCache>
                <c:formatCode>General</c:formatCode>
                <c:ptCount val="17"/>
                <c:pt idx="0">
                  <c:v>5.4555892387964204E-3</c:v>
                </c:pt>
                <c:pt idx="1">
                  <c:v>8.0936358441935641E-3</c:v>
                </c:pt>
                <c:pt idx="2">
                  <c:v>1.0771870609204376E-2</c:v>
                </c:pt>
                <c:pt idx="3">
                  <c:v>1.3124825156577539E-2</c:v>
                </c:pt>
                <c:pt idx="4">
                  <c:v>1.4871858249720597E-2</c:v>
                </c:pt>
                <c:pt idx="5">
                  <c:v>1.5865759347980533E-2</c:v>
                </c:pt>
                <c:pt idx="6">
                  <c:v>1.6093332217008625E-2</c:v>
                </c:pt>
                <c:pt idx="7">
                  <c:v>1.5644431582997612E-2</c:v>
                </c:pt>
                <c:pt idx="8">
                  <c:v>1.4669150678135831E-2</c:v>
                </c:pt>
                <c:pt idx="9">
                  <c:v>1.3337894677823489E-2</c:v>
                </c:pt>
                <c:pt idx="10">
                  <c:v>1.1811904293602783E-2</c:v>
                </c:pt>
                <c:pt idx="11">
                  <c:v>1.022592397572397E-2</c:v>
                </c:pt>
                <c:pt idx="12">
                  <c:v>8.6812461969082502E-3</c:v>
                </c:pt>
                <c:pt idx="13">
                  <c:v>7.2460218594597326E-3</c:v>
                </c:pt>
                <c:pt idx="14">
                  <c:v>5.9597458042224315E-3</c:v>
                </c:pt>
                <c:pt idx="15">
                  <c:v>4.8394882133299885E-3</c:v>
                </c:pt>
                <c:pt idx="16">
                  <c:v>3.8862598492258598E-3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6E1-4330-A7A2-D28E68C52C24}"/>
            </c:ext>
          </c:extLst>
        </c:ser>
        <c:ser>
          <c:idx val="8"/>
          <c:order val="8"/>
          <c:tx>
            <c:v>0.9</c:v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first_part_gamma!$Y$5:$Y$21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first_part_gamma!$AI$5:$AI$21</c:f>
              <c:numCache>
                <c:formatCode>General</c:formatCode>
                <c:ptCount val="17"/>
                <c:pt idx="0">
                  <c:v>6.2802722099484769E-3</c:v>
                </c:pt>
                <c:pt idx="1">
                  <c:v>8.7907122230331206E-3</c:v>
                </c:pt>
                <c:pt idx="2">
                  <c:v>1.1184482954854207E-2</c:v>
                </c:pt>
                <c:pt idx="3">
                  <c:v>1.3168033532704496E-2</c:v>
                </c:pt>
                <c:pt idx="4">
                  <c:v>1.4546046008012571E-2</c:v>
                </c:pt>
                <c:pt idx="5">
                  <c:v>1.5240725494598826E-2</c:v>
                </c:pt>
                <c:pt idx="6">
                  <c:v>1.5277763824001958E-2</c:v>
                </c:pt>
                <c:pt idx="7">
                  <c:v>1.4754868041798963E-2</c:v>
                </c:pt>
                <c:pt idx="8">
                  <c:v>1.38069849781331E-2</c:v>
                </c:pt>
                <c:pt idx="9">
                  <c:v>1.2577052515957671E-2</c:v>
                </c:pt>
                <c:pt idx="10">
                  <c:v>1.1195871235951033E-2</c:v>
                </c:pt>
                <c:pt idx="11">
                  <c:v>9.7710707636894881E-3</c:v>
                </c:pt>
                <c:pt idx="12">
                  <c:v>8.3833035199653554E-3</c:v>
                </c:pt>
                <c:pt idx="13">
                  <c:v>7.0872762215001793E-3</c:v>
                </c:pt>
                <c:pt idx="14">
                  <c:v>5.91545955769436E-3</c:v>
                </c:pt>
                <c:pt idx="15">
                  <c:v>4.8828534679731259E-3</c:v>
                </c:pt>
                <c:pt idx="16">
                  <c:v>3.9917562221930339E-3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6E1-4330-A7A2-D28E68C52C24}"/>
            </c:ext>
          </c:extLst>
        </c:ser>
        <c:ser>
          <c:idx val="9"/>
          <c:order val="9"/>
          <c:tx>
            <c:v>1</c:v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first_part_gamma!$Y$5:$Y$21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first_part_gamma!$AJ$5:$AJ$21</c:f>
              <c:numCache>
                <c:formatCode>General</c:formatCode>
                <c:ptCount val="17"/>
                <c:pt idx="0">
                  <c:v>6.9875383385906891E-3</c:v>
                </c:pt>
                <c:pt idx="1">
                  <c:v>9.336082432746199E-3</c:v>
                </c:pt>
                <c:pt idx="2">
                  <c:v>1.1458084787714838E-2</c:v>
                </c:pt>
                <c:pt idx="3">
                  <c:v>1.3124994619891275E-2</c:v>
                </c:pt>
                <c:pt idx="4">
                  <c:v>1.4206432265572271E-2</c:v>
                </c:pt>
                <c:pt idx="5">
                  <c:v>1.4671609392337213E-2</c:v>
                </c:pt>
                <c:pt idx="6">
                  <c:v>1.4568912566910484E-2</c:v>
                </c:pt>
                <c:pt idx="7">
                  <c:v>1.3996906305568678E-2</c:v>
                </c:pt>
                <c:pt idx="8">
                  <c:v>1.3076461848524422E-2</c:v>
                </c:pt>
                <c:pt idx="9">
                  <c:v>1.1929120878360653E-2</c:v>
                </c:pt>
                <c:pt idx="10">
                  <c:v>1.0663126660408761E-2</c:v>
                </c:pt>
                <c:pt idx="11">
                  <c:v>9.366344559542529E-3</c:v>
                </c:pt>
                <c:pt idx="12">
                  <c:v>8.1043460458643246E-3</c:v>
                </c:pt>
                <c:pt idx="13">
                  <c:v>6.9218060724324567E-3</c:v>
                </c:pt>
                <c:pt idx="14">
                  <c:v>5.8456577452828994E-3</c:v>
                </c:pt>
                <c:pt idx="15">
                  <c:v>4.8888801197403868E-3</c:v>
                </c:pt>
                <c:pt idx="16">
                  <c:v>4.054208161540623E-3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6E1-4330-A7A2-D28E68C52C24}"/>
            </c:ext>
          </c:extLst>
        </c:ser>
        <c:ser>
          <c:idx val="10"/>
          <c:order val="10"/>
          <c:tx>
            <c:v>2</c:v>
          </c:tx>
          <c:cat>
            <c:numRef>
              <c:f>first_part_gamma!$Y$5:$Y$21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first_part_gamma!$AK$5:$AK$21</c:f>
              <c:numCache>
                <c:formatCode>General</c:formatCode>
                <c:ptCount val="17"/>
                <c:pt idx="0">
                  <c:v>1.0030097674802637E-2</c:v>
                </c:pt>
                <c:pt idx="1">
                  <c:v>1.0869825982032193E-2</c:v>
                </c:pt>
                <c:pt idx="2">
                  <c:v>1.1344091423781007E-2</c:v>
                </c:pt>
                <c:pt idx="3">
                  <c:v>1.1484873818246508E-2</c:v>
                </c:pt>
                <c:pt idx="4">
                  <c:v>1.1343327721716881E-2</c:v>
                </c:pt>
                <c:pt idx="5">
                  <c:v>1.0978106060139997E-2</c:v>
                </c:pt>
                <c:pt idx="6">
                  <c:v>1.0447330574272131E-2</c:v>
                </c:pt>
                <c:pt idx="7">
                  <c:v>9.8037554378220954E-3</c:v>
                </c:pt>
                <c:pt idx="8">
                  <c:v>9.092361475410371E-3</c:v>
                </c:pt>
                <c:pt idx="9">
                  <c:v>8.3496184427614972E-3</c:v>
                </c:pt>
                <c:pt idx="10">
                  <c:v>7.603783522576131E-3</c:v>
                </c:pt>
                <c:pt idx="11">
                  <c:v>6.8757669831697628E-3</c:v>
                </c:pt>
                <c:pt idx="12">
                  <c:v>6.1802445927498402E-3</c:v>
                </c:pt>
                <c:pt idx="13">
                  <c:v>5.5268144202571534E-3</c:v>
                </c:pt>
                <c:pt idx="14">
                  <c:v>4.9210815203458436E-3</c:v>
                </c:pt>
                <c:pt idx="15">
                  <c:v>4.3656123603575472E-3</c:v>
                </c:pt>
                <c:pt idx="16">
                  <c:v>3.8607380733035749E-3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6E1-4330-A7A2-D28E68C52C24}"/>
            </c:ext>
          </c:extLst>
        </c:ser>
        <c:ser>
          <c:idx val="11"/>
          <c:order val="11"/>
          <c:tx>
            <c:v>3</c:v>
          </c:tx>
          <c:cat>
            <c:numRef>
              <c:f>first_part_gamma!$Y$5:$Y$21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first_part_gamma!$AL$5:$AL$21</c:f>
              <c:numCache>
                <c:formatCode>General</c:formatCode>
                <c:ptCount val="17"/>
                <c:pt idx="0">
                  <c:v>1.025398028665004E-2</c:v>
                </c:pt>
                <c:pt idx="1">
                  <c:v>1.0363399155444456E-2</c:v>
                </c:pt>
                <c:pt idx="2">
                  <c:v>1.0246666696571999E-2</c:v>
                </c:pt>
                <c:pt idx="3">
                  <c:v>9.9554811818721202E-3</c:v>
                </c:pt>
                <c:pt idx="4">
                  <c:v>9.5371649510801234E-3</c:v>
                </c:pt>
                <c:pt idx="5">
                  <c:v>9.0324238181826739E-3</c:v>
                </c:pt>
                <c:pt idx="6">
                  <c:v>8.4747143075524275E-3</c:v>
                </c:pt>
                <c:pt idx="7">
                  <c:v>7.8905317151781781E-3</c:v>
                </c:pt>
                <c:pt idx="8">
                  <c:v>7.3001620980094519E-3</c:v>
                </c:pt>
                <c:pt idx="9">
                  <c:v>6.7186139847336453E-3</c:v>
                </c:pt>
                <c:pt idx="10">
                  <c:v>6.1565649557768741E-3</c:v>
                </c:pt>
                <c:pt idx="11">
                  <c:v>5.6212360131347814E-3</c:v>
                </c:pt>
                <c:pt idx="12">
                  <c:v>5.1171548019673802E-3</c:v>
                </c:pt>
                <c:pt idx="13">
                  <c:v>4.6467969605679992E-3</c:v>
                </c:pt>
                <c:pt idx="14">
                  <c:v>4.2111102732515695E-3</c:v>
                </c:pt>
                <c:pt idx="15">
                  <c:v>3.8099337821083405E-3</c:v>
                </c:pt>
                <c:pt idx="16">
                  <c:v>3.4423268142812504E-3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6E1-4330-A7A2-D28E68C52C24}"/>
            </c:ext>
          </c:extLst>
        </c:ser>
        <c:ser>
          <c:idx val="12"/>
          <c:order val="12"/>
          <c:tx>
            <c:v>4</c:v>
          </c:tx>
          <c:cat>
            <c:numRef>
              <c:f>first_part_gamma!$Y$5:$Y$21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first_part_gamma!$AM$5:$AM$21</c:f>
              <c:numCache>
                <c:formatCode>General</c:formatCode>
                <c:ptCount val="17"/>
                <c:pt idx="0">
                  <c:v>9.8534950455954461E-3</c:v>
                </c:pt>
                <c:pt idx="1">
                  <c:v>9.6171460019162294E-3</c:v>
                </c:pt>
                <c:pt idx="2">
                  <c:v>9.2553580000514068E-3</c:v>
                </c:pt>
                <c:pt idx="3">
                  <c:v>8.8091587418353094E-3</c:v>
                </c:pt>
                <c:pt idx="4">
                  <c:v>8.3111834375704362E-3</c:v>
                </c:pt>
                <c:pt idx="5">
                  <c:v>7.7865829825335157E-3</c:v>
                </c:pt>
                <c:pt idx="6">
                  <c:v>7.2541928646975579E-3</c:v>
                </c:pt>
                <c:pt idx="7">
                  <c:v>6.727711143982254E-3</c:v>
                </c:pt>
                <c:pt idx="8">
                  <c:v>6.2167667801221425E-3</c:v>
                </c:pt>
                <c:pt idx="9">
                  <c:v>5.7278335105389287E-3</c:v>
                </c:pt>
                <c:pt idx="10">
                  <c:v>5.2649832426331956E-3</c:v>
                </c:pt>
                <c:pt idx="11">
                  <c:v>4.8304914892427558E-3</c:v>
                </c:pt>
                <c:pt idx="12">
                  <c:v>4.4253147744497462E-3</c:v>
                </c:pt>
                <c:pt idx="13">
                  <c:v>4.0494614630788676E-3</c:v>
                </c:pt>
                <c:pt idx="14">
                  <c:v>3.7022761379487913E-3</c:v>
                </c:pt>
                <c:pt idx="15">
                  <c:v>3.3826551294348179E-3</c:v>
                </c:pt>
                <c:pt idx="16">
                  <c:v>3.0892079723303248E-3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6E1-4330-A7A2-D28E68C52C24}"/>
            </c:ext>
          </c:extLst>
        </c:ser>
        <c:ser>
          <c:idx val="13"/>
          <c:order val="13"/>
          <c:tx>
            <c:v>5</c:v>
          </c:tx>
          <c:cat>
            <c:numRef>
              <c:f>first_part_gamma!$Y$5:$Y$21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first_part_gamma!$AN$5:$AN$21</c:f>
              <c:numCache>
                <c:formatCode>General</c:formatCode>
                <c:ptCount val="17"/>
                <c:pt idx="0">
                  <c:v>9.3178601442685666E-3</c:v>
                </c:pt>
                <c:pt idx="1">
                  <c:v>8.9059405124312912E-3</c:v>
                </c:pt>
                <c:pt idx="2">
                  <c:v>8.4330908674948215E-3</c:v>
                </c:pt>
                <c:pt idx="3">
                  <c:v>7.9280236081079453E-3</c:v>
                </c:pt>
                <c:pt idx="4">
                  <c:v>7.4116721863495584E-3</c:v>
                </c:pt>
                <c:pt idx="5">
                  <c:v>6.8988971767481684E-3</c:v>
                </c:pt>
                <c:pt idx="6">
                  <c:v>6.399922384282445E-3</c:v>
                </c:pt>
                <c:pt idx="7">
                  <c:v>5.9214922774464777E-3</c:v>
                </c:pt>
                <c:pt idx="8">
                  <c:v>5.4677797056007201E-3</c:v>
                </c:pt>
                <c:pt idx="9">
                  <c:v>5.0410846970877594E-3</c:v>
                </c:pt>
                <c:pt idx="10">
                  <c:v>4.6423651796185005E-3</c:v>
                </c:pt>
                <c:pt idx="11">
                  <c:v>4.2716357498546308E-3</c:v>
                </c:pt>
                <c:pt idx="12">
                  <c:v>3.928264530213923E-3</c:v>
                </c:pt>
                <c:pt idx="13">
                  <c:v>3.6111922111984628E-3</c:v>
                </c:pt>
                <c:pt idx="14">
                  <c:v>3.3190921842812561E-3</c:v>
                </c:pt>
                <c:pt idx="15">
                  <c:v>3.0504863785204566E-3</c:v>
                </c:pt>
                <c:pt idx="16">
                  <c:v>2.8038279821686937E-3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6E1-4330-A7A2-D28E68C52C24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3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5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8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9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1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4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</c:bandFmts>
        <c:axId val="541722992"/>
        <c:axId val="541723824"/>
        <c:axId val="923546288"/>
      </c:surface3DChart>
      <c:catAx>
        <c:axId val="541722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>
                    <a:solidFill>
                      <a:schemeClr val="bg1"/>
                    </a:solidFill>
                  </a:rPr>
                  <a:t>Stock 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723824"/>
        <c:crosses val="autoZero"/>
        <c:auto val="1"/>
        <c:lblAlgn val="ctr"/>
        <c:lblOffset val="100"/>
        <c:noMultiLvlLbl val="0"/>
      </c:catAx>
      <c:valAx>
        <c:axId val="541723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>
                    <a:solidFill>
                      <a:schemeClr val="bg1"/>
                    </a:solidFill>
                  </a:rPr>
                  <a:t>Gammma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722992"/>
        <c:crosses val="autoZero"/>
        <c:crossBetween val="midCat"/>
      </c:valAx>
      <c:serAx>
        <c:axId val="923546288"/>
        <c:scaling>
          <c:orientation val="minMax"/>
        </c:scaling>
        <c:delete val="0"/>
        <c:axPos val="b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>
                    <a:solidFill>
                      <a:schemeClr val="bg1"/>
                    </a:solidFill>
                  </a:rPr>
                  <a:t>maturity</a:t>
                </a:r>
              </a:p>
            </c:rich>
          </c:tx>
          <c:overlay val="0"/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723824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Delta (Volatility = 0.1)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20"/>
      <c:rotY val="340"/>
      <c:rAngAx val="0"/>
      <c:perspective val="6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v>0.1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first_part_delta!$AP$6:$AP$22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first_part_delta!$AR$6:$AR$22</c:f>
              <c:numCache>
                <c:formatCode>General</c:formatCode>
                <c:ptCount val="17"/>
                <c:pt idx="0">
                  <c:v>1.152199866581175E-58</c:v>
                </c:pt>
                <c:pt idx="1">
                  <c:v>2.8126612880569749E-42</c:v>
                </c:pt>
                <c:pt idx="2">
                  <c:v>1.4260381787834196E-29</c:v>
                </c:pt>
                <c:pt idx="3">
                  <c:v>7.1568181094979558E-20</c:v>
                </c:pt>
                <c:pt idx="4">
                  <c:v>1.2002701474206063E-12</c:v>
                </c:pt>
                <c:pt idx="5">
                  <c:v>1.7727866846205845E-7</c:v>
                </c:pt>
                <c:pt idx="6">
                  <c:v>5.1107517146906892E-4</c:v>
                </c:pt>
                <c:pt idx="7">
                  <c:v>5.7674144516076838E-2</c:v>
                </c:pt>
                <c:pt idx="8">
                  <c:v>0.51891639999929629</c:v>
                </c:pt>
                <c:pt idx="9">
                  <c:v>0.94411804837488877</c:v>
                </c:pt>
                <c:pt idx="10">
                  <c:v>0.99889850177275419</c:v>
                </c:pt>
                <c:pt idx="11">
                  <c:v>0.99999603555087258</c:v>
                </c:pt>
                <c:pt idx="12">
                  <c:v>0.99999999693089381</c:v>
                </c:pt>
                <c:pt idx="13">
                  <c:v>0.99999999999939337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32-421D-AADA-867926D6FCCB}"/>
            </c:ext>
          </c:extLst>
        </c:ser>
        <c:ser>
          <c:idx val="1"/>
          <c:order val="1"/>
          <c:tx>
            <c:v>0.2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first_part_delta!$AP$6:$AP$22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first_part_delta!$AS$6:$AS$22</c:f>
              <c:numCache>
                <c:formatCode>General</c:formatCode>
                <c:ptCount val="17"/>
                <c:pt idx="0">
                  <c:v>3.4889502026674058E-30</c:v>
                </c:pt>
                <c:pt idx="1">
                  <c:v>5.5821144851585946E-22</c:v>
                </c:pt>
                <c:pt idx="2">
                  <c:v>1.3034623767509508E-15</c:v>
                </c:pt>
                <c:pt idx="3">
                  <c:v>9.7210253802256359E-11</c:v>
                </c:pt>
                <c:pt idx="4">
                  <c:v>4.2709800292238633E-7</c:v>
                </c:pt>
                <c:pt idx="5">
                  <c:v>1.8057900763335621E-4</c:v>
                </c:pt>
                <c:pt idx="6">
                  <c:v>1.1044013907594808E-2</c:v>
                </c:pt>
                <c:pt idx="7">
                  <c:v>0.14009983864577802</c:v>
                </c:pt>
                <c:pt idx="8">
                  <c:v>0.5267418038869226</c:v>
                </c:pt>
                <c:pt idx="9">
                  <c:v>0.87658089249568349</c:v>
                </c:pt>
                <c:pt idx="10">
                  <c:v>0.98603550784275051</c:v>
                </c:pt>
                <c:pt idx="11">
                  <c:v>0.99929416451516662</c:v>
                </c:pt>
                <c:pt idx="12">
                  <c:v>0.9999829287565416</c:v>
                </c:pt>
                <c:pt idx="13">
                  <c:v>0.99999978673956835</c:v>
                </c:pt>
                <c:pt idx="14">
                  <c:v>0.99999999851931465</c:v>
                </c:pt>
                <c:pt idx="15">
                  <c:v>0.99999999999389166</c:v>
                </c:pt>
                <c:pt idx="16">
                  <c:v>0.99999999999998412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E32-421D-AADA-867926D6FCCB}"/>
            </c:ext>
          </c:extLst>
        </c:ser>
        <c:ser>
          <c:idx val="2"/>
          <c:order val="2"/>
          <c:tx>
            <c:v>0.3</c:v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first_part_delta!$AP$6:$AP$22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first_part_delta!$AT$6:$AT$22</c:f>
              <c:numCache>
                <c:formatCode>General</c:formatCode>
                <c:ptCount val="17"/>
                <c:pt idx="0">
                  <c:v>1.1850476086013734E-20</c:v>
                </c:pt>
                <c:pt idx="1">
                  <c:v>3.5461176703588084E-15</c:v>
                </c:pt>
                <c:pt idx="2">
                  <c:v>6.3883719199083708E-11</c:v>
                </c:pt>
                <c:pt idx="3">
                  <c:v>1.1693829518833767E-7</c:v>
                </c:pt>
                <c:pt idx="4">
                  <c:v>3.2777591453569817E-5</c:v>
                </c:pt>
                <c:pt idx="5">
                  <c:v>1.9569580318317646E-3</c:v>
                </c:pt>
                <c:pt idx="6">
                  <c:v>3.2777626460408021E-2</c:v>
                </c:pt>
                <c:pt idx="7">
                  <c:v>0.19646253524083446</c:v>
                </c:pt>
                <c:pt idx="8">
                  <c:v>0.53273961671267711</c:v>
                </c:pt>
                <c:pt idx="9">
                  <c:v>0.83470864554501067</c:v>
                </c:pt>
                <c:pt idx="10">
                  <c:v>0.96579345861513155</c:v>
                </c:pt>
                <c:pt idx="11">
                  <c:v>0.99577886954542294</c:v>
                </c:pt>
                <c:pt idx="12">
                  <c:v>0.99967623132709937</c:v>
                </c:pt>
                <c:pt idx="13">
                  <c:v>0.99998381961018046</c:v>
                </c:pt>
                <c:pt idx="14">
                  <c:v>0.99999944833507226</c:v>
                </c:pt>
                <c:pt idx="15">
                  <c:v>0.9999999866108833</c:v>
                </c:pt>
                <c:pt idx="16">
                  <c:v>0.99999999975964071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E32-421D-AADA-867926D6FCCB}"/>
            </c:ext>
          </c:extLst>
        </c:ser>
        <c:ser>
          <c:idx val="3"/>
          <c:order val="3"/>
          <c:tx>
            <c:v>0.4</c:v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first_part_delta!$AP$6:$AP$22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first_part_delta!$AU$6:$AU$22</c:f>
              <c:numCache>
                <c:formatCode>General</c:formatCode>
                <c:ptCount val="17"/>
                <c:pt idx="0">
                  <c:v>7.1994037560856956E-16</c:v>
                </c:pt>
                <c:pt idx="1">
                  <c:v>9.3129642843240566E-12</c:v>
                </c:pt>
                <c:pt idx="2">
                  <c:v>1.4726488482514407E-8</c:v>
                </c:pt>
                <c:pt idx="3">
                  <c:v>4.2184867637814504E-6</c:v>
                </c:pt>
                <c:pt idx="4">
                  <c:v>2.9809587513643615E-4</c:v>
                </c:pt>
                <c:pt idx="5">
                  <c:v>6.6658842436191712E-3</c:v>
                </c:pt>
                <c:pt idx="6">
                  <c:v>5.8088107987320343E-2</c:v>
                </c:pt>
                <c:pt idx="7">
                  <c:v>0.23694940812133697</c:v>
                </c:pt>
                <c:pt idx="8">
                  <c:v>0.53779029390666466</c:v>
                </c:pt>
                <c:pt idx="9">
                  <c:v>0.80683951354982253</c:v>
                </c:pt>
                <c:pt idx="10">
                  <c:v>0.94540611613468872</c:v>
                </c:pt>
                <c:pt idx="11">
                  <c:v>0.98940827229066197</c:v>
                </c:pt>
                <c:pt idx="12">
                  <c:v>0.99854754541412227</c:v>
                </c:pt>
                <c:pt idx="13">
                  <c:v>0.99985444081884667</c:v>
                </c:pt>
                <c:pt idx="14">
                  <c:v>0.99998898282504689</c:v>
                </c:pt>
                <c:pt idx="15">
                  <c:v>0.99999935060366185</c:v>
                </c:pt>
                <c:pt idx="16">
                  <c:v>0.99999996934905533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E32-421D-AADA-867926D6FCCB}"/>
            </c:ext>
          </c:extLst>
        </c:ser>
        <c:ser>
          <c:idx val="4"/>
          <c:order val="4"/>
          <c:tx>
            <c:v>0.5</c:v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first_part_delta!$AP$6:$AP$22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first_part_delta!$AV$6:$AV$22</c:f>
              <c:numCache>
                <c:formatCode>General</c:formatCode>
                <c:ptCount val="17"/>
                <c:pt idx="0">
                  <c:v>5.4712789718468615E-13</c:v>
                </c:pt>
                <c:pt idx="1">
                  <c:v>1.0745001039870842E-9</c:v>
                </c:pt>
                <c:pt idx="2">
                  <c:v>3.9447858056893467E-7</c:v>
                </c:pt>
                <c:pt idx="3">
                  <c:v>3.7104262232348042E-5</c:v>
                </c:pt>
                <c:pt idx="4">
                  <c:v>1.1455014907192074E-3</c:v>
                </c:pt>
                <c:pt idx="5">
                  <c:v>1.4178971876106417E-2</c:v>
                </c:pt>
                <c:pt idx="6">
                  <c:v>8.3185859132694412E-2</c:v>
                </c:pt>
                <c:pt idx="7">
                  <c:v>0.26784925915213059</c:v>
                </c:pt>
                <c:pt idx="8">
                  <c:v>0.54223501331161406</c:v>
                </c:pt>
                <c:pt idx="9">
                  <c:v>0.7870023302677005</c:v>
                </c:pt>
                <c:pt idx="10">
                  <c:v>0.9270206788480384</c:v>
                </c:pt>
                <c:pt idx="11">
                  <c:v>0.98135607564044858</c:v>
                </c:pt>
                <c:pt idx="12">
                  <c:v>0.99636788743791604</c:v>
                </c:pt>
                <c:pt idx="13">
                  <c:v>0.99944644902317548</c:v>
                </c:pt>
                <c:pt idx="14">
                  <c:v>0.99993230917992704</c:v>
                </c:pt>
                <c:pt idx="15">
                  <c:v>0.99999319889057736</c:v>
                </c:pt>
                <c:pt idx="16">
                  <c:v>0.99999942627332528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E32-421D-AADA-867926D6FCCB}"/>
            </c:ext>
          </c:extLst>
        </c:ser>
        <c:ser>
          <c:idx val="5"/>
          <c:order val="5"/>
          <c:tx>
            <c:v>0.6</c:v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first_part_delta!$AP$6:$AP$22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first_part_delta!$AW$6:$AW$22</c:f>
              <c:numCache>
                <c:formatCode>General</c:formatCode>
                <c:ptCount val="17"/>
                <c:pt idx="0">
                  <c:v>4.6306900470662182E-11</c:v>
                </c:pt>
                <c:pt idx="1">
                  <c:v>2.5874472084445203E-8</c:v>
                </c:pt>
                <c:pt idx="2">
                  <c:v>3.5869233961988741E-6</c:v>
                </c:pt>
                <c:pt idx="3">
                  <c:v>1.6047856986437615E-4</c:v>
                </c:pt>
                <c:pt idx="4">
                  <c:v>2.8497945838167173E-3</c:v>
                </c:pt>
                <c:pt idx="5">
                  <c:v>2.3744049559651273E-2</c:v>
                </c:pt>
                <c:pt idx="6">
                  <c:v>0.10674814223186854</c:v>
                </c:pt>
                <c:pt idx="7">
                  <c:v>0.29253156538610559</c:v>
                </c:pt>
                <c:pt idx="8">
                  <c:v>0.54624882106468031</c:v>
                </c:pt>
                <c:pt idx="9">
                  <c:v>0.77218677368637101</c:v>
                </c:pt>
                <c:pt idx="10">
                  <c:v>0.910951676948353</c:v>
                </c:pt>
                <c:pt idx="11">
                  <c:v>0.97260314455363983</c:v>
                </c:pt>
                <c:pt idx="12">
                  <c:v>0.99324341588079323</c:v>
                </c:pt>
                <c:pt idx="13">
                  <c:v>0.99863656915944365</c:v>
                </c:pt>
                <c:pt idx="14">
                  <c:v>0.99977023212247085</c:v>
                </c:pt>
                <c:pt idx="15">
                  <c:v>0.99996703614043125</c:v>
                </c:pt>
                <c:pt idx="16">
                  <c:v>0.99999590254116577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E32-421D-AADA-867926D6FCCB}"/>
            </c:ext>
          </c:extLst>
        </c:ser>
        <c:ser>
          <c:idx val="6"/>
          <c:order val="6"/>
          <c:tx>
            <c:v>0.7</c:v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first_part_delta!$AP$6:$AP$22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first_part_delta!$AX$6:$AX$22</c:f>
              <c:numCache>
                <c:formatCode>General</c:formatCode>
                <c:ptCount val="17"/>
                <c:pt idx="0">
                  <c:v>1.1154484392717851E-9</c:v>
                </c:pt>
                <c:pt idx="1">
                  <c:v>2.5390046836316603E-7</c:v>
                </c:pt>
                <c:pt idx="2">
                  <c:v>1.7549254029347776E-5</c:v>
                </c:pt>
                <c:pt idx="3">
                  <c:v>4.6157184850289515E-4</c:v>
                </c:pt>
                <c:pt idx="4">
                  <c:v>5.5176887334378597E-3</c:v>
                </c:pt>
                <c:pt idx="5">
                  <c:v>3.4610567414057034E-2</c:v>
                </c:pt>
                <c:pt idx="6">
                  <c:v>0.12843922086837081</c:v>
                </c:pt>
                <c:pt idx="7">
                  <c:v>0.31292611764332445</c:v>
                </c:pt>
                <c:pt idx="8">
                  <c:v>0.54993574324296035</c:v>
                </c:pt>
                <c:pt idx="9">
                  <c:v>0.760730082505234</c:v>
                </c:pt>
                <c:pt idx="10">
                  <c:v>0.8970058106562373</c:v>
                </c:pt>
                <c:pt idx="11">
                  <c:v>0.96375065198429899</c:v>
                </c:pt>
                <c:pt idx="12">
                  <c:v>0.98940714410148023</c:v>
                </c:pt>
                <c:pt idx="13">
                  <c:v>0.9973854793151351</c:v>
                </c:pt>
                <c:pt idx="14">
                  <c:v>0.99944558802202021</c:v>
                </c:pt>
                <c:pt idx="15">
                  <c:v>0.99989736258573836</c:v>
                </c:pt>
                <c:pt idx="16">
                  <c:v>0.99998316518966346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E32-421D-AADA-867926D6FCCB}"/>
            </c:ext>
          </c:extLst>
        </c:ser>
        <c:ser>
          <c:idx val="7"/>
          <c:order val="7"/>
          <c:tx>
            <c:v>0.8</c:v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first_part_delta!$AP$6:$AP$22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first_part_delta!$AY$6:$AY$22</c:f>
              <c:numCache>
                <c:formatCode>General</c:formatCode>
                <c:ptCount val="17"/>
                <c:pt idx="0">
                  <c:v>1.2232280237899387E-8</c:v>
                </c:pt>
                <c:pt idx="1">
                  <c:v>1.4195096494921114E-6</c:v>
                </c:pt>
                <c:pt idx="2">
                  <c:v>5.820088365787128E-5</c:v>
                </c:pt>
                <c:pt idx="3">
                  <c:v>1.0273171406440292E-3</c:v>
                </c:pt>
                <c:pt idx="4">
                  <c:v>9.1213054737095019E-3</c:v>
                </c:pt>
                <c:pt idx="5">
                  <c:v>4.6201796215212594E-2</c:v>
                </c:pt>
                <c:pt idx="6">
                  <c:v>0.14828843430084723</c:v>
                </c:pt>
                <c:pt idx="7">
                  <c:v>0.33021760012856716</c:v>
                </c:pt>
                <c:pt idx="8">
                  <c:v>0.55336358492889404</c:v>
                </c:pt>
                <c:pt idx="9">
                  <c:v>0.75163843630541693</c:v>
                </c:pt>
                <c:pt idx="10">
                  <c:v>0.88488455046683934</c:v>
                </c:pt>
                <c:pt idx="11">
                  <c:v>0.95512804158206499</c:v>
                </c:pt>
                <c:pt idx="12">
                  <c:v>0.98509406838389901</c:v>
                </c:pt>
                <c:pt idx="13">
                  <c:v>0.99571799089194879</c:v>
                </c:pt>
                <c:pt idx="14">
                  <c:v>0.99892066116278744</c:v>
                </c:pt>
                <c:pt idx="15">
                  <c:v>0.99975797900363672</c:v>
                </c:pt>
                <c:pt idx="16">
                  <c:v>0.99995111048223762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E32-421D-AADA-867926D6FCCB}"/>
            </c:ext>
          </c:extLst>
        </c:ser>
        <c:ser>
          <c:idx val="8"/>
          <c:order val="8"/>
          <c:tx>
            <c:v>0.9</c:v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first_part_delta!$AP$6:$AP$22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first_part_delta!$AZ$6:$AZ$22</c:f>
              <c:numCache>
                <c:formatCode>General</c:formatCode>
                <c:ptCount val="17"/>
                <c:pt idx="0">
                  <c:v>7.9305503738124766E-8</c:v>
                </c:pt>
                <c:pt idx="1">
                  <c:v>5.4488726576165721E-6</c:v>
                </c:pt>
                <c:pt idx="2">
                  <c:v>1.4879923588186921E-4</c:v>
                </c:pt>
                <c:pt idx="3">
                  <c:v>1.9253955209529885E-3</c:v>
                </c:pt>
                <c:pt idx="4">
                  <c:v>1.3558236229164227E-2</c:v>
                </c:pt>
                <c:pt idx="5">
                  <c:v>5.8114853573404297E-2</c:v>
                </c:pt>
                <c:pt idx="6">
                  <c:v>0.1664485667707323</c:v>
                </c:pt>
                <c:pt idx="7">
                  <c:v>0.34517641190667869</c:v>
                </c:pt>
                <c:pt idx="8">
                  <c:v>0.55657946195545982</c:v>
                </c:pt>
                <c:pt idx="9">
                  <c:v>0.74427963343394432</c:v>
                </c:pt>
                <c:pt idx="10">
                  <c:v>0.87430092401455395</c:v>
                </c:pt>
                <c:pt idx="11">
                  <c:v>0.94690122807155452</c:v>
                </c:pt>
                <c:pt idx="12">
                  <c:v>0.98049779905589118</c:v>
                </c:pt>
                <c:pt idx="13">
                  <c:v>0.99369223383243865</c:v>
                </c:pt>
                <c:pt idx="14">
                  <c:v>0.99818047109526631</c:v>
                </c:pt>
                <c:pt idx="15">
                  <c:v>0.99952627336039468</c:v>
                </c:pt>
                <c:pt idx="16">
                  <c:v>0.99988744523010076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E32-421D-AADA-867926D6FCCB}"/>
            </c:ext>
          </c:extLst>
        </c:ser>
        <c:ser>
          <c:idx val="9"/>
          <c:order val="9"/>
          <c:tx>
            <c:v>1</c:v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first_part_delta!$AP$6:$AP$22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first_part_delta!$BA$6:$BA$22</c:f>
              <c:numCache>
                <c:formatCode>General</c:formatCode>
                <c:ptCount val="17"/>
                <c:pt idx="0">
                  <c:v>3.5564355541459722E-7</c:v>
                </c:pt>
                <c:pt idx="1">
                  <c:v>1.6064307266339651E-5</c:v>
                </c:pt>
                <c:pt idx="2">
                  <c:v>3.1686788675612499E-4</c:v>
                </c:pt>
                <c:pt idx="3">
                  <c:v>3.1973886164727121E-3</c:v>
                </c:pt>
                <c:pt idx="4">
                  <c:v>1.8697030468110401E-2</c:v>
                </c:pt>
                <c:pt idx="5">
                  <c:v>7.0080829341433393E-2</c:v>
                </c:pt>
                <c:pt idx="6">
                  <c:v>0.18310240300676622</c:v>
                </c:pt>
                <c:pt idx="7">
                  <c:v>0.35832748828828459</c:v>
                </c:pt>
                <c:pt idx="8">
                  <c:v>0.5596176923702425</c:v>
                </c:pt>
                <c:pt idx="9">
                  <c:v>0.73823114549048119</c:v>
                </c:pt>
                <c:pt idx="10">
                  <c:v>0.86500851994546202</c:v>
                </c:pt>
                <c:pt idx="11">
                  <c:v>0.9391430239591263</c:v>
                </c:pt>
                <c:pt idx="12">
                  <c:v>0.9757644962341846</c:v>
                </c:pt>
                <c:pt idx="13">
                  <c:v>0.9913773450413681</c:v>
                </c:pt>
                <c:pt idx="14">
                  <c:v>0.99722837337629622</c:v>
                </c:pt>
                <c:pt idx="15">
                  <c:v>0.99918656546080542</c:v>
                </c:pt>
                <c:pt idx="16">
                  <c:v>0.99977989302522097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E32-421D-AADA-867926D6FCCB}"/>
            </c:ext>
          </c:extLst>
        </c:ser>
        <c:ser>
          <c:idx val="10"/>
          <c:order val="10"/>
          <c:tx>
            <c:v>2</c:v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first_part_delta!$AP$6:$AP$22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first_part_delta!$BB$6:$BB$22</c:f>
              <c:numCache>
                <c:formatCode>General</c:formatCode>
                <c:ptCount val="17"/>
                <c:pt idx="0">
                  <c:v>3.3699015309893697E-4</c:v>
                </c:pt>
                <c:pt idx="1">
                  <c:v>2.2987314592982327E-3</c:v>
                </c:pt>
                <c:pt idx="2">
                  <c:v>1.0445719216560184E-2</c:v>
                </c:pt>
                <c:pt idx="3">
                  <c:v>3.4220862001572698E-2</c:v>
                </c:pt>
                <c:pt idx="4">
                  <c:v>8.6011681908250856E-2</c:v>
                </c:pt>
                <c:pt idx="5">
                  <c:v>0.17436633291241277</c:v>
                </c:pt>
                <c:pt idx="6">
                  <c:v>0.29705856189617313</c:v>
                </c:pt>
                <c:pt idx="7">
                  <c:v>0.44015891222205472</c:v>
                </c:pt>
                <c:pt idx="8">
                  <c:v>0.58399798571368178</c:v>
                </c:pt>
                <c:pt idx="9">
                  <c:v>0.71128089691736807</c:v>
                </c:pt>
                <c:pt idx="10">
                  <c:v>0.81221192244611107</c:v>
                </c:pt>
                <c:pt idx="11">
                  <c:v>0.88500763743571798</c:v>
                </c:pt>
                <c:pt idx="12">
                  <c:v>0.93336619424077227</c:v>
                </c:pt>
                <c:pt idx="13">
                  <c:v>0.96327265988008681</c:v>
                </c:pt>
                <c:pt idx="14">
                  <c:v>0.9806483495408157</c:v>
                </c:pt>
                <c:pt idx="15">
                  <c:v>0.99020716359662175</c:v>
                </c:pt>
                <c:pt idx="16">
                  <c:v>0.99521999012116835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E32-421D-AADA-867926D6FCCB}"/>
            </c:ext>
          </c:extLst>
        </c:ser>
        <c:ser>
          <c:idx val="11"/>
          <c:order val="11"/>
          <c:tx>
            <c:v>3</c:v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first_part_delta!$AP$6:$AP$22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first_part_delta!$BC$6:$BC$22</c:f>
              <c:numCache>
                <c:formatCode>General</c:formatCode>
                <c:ptCount val="17"/>
                <c:pt idx="0">
                  <c:v>3.5785417129918693E-3</c:v>
                </c:pt>
                <c:pt idx="1">
                  <c:v>1.2962990657514536E-2</c:v>
                </c:pt>
                <c:pt idx="2">
                  <c:v>3.5973278929724156E-2</c:v>
                </c:pt>
                <c:pt idx="3">
                  <c:v>8.0588258967957058E-2</c:v>
                </c:pt>
                <c:pt idx="4">
                  <c:v>0.15185446032881006</c:v>
                </c:pt>
                <c:pt idx="5">
                  <c:v>0.24872867527518139</c:v>
                </c:pt>
                <c:pt idx="6">
                  <c:v>0.36373551072271876</c:v>
                </c:pt>
                <c:pt idx="7">
                  <c:v>0.48550787950516516</c:v>
                </c:pt>
                <c:pt idx="8">
                  <c:v>0.60249391401788088</c:v>
                </c:pt>
                <c:pt idx="9">
                  <c:v>0.70591773123367962</c:v>
                </c:pt>
                <c:pt idx="10">
                  <c:v>0.79105324594553816</c:v>
                </c:pt>
                <c:pt idx="11">
                  <c:v>0.85695166013778001</c:v>
                </c:pt>
                <c:pt idx="12">
                  <c:v>0.90531441414396252</c:v>
                </c:pt>
                <c:pt idx="13">
                  <c:v>0.9392042006984751</c:v>
                </c:pt>
                <c:pt idx="14">
                  <c:v>0.96201541129490264</c:v>
                </c:pt>
                <c:pt idx="15">
                  <c:v>0.97683982081086107</c:v>
                </c:pt>
                <c:pt idx="16">
                  <c:v>0.98618256040797059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E32-421D-AADA-867926D6FCCB}"/>
            </c:ext>
          </c:extLst>
        </c:ser>
        <c:ser>
          <c:idx val="12"/>
          <c:order val="12"/>
          <c:tx>
            <c:v>4</c:v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first_part_delta!$AP$6:$AP$22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first_part_delta!$BD$6:$BD$22</c:f>
              <c:numCache>
                <c:formatCode>General</c:formatCode>
                <c:ptCount val="17"/>
                <c:pt idx="0">
                  <c:v>1.2094054588474413E-2</c:v>
                </c:pt>
                <c:pt idx="1">
                  <c:v>3.1875690795675732E-2</c:v>
                </c:pt>
                <c:pt idx="2">
                  <c:v>6.8987440114615495E-2</c:v>
                </c:pt>
                <c:pt idx="3">
                  <c:v>0.127474584567597</c:v>
                </c:pt>
                <c:pt idx="4">
                  <c:v>0.20733079045218472</c:v>
                </c:pt>
                <c:pt idx="5">
                  <c:v>0.30411744905751403</c:v>
                </c:pt>
                <c:pt idx="6">
                  <c:v>0.4102886293803284</c:v>
                </c:pt>
                <c:pt idx="7">
                  <c:v>0.51736188083892132</c:v>
                </c:pt>
                <c:pt idx="8">
                  <c:v>0.61791142218895267</c:v>
                </c:pt>
                <c:pt idx="9">
                  <c:v>0.70676234221741052</c:v>
                </c:pt>
                <c:pt idx="10">
                  <c:v>0.78128810999478626</c:v>
                </c:pt>
                <c:pt idx="11">
                  <c:v>0.84105655977843707</c:v>
                </c:pt>
                <c:pt idx="12">
                  <c:v>0.88716872324765816</c:v>
                </c:pt>
                <c:pt idx="13">
                  <c:v>0.9215709212989972</c:v>
                </c:pt>
                <c:pt idx="14">
                  <c:v>0.94649958655795841</c:v>
                </c:pt>
                <c:pt idx="15">
                  <c:v>0.9641109494110095</c:v>
                </c:pt>
                <c:pt idx="16">
                  <c:v>0.97628058460472156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E32-421D-AADA-867926D6FCCB}"/>
            </c:ext>
          </c:extLst>
        </c:ser>
        <c:ser>
          <c:idx val="13"/>
          <c:order val="13"/>
          <c:tx>
            <c:v>5</c:v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first_part_delta!$AP$6:$AP$22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first_part_delta!$BE$6:$BE$22</c:f>
              <c:numCache>
                <c:formatCode>General</c:formatCode>
                <c:ptCount val="17"/>
                <c:pt idx="0">
                  <c:v>2.564344677496205E-2</c:v>
                </c:pt>
                <c:pt idx="1">
                  <c:v>5.5792459445646918E-2</c:v>
                </c:pt>
                <c:pt idx="2">
                  <c:v>0.10389085170754279</c:v>
                </c:pt>
                <c:pt idx="3">
                  <c:v>0.17076585813219761</c:v>
                </c:pt>
                <c:pt idx="4">
                  <c:v>0.25381961865942948</c:v>
                </c:pt>
                <c:pt idx="5">
                  <c:v>0.34775207052445578</c:v>
                </c:pt>
                <c:pt idx="6">
                  <c:v>0.44599904247550076</c:v>
                </c:pt>
                <c:pt idx="7">
                  <c:v>0.54221660354441636</c:v>
                </c:pt>
                <c:pt idx="8">
                  <c:v>0.63134216139179089</c:v>
                </c:pt>
                <c:pt idx="9">
                  <c:v>0.71007589254163683</c:v>
                </c:pt>
                <c:pt idx="10">
                  <c:v>0.77686562090211797</c:v>
                </c:pt>
                <c:pt idx="11">
                  <c:v>0.83158425080253329</c:v>
                </c:pt>
                <c:pt idx="12">
                  <c:v>0.87508800250645269</c:v>
                </c:pt>
                <c:pt idx="13">
                  <c:v>0.90878962693226017</c:v>
                </c:pt>
                <c:pt idx="14">
                  <c:v>0.93431723431540992</c:v>
                </c:pt>
                <c:pt idx="15">
                  <c:v>0.9532794554679479</c:v>
                </c:pt>
                <c:pt idx="16">
                  <c:v>0.96712760884191817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E32-421D-AADA-867926D6FCCB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3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5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8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9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1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4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</c:bandFmts>
        <c:axId val="575769855"/>
        <c:axId val="575765695"/>
        <c:axId val="500154431"/>
      </c:surface3DChart>
      <c:catAx>
        <c:axId val="57576985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stock 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65695"/>
        <c:crosses val="autoZero"/>
        <c:auto val="1"/>
        <c:lblAlgn val="ctr"/>
        <c:lblOffset val="100"/>
        <c:noMultiLvlLbl val="0"/>
      </c:catAx>
      <c:valAx>
        <c:axId val="5757656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Delta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69855"/>
        <c:crosses val="autoZero"/>
        <c:crossBetween val="midCat"/>
      </c:valAx>
      <c:serAx>
        <c:axId val="500154431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65695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Delta (Volatility = 0.2)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20"/>
      <c:rotY val="340"/>
      <c:depthPercent val="220"/>
      <c:rAngAx val="0"/>
      <c:perspective val="6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v>0.1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first_part_delta!$H$6:$H$22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first_part_delta!$J$6:$J$22</c:f>
              <c:numCache>
                <c:formatCode>General</c:formatCode>
                <c:ptCount val="17"/>
                <c:pt idx="0">
                  <c:v>4.8964030371399111E-16</c:v>
                </c:pt>
                <c:pt idx="1">
                  <c:v>6.7189909908190016E-12</c:v>
                </c:pt>
                <c:pt idx="2">
                  <c:v>1.1217502453550677E-8</c:v>
                </c:pt>
                <c:pt idx="3">
                  <c:v>3.3782456328086734E-6</c:v>
                </c:pt>
                <c:pt idx="4">
                  <c:v>2.4998248472572982E-4</c:v>
                </c:pt>
                <c:pt idx="5">
                  <c:v>5.830908137902522E-3</c:v>
                </c:pt>
                <c:pt idx="6">
                  <c:v>5.2781549996934837E-2</c:v>
                </c:pt>
                <c:pt idx="7">
                  <c:v>0.22255758462414449</c:v>
                </c:pt>
                <c:pt idx="8">
                  <c:v>0.51891639999929629</c:v>
                </c:pt>
                <c:pt idx="9">
                  <c:v>0.79357096026156482</c:v>
                </c:pt>
                <c:pt idx="10">
                  <c:v>0.93995791805464912</c:v>
                </c:pt>
                <c:pt idx="11">
                  <c:v>0.98800422406854482</c:v>
                </c:pt>
                <c:pt idx="12">
                  <c:v>0.99830623193923973</c:v>
                </c:pt>
                <c:pt idx="13">
                  <c:v>0.99982531626414572</c:v>
                </c:pt>
                <c:pt idx="14">
                  <c:v>0.99998640314018139</c:v>
                </c:pt>
                <c:pt idx="15">
                  <c:v>0.99999917643923686</c:v>
                </c:pt>
                <c:pt idx="16">
                  <c:v>0.99999996008829672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BA-4645-844E-2959ECECB760}"/>
            </c:ext>
          </c:extLst>
        </c:ser>
        <c:ser>
          <c:idx val="1"/>
          <c:order val="1"/>
          <c:tx>
            <c:v>0.2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first_part_delta!$H$6:$H$22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first_part_delta!$K$6:$K$22</c:f>
              <c:numCache>
                <c:formatCode>General</c:formatCode>
                <c:ptCount val="17"/>
                <c:pt idx="0">
                  <c:v>8.3013130785334355E-9</c:v>
                </c:pt>
                <c:pt idx="1">
                  <c:v>1.0210267589266487E-6</c:v>
                </c:pt>
                <c:pt idx="2">
                  <c:v>4.4152463014191854E-5</c:v>
                </c:pt>
                <c:pt idx="3">
                  <c:v>8.1830678243053191E-4</c:v>
                </c:pt>
                <c:pt idx="4">
                  <c:v>7.5966424381891306E-3</c:v>
                </c:pt>
                <c:pt idx="5">
                  <c:v>4.006477982445996E-2</c:v>
                </c:pt>
                <c:pt idx="6">
                  <c:v>0.13330906924780192</c:v>
                </c:pt>
                <c:pt idx="7">
                  <c:v>0.3062898934344146</c:v>
                </c:pt>
                <c:pt idx="8">
                  <c:v>0.5267418038869226</c:v>
                </c:pt>
                <c:pt idx="9">
                  <c:v>0.72992052908241489</c:v>
                </c:pt>
                <c:pt idx="10">
                  <c:v>0.87132614165736733</c:v>
                </c:pt>
                <c:pt idx="11">
                  <c:v>0.94841416414843493</c:v>
                </c:pt>
                <c:pt idx="12">
                  <c:v>0.9823760534317052</c:v>
                </c:pt>
                <c:pt idx="13">
                  <c:v>0.99479497737862488</c:v>
                </c:pt>
                <c:pt idx="14">
                  <c:v>0.99865188998007925</c:v>
                </c:pt>
                <c:pt idx="15">
                  <c:v>0.99968959215435294</c:v>
                </c:pt>
                <c:pt idx="16">
                  <c:v>0.99993565599706147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BA-4645-844E-2959ECECB760}"/>
            </c:ext>
          </c:extLst>
        </c:ser>
        <c:ser>
          <c:idx val="2"/>
          <c:order val="2"/>
          <c:tx>
            <c:v>0.3</c:v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first_part_delta!$H$6:$H$22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first_part_delta!$L$6:$L$22</c:f>
              <c:numCache>
                <c:formatCode>General</c:formatCode>
                <c:ptCount val="17"/>
                <c:pt idx="0">
                  <c:v>2.3135653326617214E-6</c:v>
                </c:pt>
                <c:pt idx="1">
                  <c:v>5.8978518150786922E-5</c:v>
                </c:pt>
                <c:pt idx="2">
                  <c:v>7.522257491842688E-4</c:v>
                </c:pt>
                <c:pt idx="3">
                  <c:v>5.4794346275411467E-3</c:v>
                </c:pt>
                <c:pt idx="4">
                  <c:v>2.5300139283739118E-2</c:v>
                </c:pt>
                <c:pt idx="5">
                  <c:v>8.0542811303141587E-2</c:v>
                </c:pt>
                <c:pt idx="6">
                  <c:v>0.18952524812777746</c:v>
                </c:pt>
                <c:pt idx="7">
                  <c:v>0.34971752968021519</c:v>
                </c:pt>
                <c:pt idx="8">
                  <c:v>0.53273961671267711</c:v>
                </c:pt>
                <c:pt idx="9">
                  <c:v>0.70109401201543453</c:v>
                </c:pt>
                <c:pt idx="10">
                  <c:v>0.82950660741686155</c:v>
                </c:pt>
                <c:pt idx="11">
                  <c:v>0.91276887593354383</c:v>
                </c:pt>
                <c:pt idx="12">
                  <c:v>0.95963958476134859</c:v>
                </c:pt>
                <c:pt idx="13">
                  <c:v>0.98296199066116863</c:v>
                </c:pt>
                <c:pt idx="14">
                  <c:v>0.99337921785148087</c:v>
                </c:pt>
                <c:pt idx="15">
                  <c:v>0.99761170131759624</c:v>
                </c:pt>
                <c:pt idx="16">
                  <c:v>0.99919396953371908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BA-4645-844E-2959ECECB760}"/>
            </c:ext>
          </c:extLst>
        </c:ser>
        <c:ser>
          <c:idx val="3"/>
          <c:order val="3"/>
          <c:tx>
            <c:v>0.4</c:v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first_part_delta!$H$6:$H$22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first_part_delta!$M$6:$M$22</c:f>
              <c:numCache>
                <c:formatCode>General</c:formatCode>
                <c:ptCount val="17"/>
                <c:pt idx="0">
                  <c:v>4.0139975424484934E-5</c:v>
                </c:pt>
                <c:pt idx="1">
                  <c:v>4.6519881412379274E-4</c:v>
                </c:pt>
                <c:pt idx="2">
                  <c:v>3.2160999955850558E-3</c:v>
                </c:pt>
                <c:pt idx="3">
                  <c:v>1.4648825269289092E-2</c:v>
                </c:pt>
                <c:pt idx="4">
                  <c:v>4.7535275559280651E-2</c:v>
                </c:pt>
                <c:pt idx="5">
                  <c:v>0.11703172121234477</c:v>
                </c:pt>
                <c:pt idx="6">
                  <c:v>0.23023301469857285</c:v>
                </c:pt>
                <c:pt idx="7">
                  <c:v>0.3780368656656477</c:v>
                </c:pt>
                <c:pt idx="8">
                  <c:v>0.53779029390666466</c:v>
                </c:pt>
                <c:pt idx="9">
                  <c:v>0.68459548536557624</c:v>
                </c:pt>
                <c:pt idx="10">
                  <c:v>0.80188165059672933</c:v>
                </c:pt>
                <c:pt idx="11">
                  <c:v>0.88488828305391432</c:v>
                </c:pt>
                <c:pt idx="12">
                  <c:v>0.93776106845399343</c:v>
                </c:pt>
                <c:pt idx="13">
                  <c:v>0.96848451708238714</c:v>
                </c:pt>
                <c:pt idx="14">
                  <c:v>0.98496017489321974</c:v>
                </c:pt>
                <c:pt idx="15">
                  <c:v>0.99319515409537595</c:v>
                </c:pt>
                <c:pt idx="16">
                  <c:v>0.99706463005532564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DBA-4645-844E-2959ECECB760}"/>
            </c:ext>
          </c:extLst>
        </c:ser>
        <c:ser>
          <c:idx val="4"/>
          <c:order val="4"/>
          <c:tx>
            <c:v>0.5</c:v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first_part_delta!$H$6:$H$22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first_part_delta!$N$6:$N$22</c:f>
              <c:numCache>
                <c:formatCode>General</c:formatCode>
                <c:ptCount val="17"/>
                <c:pt idx="0">
                  <c:v>2.2743341786876357E-4</c:v>
                </c:pt>
                <c:pt idx="1">
                  <c:v>1.6409066155964737E-3</c:v>
                </c:pt>
                <c:pt idx="2">
                  <c:v>7.8458863408448522E-3</c:v>
                </c:pt>
                <c:pt idx="3">
                  <c:v>2.6918022682862655E-2</c:v>
                </c:pt>
                <c:pt idx="4">
                  <c:v>7.0537829580775729E-2</c:v>
                </c:pt>
                <c:pt idx="5">
                  <c:v>0.14844720364554423</c:v>
                </c:pt>
                <c:pt idx="6">
                  <c:v>0.26142924756390218</c:v>
                </c:pt>
                <c:pt idx="7">
                  <c:v>0.39873130138189328</c:v>
                </c:pt>
                <c:pt idx="8">
                  <c:v>0.54223501331161406</c:v>
                </c:pt>
                <c:pt idx="9">
                  <c:v>0.67402849627857031</c:v>
                </c:pt>
                <c:pt idx="10">
                  <c:v>0.78230772963384732</c:v>
                </c:pt>
                <c:pt idx="11">
                  <c:v>0.8630953437034381</c:v>
                </c:pt>
                <c:pt idx="12">
                  <c:v>0.91853340172068842</c:v>
                </c:pt>
                <c:pt idx="13">
                  <c:v>0.95390232385199913</c:v>
                </c:pt>
                <c:pt idx="14">
                  <c:v>0.97507573833647321</c:v>
                </c:pt>
                <c:pt idx="15">
                  <c:v>0.987063941065492</c:v>
                </c:pt>
                <c:pt idx="16">
                  <c:v>0.9935275944696309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DBA-4645-844E-2959ECECB760}"/>
            </c:ext>
          </c:extLst>
        </c:ser>
        <c:ser>
          <c:idx val="5"/>
          <c:order val="5"/>
          <c:tx>
            <c:v>0.6</c:v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first_part_delta!$H$6:$H$22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first_part_delta!$O$6:$O$22</c:f>
              <c:numCache>
                <c:formatCode>General</c:formatCode>
                <c:ptCount val="17"/>
                <c:pt idx="0">
                  <c:v>7.3339315349598864E-4</c:v>
                </c:pt>
                <c:pt idx="1">
                  <c:v>3.8551173459696964E-3</c:v>
                </c:pt>
                <c:pt idx="2">
                  <c:v>1.4402778602930108E-2</c:v>
                </c:pt>
                <c:pt idx="3">
                  <c:v>4.0860172111759581E-2</c:v>
                </c:pt>
                <c:pt idx="4">
                  <c:v>9.2718991154622718E-2</c:v>
                </c:pt>
                <c:pt idx="5">
                  <c:v>0.17544466250951118</c:v>
                </c:pt>
                <c:pt idx="6">
                  <c:v>0.28640779285454132</c:v>
                </c:pt>
                <c:pt idx="7">
                  <c:v>0.41491980008730484</c:v>
                </c:pt>
                <c:pt idx="8">
                  <c:v>0.54624882106468031</c:v>
                </c:pt>
                <c:pt idx="9">
                  <c:v>0.66681258720741177</c:v>
                </c:pt>
                <c:pt idx="10">
                  <c:v>0.76773686176629652</c:v>
                </c:pt>
                <c:pt idx="11">
                  <c:v>0.84574392541104015</c:v>
                </c:pt>
                <c:pt idx="12">
                  <c:v>0.90200659044195874</c:v>
                </c:pt>
                <c:pt idx="13">
                  <c:v>0.9402142801511969</c:v>
                </c:pt>
                <c:pt idx="14">
                  <c:v>0.96483221684018183</c:v>
                </c:pt>
                <c:pt idx="15">
                  <c:v>0.97998098357938546</c:v>
                </c:pt>
                <c:pt idx="16">
                  <c:v>0.98893439681623385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DBA-4645-844E-2959ECECB760}"/>
            </c:ext>
          </c:extLst>
        </c:ser>
        <c:ser>
          <c:idx val="6"/>
          <c:order val="6"/>
          <c:tx>
            <c:v>0.7</c:v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first_part_delta!$H$6:$H$22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first_part_delta!$P$6:$P$22</c:f>
              <c:numCache>
                <c:formatCode>General</c:formatCode>
                <c:ptCount val="17"/>
                <c:pt idx="0">
                  <c:v>1.7097704105366416E-3</c:v>
                </c:pt>
                <c:pt idx="1">
                  <c:v>7.1642370961297339E-3</c:v>
                </c:pt>
                <c:pt idx="2">
                  <c:v>2.242591118396205E-2</c:v>
                </c:pt>
                <c:pt idx="3">
                  <c:v>5.5498237073536447E-2</c:v>
                </c:pt>
                <c:pt idx="4">
                  <c:v>0.11351617326502472</c:v>
                </c:pt>
                <c:pt idx="5">
                  <c:v>0.19884963648426759</c:v>
                </c:pt>
                <c:pt idx="6">
                  <c:v>0.30707780777053395</c:v>
                </c:pt>
                <c:pt idx="7">
                  <c:v>0.42816924322332078</c:v>
                </c:pt>
                <c:pt idx="8">
                  <c:v>0.54993574324296035</c:v>
                </c:pt>
                <c:pt idx="9">
                  <c:v>0.66168859212232867</c:v>
                </c:pt>
                <c:pt idx="10">
                  <c:v>0.7564993813863905</c:v>
                </c:pt>
                <c:pt idx="11">
                  <c:v>0.83165762889347106</c:v>
                </c:pt>
                <c:pt idx="12">
                  <c:v>0.88783196322373703</c:v>
                </c:pt>
                <c:pt idx="13">
                  <c:v>0.92772250848626392</c:v>
                </c:pt>
                <c:pt idx="14">
                  <c:v>0.95481273623086027</c:v>
                </c:pt>
                <c:pt idx="15">
                  <c:v>0.97250574341060869</c:v>
                </c:pt>
                <c:pt idx="16">
                  <c:v>0.98367272820713014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DBA-4645-844E-2959ECECB760}"/>
            </c:ext>
          </c:extLst>
        </c:ser>
        <c:ser>
          <c:idx val="7"/>
          <c:order val="7"/>
          <c:tx>
            <c:v>0.8</c:v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first_part_delta!$H$6:$H$22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first_part_delta!$Q$6:$Q$22</c:f>
              <c:numCache>
                <c:formatCode>General</c:formatCode>
                <c:ptCount val="17"/>
                <c:pt idx="0">
                  <c:v>3.2499291224938613E-3</c:v>
                </c:pt>
                <c:pt idx="1">
                  <c:v>1.1483425231958777E-2</c:v>
                </c:pt>
                <c:pt idx="2">
                  <c:v>3.1463320553836806E-2</c:v>
                </c:pt>
                <c:pt idx="3">
                  <c:v>7.0237080583764377E-2</c:v>
                </c:pt>
                <c:pt idx="4">
                  <c:v>0.13280133237005642</c:v>
                </c:pt>
                <c:pt idx="5">
                  <c:v>0.21936358982447046</c:v>
                </c:pt>
                <c:pt idx="6">
                  <c:v>0.32461969070784658</c:v>
                </c:pt>
                <c:pt idx="7">
                  <c:v>0.4393670542417723</c:v>
                </c:pt>
                <c:pt idx="8">
                  <c:v>0.55336358492889404</c:v>
                </c:pt>
                <c:pt idx="9">
                  <c:v>0.65796272969308234</c:v>
                </c:pt>
                <c:pt idx="10">
                  <c:v>0.74760249342748353</c:v>
                </c:pt>
                <c:pt idx="11">
                  <c:v>0.82002413987768763</c:v>
                </c:pt>
                <c:pt idx="12">
                  <c:v>0.87562125149536263</c:v>
                </c:pt>
                <c:pt idx="13">
                  <c:v>0.91644879859772543</c:v>
                </c:pt>
                <c:pt idx="14">
                  <c:v>0.9452921469955603</c:v>
                </c:pt>
                <c:pt idx="15">
                  <c:v>0.9649914282191755</c:v>
                </c:pt>
                <c:pt idx="16">
                  <c:v>0.97805296953813903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DBA-4645-844E-2959ECECB760}"/>
            </c:ext>
          </c:extLst>
        </c:ser>
        <c:ser>
          <c:idx val="8"/>
          <c:order val="8"/>
          <c:tx>
            <c:v>0.9</c:v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first_part_delta!$H$6:$H$22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first_part_delta!$R$6:$R$22</c:f>
              <c:numCache>
                <c:formatCode>General</c:formatCode>
                <c:ptCount val="17"/>
                <c:pt idx="0">
                  <c:v>5.3863786913071277E-3</c:v>
                </c:pt>
                <c:pt idx="1">
                  <c:v>1.6663450654240821E-2</c:v>
                </c:pt>
                <c:pt idx="2">
                  <c:v>4.1145992558525323E-2</c:v>
                </c:pt>
                <c:pt idx="3">
                  <c:v>8.4734011793984806E-2</c:v>
                </c:pt>
                <c:pt idx="4">
                  <c:v>0.1506224847545854</c:v>
                </c:pt>
                <c:pt idx="5">
                  <c:v>0.23753708342668733</c:v>
                </c:pt>
                <c:pt idx="6">
                  <c:v>0.3398047061837523</c:v>
                </c:pt>
                <c:pt idx="7">
                  <c:v>0.4490598842795181</c:v>
                </c:pt>
                <c:pt idx="8">
                  <c:v>0.55657946195545982</c:v>
                </c:pt>
                <c:pt idx="9">
                  <c:v>0.65521889020886737</c:v>
                </c:pt>
                <c:pt idx="10">
                  <c:v>0.74041691025313783</c:v>
                </c:pt>
                <c:pt idx="11">
                  <c:v>0.81027566906216286</c:v>
                </c:pt>
                <c:pt idx="12">
                  <c:v>0.86503450040480123</c:v>
                </c:pt>
                <c:pt idx="13">
                  <c:v>0.90631047116941144</c:v>
                </c:pt>
                <c:pt idx="14">
                  <c:v>0.93638087415065951</c:v>
                </c:pt>
                <c:pt idx="15">
                  <c:v>0.95764540824748623</c:v>
                </c:pt>
                <c:pt idx="16">
                  <c:v>0.97229624527713165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DBA-4645-844E-2959ECECB760}"/>
            </c:ext>
          </c:extLst>
        </c:ser>
        <c:ser>
          <c:idx val="9"/>
          <c:order val="9"/>
          <c:tx>
            <c:v>1</c:v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first_part_delta!$H$6:$H$22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first_part_delta!$S$6:$S$22</c:f>
              <c:numCache>
                <c:formatCode>General</c:formatCode>
                <c:ptCount val="17"/>
                <c:pt idx="0">
                  <c:v>8.1055453543928818E-3</c:v>
                </c:pt>
                <c:pt idx="1">
                  <c:v>2.2539605701555526E-2</c:v>
                </c:pt>
                <c:pt idx="2">
                  <c:v>5.1195105289887979E-2</c:v>
                </c:pt>
                <c:pt idx="3">
                  <c:v>9.88015767617475E-2</c:v>
                </c:pt>
                <c:pt idx="4">
                  <c:v>0.16709271590694216</c:v>
                </c:pt>
                <c:pt idx="5">
                  <c:v>0.2537950995737065</c:v>
                </c:pt>
                <c:pt idx="6">
                  <c:v>0.35316016226972924</c:v>
                </c:pt>
                <c:pt idx="7">
                  <c:v>0.45760612784927152</c:v>
                </c:pt>
                <c:pt idx="8">
                  <c:v>0.5596176923702425</c:v>
                </c:pt>
                <c:pt idx="9">
                  <c:v>0.65319132580079731</c:v>
                </c:pt>
                <c:pt idx="10">
                  <c:v>0.73452316868917078</c:v>
                </c:pt>
                <c:pt idx="11">
                  <c:v>0.80200640740621953</c:v>
                </c:pt>
                <c:pt idx="12">
                  <c:v>0.85579311074329822</c:v>
                </c:pt>
                <c:pt idx="13">
                  <c:v>0.89719292559733332</c:v>
                </c:pt>
                <c:pt idx="14">
                  <c:v>0.92810491023994279</c:v>
                </c:pt>
                <c:pt idx="15">
                  <c:v>0.95058198959185258</c:v>
                </c:pt>
                <c:pt idx="16">
                  <c:v>0.96655118639654458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DBA-4645-844E-2959ECECB760}"/>
            </c:ext>
          </c:extLst>
        </c:ser>
        <c:ser>
          <c:idx val="10"/>
          <c:order val="10"/>
          <c:tx>
            <c:v>2</c:v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first_part_delta!$H$6:$H$22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first_part_delta!$T$6:$T$22</c:f>
              <c:numCache>
                <c:formatCode>General</c:formatCode>
                <c:ptCount val="17"/>
                <c:pt idx="0">
                  <c:v>5.5478177979400571E-2</c:v>
                </c:pt>
                <c:pt idx="1">
                  <c:v>9.4943144684704661E-2</c:v>
                </c:pt>
                <c:pt idx="2">
                  <c:v>0.14711107776501314</c:v>
                </c:pt>
                <c:pt idx="3">
                  <c:v>0.21041627797587964</c:v>
                </c:pt>
                <c:pt idx="4">
                  <c:v>0.2820374343620774</c:v>
                </c:pt>
                <c:pt idx="5">
                  <c:v>0.35850447187481504</c:v>
                </c:pt>
                <c:pt idx="6">
                  <c:v>0.43629337610345331</c:v>
                </c:pt>
                <c:pt idx="7">
                  <c:v>0.51227864232904818</c:v>
                </c:pt>
                <c:pt idx="8">
                  <c:v>0.58399798571368178</c:v>
                </c:pt>
                <c:pt idx="9">
                  <c:v>0.64974470477957968</c:v>
                </c:pt>
                <c:pt idx="10">
                  <c:v>0.7085330993545631</c:v>
                </c:pt>
                <c:pt idx="11">
                  <c:v>0.75998835998968672</c:v>
                </c:pt>
                <c:pt idx="12">
                  <c:v>0.80420462073819765</c:v>
                </c:pt>
                <c:pt idx="13">
                  <c:v>0.84160197553171501</c:v>
                </c:pt>
                <c:pt idx="14">
                  <c:v>0.87280055331254425</c:v>
                </c:pt>
                <c:pt idx="15">
                  <c:v>0.89851971842195577</c:v>
                </c:pt>
                <c:pt idx="16">
                  <c:v>0.91950370400292614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DBA-4645-844E-2959ECECB760}"/>
            </c:ext>
          </c:extLst>
        </c:ser>
        <c:ser>
          <c:idx val="11"/>
          <c:order val="11"/>
          <c:tx>
            <c:v>3</c:v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first_part_delta!$H$6:$H$22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first_part_delta!$U$6:$U$22</c:f>
              <c:numCache>
                <c:formatCode>General</c:formatCode>
                <c:ptCount val="17"/>
                <c:pt idx="0">
                  <c:v>0.11221757852337162</c:v>
                </c:pt>
                <c:pt idx="1">
                  <c:v>0.16261786177644788</c:v>
                </c:pt>
                <c:pt idx="2">
                  <c:v>0.22070207540533249</c:v>
                </c:pt>
                <c:pt idx="3">
                  <c:v>0.2841154119321706</c:v>
                </c:pt>
                <c:pt idx="4">
                  <c:v>0.35035866509647884</c:v>
                </c:pt>
                <c:pt idx="5">
                  <c:v>0.41708980700977716</c:v>
                </c:pt>
                <c:pt idx="6">
                  <c:v>0.48231590099564647</c:v>
                </c:pt>
                <c:pt idx="7">
                  <c:v>0.54448388447384266</c:v>
                </c:pt>
                <c:pt idx="8">
                  <c:v>0.60249391401788099</c:v>
                </c:pt>
                <c:pt idx="9">
                  <c:v>0.6556620776426314</c:v>
                </c:pt>
                <c:pt idx="10">
                  <c:v>0.70365585138940701</c:v>
                </c:pt>
                <c:pt idx="11">
                  <c:v>0.74641976679143052</c:v>
                </c:pt>
                <c:pt idx="12">
                  <c:v>0.78410275921225248</c:v>
                </c:pt>
                <c:pt idx="13">
                  <c:v>0.81699370064357868</c:v>
                </c:pt>
                <c:pt idx="14">
                  <c:v>0.84546800175065795</c:v>
                </c:pt>
                <c:pt idx="15">
                  <c:v>0.86994580030636615</c:v>
                </c:pt>
                <c:pt idx="16">
                  <c:v>0.89086087651205026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DBA-4645-844E-2959ECECB760}"/>
            </c:ext>
          </c:extLst>
        </c:ser>
        <c:ser>
          <c:idx val="12"/>
          <c:order val="12"/>
          <c:tx>
            <c:v>4</c:v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first_part_delta!$H$6:$H$22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first_part_delta!$V$6:$V$22</c:f>
              <c:numCache>
                <c:formatCode>General</c:formatCode>
                <c:ptCount val="17"/>
                <c:pt idx="0">
                  <c:v>0.16426871972840887</c:v>
                </c:pt>
                <c:pt idx="1">
                  <c:v>0.21859198446496683</c:v>
                </c:pt>
                <c:pt idx="2">
                  <c:v>0.27702998118727484</c:v>
                </c:pt>
                <c:pt idx="3">
                  <c:v>0.33753309294546507</c:v>
                </c:pt>
                <c:pt idx="4">
                  <c:v>0.39825791110296049</c:v>
                </c:pt>
                <c:pt idx="5">
                  <c:v>0.45767322745215844</c:v>
                </c:pt>
                <c:pt idx="6">
                  <c:v>0.51459751428423428</c:v>
                </c:pt>
                <c:pt idx="7">
                  <c:v>0.56818955220522305</c:v>
                </c:pt>
                <c:pt idx="8">
                  <c:v>0.61791142218895267</c:v>
                </c:pt>
                <c:pt idx="9">
                  <c:v>0.66347851713393957</c:v>
                </c:pt>
                <c:pt idx="10">
                  <c:v>0.70480655105134737</c:v>
                </c:pt>
                <c:pt idx="11">
                  <c:v>0.74196163694002004</c:v>
                </c:pt>
                <c:pt idx="12">
                  <c:v>0.77511660853638908</c:v>
                </c:pt>
                <c:pt idx="13">
                  <c:v>0.80451480332788361</c:v>
                </c:pt>
                <c:pt idx="14">
                  <c:v>0.83044131386615572</c:v>
                </c:pt>
                <c:pt idx="15">
                  <c:v>0.85320104521339801</c:v>
                </c:pt>
                <c:pt idx="16">
                  <c:v>0.87310261037867953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DBA-4645-844E-2959ECECB760}"/>
            </c:ext>
          </c:extLst>
        </c:ser>
        <c:ser>
          <c:idx val="13"/>
          <c:order val="13"/>
          <c:tx>
            <c:v>5</c:v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first_part_delta!$H$6:$H$22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first_part_delta!$W$6:$W$22</c:f>
              <c:numCache>
                <c:formatCode>General</c:formatCode>
                <c:ptCount val="17"/>
                <c:pt idx="0">
                  <c:v>0.20988203686100165</c:v>
                </c:pt>
                <c:pt idx="1">
                  <c:v>0.26505120645503799</c:v>
                </c:pt>
                <c:pt idx="2">
                  <c:v>0.32199074177395015</c:v>
                </c:pt>
                <c:pt idx="3">
                  <c:v>0.37909196897565967</c:v>
                </c:pt>
                <c:pt idx="4">
                  <c:v>0.4350411483736476</c:v>
                </c:pt>
                <c:pt idx="5">
                  <c:v>0.48883379634600066</c:v>
                </c:pt>
                <c:pt idx="6">
                  <c:v>0.53975516312316763</c:v>
                </c:pt>
                <c:pt idx="7">
                  <c:v>0.58734278687654107</c:v>
                </c:pt>
                <c:pt idx="8">
                  <c:v>0.63134216139179089</c:v>
                </c:pt>
                <c:pt idx="9">
                  <c:v>0.67166244266164088</c:v>
                </c:pt>
                <c:pt idx="10">
                  <c:v>0.70833606363246282</c:v>
                </c:pt>
                <c:pt idx="11">
                  <c:v>0.74148404620256403</c:v>
                </c:pt>
                <c:pt idx="12">
                  <c:v>0.77128749032735988</c:v>
                </c:pt>
                <c:pt idx="13">
                  <c:v>0.79796496558691377</c:v>
                </c:pt>
                <c:pt idx="14">
                  <c:v>0.82175514850703979</c:v>
                </c:pt>
                <c:pt idx="15">
                  <c:v>0.8429039016580514</c:v>
                </c:pt>
                <c:pt idx="16">
                  <c:v>0.86165498136593754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DBA-4645-844E-2959ECECB760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3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5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8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9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1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4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</c:bandFmts>
        <c:axId val="1287657743"/>
        <c:axId val="1287659823"/>
        <c:axId val="1174531727"/>
      </c:surface3DChart>
      <c:catAx>
        <c:axId val="12876577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stock 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659823"/>
        <c:crosses val="autoZero"/>
        <c:auto val="1"/>
        <c:lblAlgn val="ctr"/>
        <c:lblOffset val="100"/>
        <c:noMultiLvlLbl val="0"/>
      </c:catAx>
      <c:valAx>
        <c:axId val="12876598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Delta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657743"/>
        <c:crosses val="autoZero"/>
        <c:crossBetween val="midCat"/>
      </c:valAx>
      <c:serAx>
        <c:axId val="1174531727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maturity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659823"/>
        <c:crosses val="autoZero"/>
      </c:ser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2830968890413548"/>
          <c:y val="0.90166038139535298"/>
          <c:w val="0.36085883111028183"/>
          <c:h val="4.89885429614942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Delta (Volatility</a:t>
            </a:r>
            <a:r>
              <a:rPr lang="en-US" baseline="0"/>
              <a:t> = 0.3)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20"/>
      <c:rotY val="340"/>
      <c:depthPercent val="220"/>
      <c:rAngAx val="0"/>
      <c:perspective val="6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v>0.1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first_part_delta!$Y$6:$Y$22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first_part_delta!$AA$6:$AA$22</c:f>
              <c:numCache>
                <c:formatCode>General</c:formatCode>
                <c:ptCount val="17"/>
                <c:pt idx="0">
                  <c:v>5.0034162369055407E-8</c:v>
                </c:pt>
                <c:pt idx="1">
                  <c:v>3.6821940892309305E-6</c:v>
                </c:pt>
                <c:pt idx="2">
                  <c:v>1.0707610281507444E-4</c:v>
                </c:pt>
                <c:pt idx="3">
                  <c:v>1.4675225785184831E-3</c:v>
                </c:pt>
                <c:pt idx="4">
                  <c:v>1.0890526735845741E-2</c:v>
                </c:pt>
                <c:pt idx="5">
                  <c:v>4.8949588230018437E-2</c:v>
                </c:pt>
                <c:pt idx="6">
                  <c:v>0.14625707559799994</c:v>
                </c:pt>
                <c:pt idx="7">
                  <c:v>0.31465306570218488</c:v>
                </c:pt>
                <c:pt idx="8">
                  <c:v>0.52311576495136336</c:v>
                </c:pt>
                <c:pt idx="9">
                  <c:v>0.71642998296826488</c:v>
                </c:pt>
                <c:pt idx="10">
                  <c:v>0.85602570106502918</c:v>
                </c:pt>
                <c:pt idx="11">
                  <c:v>0.9371394361344666</c:v>
                </c:pt>
                <c:pt idx="12">
                  <c:v>0.97613772992890591</c:v>
                </c:pt>
                <c:pt idx="13">
                  <c:v>0.99202624587419741</c:v>
                </c:pt>
                <c:pt idx="14">
                  <c:v>0.9976251547967403</c:v>
                </c:pt>
                <c:pt idx="15">
                  <c:v>0.99936207053892745</c:v>
                </c:pt>
                <c:pt idx="16">
                  <c:v>0.99984374547949573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BA-4DED-962D-FB218B573D83}"/>
            </c:ext>
          </c:extLst>
        </c:ser>
        <c:ser>
          <c:idx val="1"/>
          <c:order val="1"/>
          <c:tx>
            <c:v>0.2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first_part_delta!$Y$6:$Y$22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first_part_delta!$AB$6:$AB$22</c:f>
              <c:numCache>
                <c:formatCode>General</c:formatCode>
                <c:ptCount val="17"/>
                <c:pt idx="0">
                  <c:v>9.7471862538906133E-5</c:v>
                </c:pt>
                <c:pt idx="1">
                  <c:v>8.7737836912211542E-4</c:v>
                </c:pt>
                <c:pt idx="2">
                  <c:v>4.9901816736536639E-3</c:v>
                </c:pt>
                <c:pt idx="3">
                  <c:v>1.9591189701574866E-2</c:v>
                </c:pt>
                <c:pt idx="4">
                  <c:v>5.6913337986291397E-2</c:v>
                </c:pt>
                <c:pt idx="5">
                  <c:v>0.1293739652284181</c:v>
                </c:pt>
                <c:pt idx="6">
                  <c:v>0.24092762709076576</c:v>
                </c:pt>
                <c:pt idx="7">
                  <c:v>0.3819633040789554</c:v>
                </c:pt>
                <c:pt idx="8">
                  <c:v>0.53267233292182181</c:v>
                </c:pt>
                <c:pt idx="9">
                  <c:v>0.67207480164598299</c:v>
                </c:pt>
                <c:pt idx="10">
                  <c:v>0.78593314054026053</c:v>
                </c:pt>
                <c:pt idx="11">
                  <c:v>0.86943263666792814</c:v>
                </c:pt>
                <c:pt idx="12">
                  <c:v>0.92519830817009863</c:v>
                </c:pt>
                <c:pt idx="13">
                  <c:v>0.95952522958374731</c:v>
                </c:pt>
                <c:pt idx="14">
                  <c:v>0.97920186730211123</c:v>
                </c:pt>
                <c:pt idx="15">
                  <c:v>0.98979805440371849</c:v>
                </c:pt>
                <c:pt idx="16">
                  <c:v>0.99519988085741351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BA-4DED-962D-FB218B573D83}"/>
            </c:ext>
          </c:extLst>
        </c:ser>
        <c:ser>
          <c:idx val="2"/>
          <c:order val="2"/>
          <c:tx>
            <c:v>0.3</c:v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first_part_delta!$Y$6:$Y$22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first_part_delta!$AC$6:$AC$22</c:f>
              <c:numCache>
                <c:formatCode>General</c:formatCode>
                <c:ptCount val="17"/>
                <c:pt idx="0">
                  <c:v>1.3132659794663289E-3</c:v>
                </c:pt>
                <c:pt idx="1">
                  <c:v>5.847011044032159E-3</c:v>
                </c:pt>
                <c:pt idx="2">
                  <c:v>1.9214994632873059E-2</c:v>
                </c:pt>
                <c:pt idx="3">
                  <c:v>4.9434506570869327E-2</c:v>
                </c:pt>
                <c:pt idx="4">
                  <c:v>0.10426956463923276</c:v>
                </c:pt>
                <c:pt idx="5">
                  <c:v>0.18709751221137344</c:v>
                </c:pt>
                <c:pt idx="6">
                  <c:v>0.29432689998056172</c:v>
                </c:pt>
                <c:pt idx="7">
                  <c:v>0.4161528933790935</c:v>
                </c:pt>
                <c:pt idx="8">
                  <c:v>0.53999288758705544</c:v>
                </c:pt>
                <c:pt idx="9">
                  <c:v>0.65444283411208759</c:v>
                </c:pt>
                <c:pt idx="10">
                  <c:v>0.75189182389050946</c:v>
                </c:pt>
                <c:pt idx="11">
                  <c:v>0.82919270948748747</c:v>
                </c:pt>
                <c:pt idx="12">
                  <c:v>0.88685853170876361</c:v>
                </c:pt>
                <c:pt idx="13">
                  <c:v>0.92763817410360494</c:v>
                </c:pt>
                <c:pt idx="14">
                  <c:v>0.95516243259384059</c:v>
                </c:pt>
                <c:pt idx="15">
                  <c:v>0.97299735807546195</c:v>
                </c:pt>
                <c:pt idx="16">
                  <c:v>0.98414791288614301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BA-4DED-962D-FB218B573D83}"/>
            </c:ext>
          </c:extLst>
        </c:ser>
        <c:ser>
          <c:idx val="3"/>
          <c:order val="3"/>
          <c:tx>
            <c:v>0.4</c:v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first_part_delta!$Y$6:$Y$22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first_part_delta!$AD$6:$AD$22</c:f>
              <c:numCache>
                <c:formatCode>General</c:formatCode>
                <c:ptCount val="17"/>
                <c:pt idx="0">
                  <c:v>4.992660033900336E-3</c:v>
                </c:pt>
                <c:pt idx="1">
                  <c:v>1.5601464786896047E-2</c:v>
                </c:pt>
                <c:pt idx="2">
                  <c:v>3.8875096230606622E-2</c:v>
                </c:pt>
                <c:pt idx="3">
                  <c:v>8.0716619021007047E-2</c:v>
                </c:pt>
                <c:pt idx="4">
                  <c:v>0.14454509647225661</c:v>
                </c:pt>
                <c:pt idx="5">
                  <c:v>0.22946806891671254</c:v>
                </c:pt>
                <c:pt idx="6">
                  <c:v>0.33020452050949323</c:v>
                </c:pt>
                <c:pt idx="7">
                  <c:v>0.43865142750198133</c:v>
                </c:pt>
                <c:pt idx="8">
                  <c:v>0.54615398735857779</c:v>
                </c:pt>
                <c:pt idx="9">
                  <c:v>0.64546184621426217</c:v>
                </c:pt>
                <c:pt idx="10">
                  <c:v>0.7318042573881709</c:v>
                </c:pt>
                <c:pt idx="11">
                  <c:v>0.80304840536517041</c:v>
                </c:pt>
                <c:pt idx="12">
                  <c:v>0.85923063815805933</c:v>
                </c:pt>
                <c:pt idx="13">
                  <c:v>0.90182488378357173</c:v>
                </c:pt>
                <c:pt idx="14">
                  <c:v>0.93302831921275364</c:v>
                </c:pt>
                <c:pt idx="15">
                  <c:v>0.95521216048553548</c:v>
                </c:pt>
                <c:pt idx="16">
                  <c:v>0.97057515521784565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DBA-4DED-962D-FB218B573D83}"/>
            </c:ext>
          </c:extLst>
        </c:ser>
        <c:ser>
          <c:idx val="4"/>
          <c:order val="4"/>
          <c:tx>
            <c:v>0.5</c:v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first_part_delta!$Y$6:$Y$22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first_part_delta!$AE$6:$AE$22</c:f>
              <c:numCache>
                <c:formatCode>General</c:formatCode>
                <c:ptCount val="17"/>
                <c:pt idx="0">
                  <c:v>1.1350817464731676E-2</c:v>
                </c:pt>
                <c:pt idx="1">
                  <c:v>2.8644857358513225E-2</c:v>
                </c:pt>
                <c:pt idx="2">
                  <c:v>6.0361557489523619E-2</c:v>
                </c:pt>
                <c:pt idx="3">
                  <c:v>0.11000339750396831</c:v>
                </c:pt>
                <c:pt idx="4">
                  <c:v>0.17819321540160804</c:v>
                </c:pt>
                <c:pt idx="5">
                  <c:v>0.26223006736843324</c:v>
                </c:pt>
                <c:pt idx="6">
                  <c:v>0.35679534006601854</c:v>
                </c:pt>
                <c:pt idx="7">
                  <c:v>0.45534721551467583</c:v>
                </c:pt>
                <c:pt idx="8">
                  <c:v>0.55157288637548119</c:v>
                </c:pt>
                <c:pt idx="9">
                  <c:v>0.64044005264399373</c:v>
                </c:pt>
                <c:pt idx="10">
                  <c:v>0.71868272096314856</c:v>
                </c:pt>
                <c:pt idx="11">
                  <c:v>0.78479210831011448</c:v>
                </c:pt>
                <c:pt idx="12">
                  <c:v>0.83869492248144772</c:v>
                </c:pt>
                <c:pt idx="13">
                  <c:v>0.8813068623898227</c:v>
                </c:pt>
                <c:pt idx="14">
                  <c:v>0.91409849026161683</c:v>
                </c:pt>
                <c:pt idx="15">
                  <c:v>0.93874735257652986</c:v>
                </c:pt>
                <c:pt idx="16">
                  <c:v>0.95689898642329607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DBA-4DED-962D-FB218B573D83}"/>
            </c:ext>
          </c:extLst>
        </c:ser>
        <c:ser>
          <c:idx val="5"/>
          <c:order val="5"/>
          <c:tx>
            <c:v>0.6</c:v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first_part_delta!$Y$6:$Y$22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first_part_delta!$AF$6:$AF$22</c:f>
              <c:numCache>
                <c:formatCode>General</c:formatCode>
                <c:ptCount val="17"/>
                <c:pt idx="0">
                  <c:v>1.9879978802043376E-2</c:v>
                </c:pt>
                <c:pt idx="1">
                  <c:v>4.3468137473605249E-2</c:v>
                </c:pt>
                <c:pt idx="2">
                  <c:v>8.1828768636166921E-2</c:v>
                </c:pt>
                <c:pt idx="3">
                  <c:v>0.13654438951976758</c:v>
                </c:pt>
                <c:pt idx="4">
                  <c:v>0.20660792036453604</c:v>
                </c:pt>
                <c:pt idx="5">
                  <c:v>0.28864049524186719</c:v>
                </c:pt>
                <c:pt idx="6">
                  <c:v>0.37775204713439936</c:v>
                </c:pt>
                <c:pt idx="7">
                  <c:v>0.46862695070489663</c:v>
                </c:pt>
                <c:pt idx="8">
                  <c:v>0.55646370539182832</c:v>
                </c:pt>
                <c:pt idx="9">
                  <c:v>0.6375691792945577</c:v>
                </c:pt>
                <c:pt idx="10">
                  <c:v>0.70958032306564656</c:v>
                </c:pt>
                <c:pt idx="11">
                  <c:v>0.77139506484411136</c:v>
                </c:pt>
                <c:pt idx="12">
                  <c:v>0.82293195018806276</c:v>
                </c:pt>
                <c:pt idx="13">
                  <c:v>0.86482705141973804</c:v>
                </c:pt>
                <c:pt idx="14">
                  <c:v>0.89814375452956496</c:v>
                </c:pt>
                <c:pt idx="15">
                  <c:v>0.92413592245152854</c:v>
                </c:pt>
                <c:pt idx="16">
                  <c:v>0.94407756560009015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DBA-4DED-962D-FB218B573D83}"/>
            </c:ext>
          </c:extLst>
        </c:ser>
        <c:ser>
          <c:idx val="6"/>
          <c:order val="6"/>
          <c:tx>
            <c:v>0.7</c:v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first_part_delta!$Y$6:$Y$22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first_part_delta!$AG$6:$AG$22</c:f>
              <c:numCache>
                <c:formatCode>General</c:formatCode>
                <c:ptCount val="17"/>
                <c:pt idx="0">
                  <c:v>2.9932244764737284E-2</c:v>
                </c:pt>
                <c:pt idx="1">
                  <c:v>5.9038935425869576E-2</c:v>
                </c:pt>
                <c:pt idx="2">
                  <c:v>0.10246339188434647</c:v>
                </c:pt>
                <c:pt idx="3">
                  <c:v>0.16041221101185985</c:v>
                </c:pt>
                <c:pt idx="4">
                  <c:v>0.23097566222627239</c:v>
                </c:pt>
                <c:pt idx="5">
                  <c:v>0.31061663415168483</c:v>
                </c:pt>
                <c:pt idx="6">
                  <c:v>0.39497379522555537</c:v>
                </c:pt>
                <c:pt idx="7">
                  <c:v>0.47967483058661126</c:v>
                </c:pt>
                <c:pt idx="8">
                  <c:v>0.56095371673383299</c:v>
                </c:pt>
                <c:pt idx="9">
                  <c:v>0.63599441741087059</c:v>
                </c:pt>
                <c:pt idx="10">
                  <c:v>0.70302215257089251</c:v>
                </c:pt>
                <c:pt idx="11">
                  <c:v>0.76121383901599127</c:v>
                </c:pt>
                <c:pt idx="12">
                  <c:v>0.81050916202186163</c:v>
                </c:pt>
                <c:pt idx="13">
                  <c:v>0.85138984659601924</c:v>
                </c:pt>
                <c:pt idx="14">
                  <c:v>0.8846722298971994</c:v>
                </c:pt>
                <c:pt idx="15">
                  <c:v>0.91133681457196536</c:v>
                </c:pt>
                <c:pt idx="16">
                  <c:v>0.93240240791875728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DBA-4DED-962D-FB218B573D83}"/>
            </c:ext>
          </c:extLst>
        </c:ser>
        <c:ser>
          <c:idx val="7"/>
          <c:order val="7"/>
          <c:tx>
            <c:v>0.8</c:v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first_part_delta!$Y$6:$Y$22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first_part_delta!$AH$6:$AH$22</c:f>
              <c:numCache>
                <c:formatCode>General</c:formatCode>
                <c:ptCount val="17"/>
                <c:pt idx="0">
                  <c:v>4.0950902335764483E-2</c:v>
                </c:pt>
                <c:pt idx="1">
                  <c:v>7.4728116021825122E-2</c:v>
                </c:pt>
                <c:pt idx="2">
                  <c:v>0.12195471445596062</c:v>
                </c:pt>
                <c:pt idx="3">
                  <c:v>0.18189962970104834</c:v>
                </c:pt>
                <c:pt idx="4">
                  <c:v>0.25218534923298636</c:v>
                </c:pt>
                <c:pt idx="5">
                  <c:v>0.32935533629557545</c:v>
                </c:pt>
                <c:pt idx="6">
                  <c:v>0.4095599317357414</c:v>
                </c:pt>
                <c:pt idx="7">
                  <c:v>0.48915788300334873</c:v>
                </c:pt>
                <c:pt idx="8">
                  <c:v>0.56512589389530654</c:v>
                </c:pt>
                <c:pt idx="9">
                  <c:v>0.63525669084775638</c:v>
                </c:pt>
                <c:pt idx="10">
                  <c:v>0.69818182521677907</c:v>
                </c:pt>
                <c:pt idx="11">
                  <c:v>0.75327765691030435</c:v>
                </c:pt>
                <c:pt idx="12">
                  <c:v>0.80051177059449707</c:v>
                </c:pt>
                <c:pt idx="13">
                  <c:v>0.84027414396084255</c:v>
                </c:pt>
                <c:pt idx="14">
                  <c:v>0.87322148228571717</c:v>
                </c:pt>
                <c:pt idx="15">
                  <c:v>0.90014918606468963</c:v>
                </c:pt>
                <c:pt idx="16">
                  <c:v>0.92189531953464121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DBA-4DED-962D-FB218B573D83}"/>
            </c:ext>
          </c:extLst>
        </c:ser>
        <c:ser>
          <c:idx val="8"/>
          <c:order val="8"/>
          <c:tx>
            <c:v>0.9</c:v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first_part_delta!$Y$6:$Y$22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first_part_delta!$AI$6:$AI$22</c:f>
              <c:numCache>
                <c:formatCode>General</c:formatCode>
                <c:ptCount val="17"/>
                <c:pt idx="0">
                  <c:v>5.2516002614189643E-2</c:v>
                </c:pt>
                <c:pt idx="1">
                  <c:v>9.0172813400075422E-2</c:v>
                </c:pt>
                <c:pt idx="2">
                  <c:v>0.1402263966706617</c:v>
                </c:pt>
                <c:pt idx="3">
                  <c:v>0.20132818570829822</c:v>
                </c:pt>
                <c:pt idx="4">
                  <c:v>0.27089074616784536</c:v>
                </c:pt>
                <c:pt idx="5">
                  <c:v>0.34564389568681986</c:v>
                </c:pt>
                <c:pt idx="6">
                  <c:v>0.42219791583544131</c:v>
                </c:pt>
                <c:pt idx="7">
                  <c:v>0.49748628363861275</c:v>
                </c:pt>
                <c:pt idx="8">
                  <c:v>0.56903790416143729</c:v>
                </c:pt>
                <c:pt idx="9">
                  <c:v>0.63508678730440149</c:v>
                </c:pt>
                <c:pt idx="10">
                  <c:v>0.69455768345693381</c:v>
                </c:pt>
                <c:pt idx="11">
                  <c:v>0.74697433142683933</c:v>
                </c:pt>
                <c:pt idx="12">
                  <c:v>0.79233157169098423</c:v>
                </c:pt>
                <c:pt idx="13">
                  <c:v>0.83096150825161674</c:v>
                </c:pt>
                <c:pt idx="14">
                  <c:v>0.86341232176687477</c:v>
                </c:pt>
                <c:pt idx="15">
                  <c:v>0.89034882296294016</c:v>
                </c:pt>
                <c:pt idx="16">
                  <c:v>0.9124771715221327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DBA-4DED-962D-FB218B573D83}"/>
            </c:ext>
          </c:extLst>
        </c:ser>
        <c:ser>
          <c:idx val="9"/>
          <c:order val="9"/>
          <c:tx>
            <c:v>1</c:v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first_part_delta!$Y$6:$Y$22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first_part_delta!$AJ$6:$AJ$22</c:f>
              <c:numCache>
                <c:formatCode>General</c:formatCode>
                <c:ptCount val="17"/>
                <c:pt idx="0">
                  <c:v>6.4328563178375001E-2</c:v>
                </c:pt>
                <c:pt idx="1">
                  <c:v>0.10517388780770238</c:v>
                </c:pt>
                <c:pt idx="2">
                  <c:v>0.15730806721544691</c:v>
                </c:pt>
                <c:pt idx="3">
                  <c:v>0.21899056011833215</c:v>
                </c:pt>
                <c:pt idx="4">
                  <c:v>0.28757654881407335</c:v>
                </c:pt>
                <c:pt idx="5">
                  <c:v>0.36002333083467097</c:v>
                </c:pt>
                <c:pt idx="6">
                  <c:v>0.43334341092094797</c:v>
                </c:pt>
                <c:pt idx="7">
                  <c:v>0.50492907988438374</c:v>
                </c:pt>
                <c:pt idx="8">
                  <c:v>0.57273175930304054</c:v>
                </c:pt>
                <c:pt idx="9">
                  <c:v>0.63531632275589001</c:v>
                </c:pt>
                <c:pt idx="10">
                  <c:v>0.69182637898167587</c:v>
                </c:pt>
                <c:pt idx="11">
                  <c:v>0.74189753633829758</c:v>
                </c:pt>
                <c:pt idx="12">
                  <c:v>0.78554896929810647</c:v>
                </c:pt>
                <c:pt idx="13">
                  <c:v>0.82307441711333762</c:v>
                </c:pt>
                <c:pt idx="14">
                  <c:v>0.85494512380940124</c:v>
                </c:pt>
                <c:pt idx="15">
                  <c:v>0.88173051157264637</c:v>
                </c:pt>
                <c:pt idx="16">
                  <c:v>0.90403781886513113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DBA-4DED-962D-FB218B573D83}"/>
            </c:ext>
          </c:extLst>
        </c:ser>
        <c:ser>
          <c:idx val="10"/>
          <c:order val="10"/>
          <c:tx>
            <c:v>2</c:v>
          </c:tx>
          <c:cat>
            <c:numRef>
              <c:f>first_part_delta!$Y$6:$Y$22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first_part_delta!$AK$6:$AK$22</c:f>
              <c:numCache>
                <c:formatCode>General</c:formatCode>
                <c:ptCount val="17"/>
                <c:pt idx="0">
                  <c:v>0.17239197114368851</c:v>
                </c:pt>
                <c:pt idx="1">
                  <c:v>0.22479684393807561</c:v>
                </c:pt>
                <c:pt idx="2">
                  <c:v>0.28047924339879649</c:v>
                </c:pt>
                <c:pt idx="3">
                  <c:v>0.33768091083242541</c:v>
                </c:pt>
                <c:pt idx="4">
                  <c:v>0.39485704248118841</c:v>
                </c:pt>
                <c:pt idx="5">
                  <c:v>0.45074144633462454</c:v>
                </c:pt>
                <c:pt idx="6">
                  <c:v>0.50436249428511837</c:v>
                </c:pt>
                <c:pt idx="7">
                  <c:v>0.55502719539571732</c:v>
                </c:pt>
                <c:pt idx="8">
                  <c:v>0.60228749680470339</c:v>
                </c:pt>
                <c:pt idx="9">
                  <c:v>0.64589902155139922</c:v>
                </c:pt>
                <c:pt idx="10">
                  <c:v>0.68577893776060739</c:v>
                </c:pt>
                <c:pt idx="11">
                  <c:v>0.72196690064701641</c:v>
                </c:pt>
                <c:pt idx="12">
                  <c:v>0.754591046066726</c:v>
                </c:pt>
                <c:pt idx="13">
                  <c:v>0.78383972120701739</c:v>
                </c:pt>
                <c:pt idx="14">
                  <c:v>0.80993885351262629</c:v>
                </c:pt>
                <c:pt idx="15">
                  <c:v>0.83313443249219921</c:v>
                </c:pt>
                <c:pt idx="16">
                  <c:v>0.85367938888663453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DBA-4DED-962D-FB218B573D83}"/>
            </c:ext>
          </c:extLst>
        </c:ser>
        <c:ser>
          <c:idx val="11"/>
          <c:order val="11"/>
          <c:tx>
            <c:v>3</c:v>
          </c:tx>
          <c:cat>
            <c:numRef>
              <c:f>first_part_delta!$Y$6:$Y$22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first_part_delta!$AL$6:$AL$22</c:f>
              <c:numCache>
                <c:formatCode>General</c:formatCode>
                <c:ptCount val="17"/>
                <c:pt idx="0">
                  <c:v>0.25285203319023192</c:v>
                </c:pt>
                <c:pt idx="1">
                  <c:v>0.3045006830407393</c:v>
                </c:pt>
                <c:pt idx="2">
                  <c:v>0.35610910688425379</c:v>
                </c:pt>
                <c:pt idx="3">
                  <c:v>0.40667685470200449</c:v>
                </c:pt>
                <c:pt idx="4">
                  <c:v>0.45545241211238541</c:v>
                </c:pt>
                <c:pt idx="5">
                  <c:v>0.50190487130170336</c:v>
                </c:pt>
                <c:pt idx="6">
                  <c:v>0.54568875929400229</c:v>
                </c:pt>
                <c:pt idx="7">
                  <c:v>0.58660823860191547</c:v>
                </c:pt>
                <c:pt idx="8">
                  <c:v>0.62458405795544159</c:v>
                </c:pt>
                <c:pt idx="9">
                  <c:v>0.65962480217204278</c:v>
                </c:pt>
                <c:pt idx="10">
                  <c:v>0.69180288754629138</c:v>
                </c:pt>
                <c:pt idx="11">
                  <c:v>0.72123513401713546</c:v>
                </c:pt>
                <c:pt idx="12">
                  <c:v>0.74806744044833073</c:v>
                </c:pt>
                <c:pt idx="13">
                  <c:v>0.77246297183665924</c:v>
                </c:pt>
                <c:pt idx="14">
                  <c:v>0.79459325631183764</c:v>
                </c:pt>
                <c:pt idx="15">
                  <c:v>0.81463163438593589</c:v>
                </c:pt>
                <c:pt idx="16">
                  <c:v>0.83274857213885123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DBA-4DED-962D-FB218B573D83}"/>
            </c:ext>
          </c:extLst>
        </c:ser>
        <c:ser>
          <c:idx val="12"/>
          <c:order val="12"/>
          <c:tx>
            <c:v>4</c:v>
          </c:tx>
          <c:cat>
            <c:numRef>
              <c:f>first_part_delta!$Y$6:$Y$22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first_part_delta!$AM$6:$AM$22</c:f>
              <c:numCache>
                <c:formatCode>General</c:formatCode>
                <c:ptCount val="17"/>
                <c:pt idx="0">
                  <c:v>0.31394125841594145</c:v>
                </c:pt>
                <c:pt idx="1">
                  <c:v>0.36267982457804149</c:v>
                </c:pt>
                <c:pt idx="2">
                  <c:v>0.40990413904026235</c:v>
                </c:pt>
                <c:pt idx="3">
                  <c:v>0.45509318992994574</c:v>
                </c:pt>
                <c:pt idx="4">
                  <c:v>0.49790985034594043</c:v>
                </c:pt>
                <c:pt idx="5">
                  <c:v>0.53816099984174448</c:v>
                </c:pt>
                <c:pt idx="6">
                  <c:v>0.57576298201651444</c:v>
                </c:pt>
                <c:pt idx="7">
                  <c:v>0.61071300082010072</c:v>
                </c:pt>
                <c:pt idx="8">
                  <c:v>0.64306616326250143</c:v>
                </c:pt>
                <c:pt idx="9">
                  <c:v>0.67291748622828185</c:v>
                </c:pt>
                <c:pt idx="10">
                  <c:v>0.70038806898924744</c:v>
                </c:pt>
                <c:pt idx="11">
                  <c:v>0.72561465541937875</c:v>
                </c:pt>
                <c:pt idx="12">
                  <c:v>0.74874189438577665</c:v>
                </c:pt>
                <c:pt idx="13">
                  <c:v>0.76991671192728905</c:v>
                </c:pt>
                <c:pt idx="14">
                  <c:v>0.78928431354169604</c:v>
                </c:pt>
                <c:pt idx="15">
                  <c:v>0.80698542949219532</c:v>
                </c:pt>
                <c:pt idx="16">
                  <c:v>0.82315449700674104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DBA-4DED-962D-FB218B573D83}"/>
            </c:ext>
          </c:extLst>
        </c:ser>
        <c:ser>
          <c:idx val="13"/>
          <c:order val="13"/>
          <c:tx>
            <c:v>5</c:v>
          </c:tx>
          <c:cat>
            <c:numRef>
              <c:f>first_part_delta!$Y$6:$Y$22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first_part_delta!$AN$6:$AN$22</c:f>
              <c:numCache>
                <c:formatCode>General</c:formatCode>
                <c:ptCount val="17"/>
                <c:pt idx="0">
                  <c:v>0.3625886029317465</c:v>
                </c:pt>
                <c:pt idx="1">
                  <c:v>0.4081806753100849</c:v>
                </c:pt>
                <c:pt idx="2">
                  <c:v>0.45154699490085998</c:v>
                </c:pt>
                <c:pt idx="3">
                  <c:v>0.49245831881467117</c:v>
                </c:pt>
                <c:pt idx="4">
                  <c:v>0.53080875955769424</c:v>
                </c:pt>
                <c:pt idx="5">
                  <c:v>0.56658125708655704</c:v>
                </c:pt>
                <c:pt idx="6">
                  <c:v>0.59982092332225356</c:v>
                </c:pt>
                <c:pt idx="7">
                  <c:v>0.63061486355917407</c:v>
                </c:pt>
                <c:pt idx="8">
                  <c:v>0.65907714492767744</c:v>
                </c:pt>
                <c:pt idx="9">
                  <c:v>0.68533776358227261</c:v>
                </c:pt>
                <c:pt idx="10">
                  <c:v>0.70953466945632937</c:v>
                </c:pt>
                <c:pt idx="11">
                  <c:v>0.7318081009305093</c:v>
                </c:pt>
                <c:pt idx="12">
                  <c:v>0.75229664733269386</c:v>
                </c:pt>
                <c:pt idx="13">
                  <c:v>0.77113459229413017</c:v>
                </c:pt>
                <c:pt idx="14">
                  <c:v>0.78845019812977468</c:v>
                </c:pt>
                <c:pt idx="15">
                  <c:v>0.80436467483037943</c:v>
                </c:pt>
                <c:pt idx="16">
                  <c:v>0.81899164140300906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DBA-4DED-962D-FB218B573D83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3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5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8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9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1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4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</c:bandFmts>
        <c:axId val="910635248"/>
        <c:axId val="910635664"/>
        <c:axId val="832163376"/>
      </c:surface3DChart>
      <c:catAx>
        <c:axId val="9106352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>
                    <a:solidFill>
                      <a:schemeClr val="bg1"/>
                    </a:solidFill>
                  </a:rPr>
                  <a:t>Stock 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0635664"/>
        <c:crosses val="autoZero"/>
        <c:auto val="1"/>
        <c:lblAlgn val="ctr"/>
        <c:lblOffset val="100"/>
        <c:noMultiLvlLbl val="0"/>
      </c:catAx>
      <c:valAx>
        <c:axId val="91063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>
                    <a:solidFill>
                      <a:schemeClr val="bg1"/>
                    </a:solidFill>
                  </a:rPr>
                  <a:t>Delta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0635248"/>
        <c:crosses val="autoZero"/>
        <c:crossBetween val="midCat"/>
      </c:valAx>
      <c:serAx>
        <c:axId val="832163376"/>
        <c:scaling>
          <c:orientation val="minMax"/>
        </c:scaling>
        <c:delete val="0"/>
        <c:axPos val="b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>
                    <a:solidFill>
                      <a:schemeClr val="bg1"/>
                    </a:solidFill>
                  </a:rPr>
                  <a:t>Maturity</a:t>
                </a:r>
              </a:p>
            </c:rich>
          </c:tx>
          <c:overlay val="0"/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0635664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Theta (Volatility = 0.1)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0"/>
      <c:rotY val="20"/>
      <c:rAngAx val="0"/>
      <c:perspective val="8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v>0.1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first_part_theta!$AQ$5:$AQ$21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first_part_theta!$AS$5:$AS$21</c:f>
              <c:numCache>
                <c:formatCode>General</c:formatCode>
                <c:ptCount val="17"/>
                <c:pt idx="0">
                  <c:v>-4.8229322480073432E-59</c:v>
                </c:pt>
                <c:pt idx="1">
                  <c:v>-1.0758816027387067E-42</c:v>
                </c:pt>
                <c:pt idx="2">
                  <c:v>-4.8674221922236454E-30</c:v>
                </c:pt>
                <c:pt idx="3">
                  <c:v>-2.1147119037623106E-20</c:v>
                </c:pt>
                <c:pt idx="4">
                  <c:v>-2.9463717909451377E-13</c:v>
                </c:pt>
                <c:pt idx="5">
                  <c:v>-3.4025236347435231E-8</c:v>
                </c:pt>
                <c:pt idx="6">
                  <c:v>-6.9457027299651156E-5</c:v>
                </c:pt>
                <c:pt idx="7">
                  <c:v>-4.604393935016958E-3</c:v>
                </c:pt>
                <c:pt idx="8">
                  <c:v>-1.587654101649514E-2</c:v>
                </c:pt>
                <c:pt idx="9">
                  <c:v>-2.5497239430425818E-3</c:v>
                </c:pt>
                <c:pt idx="10">
                  <c:v>2.5583191026071522E-3</c:v>
                </c:pt>
                <c:pt idx="11">
                  <c:v>2.7360522598924991E-3</c:v>
                </c:pt>
                <c:pt idx="12">
                  <c:v>2.73698670721447E-3</c:v>
                </c:pt>
                <c:pt idx="13">
                  <c:v>2.7369876705364785E-3</c:v>
                </c:pt>
                <c:pt idx="14">
                  <c:v>2.7369876707763531E-3</c:v>
                </c:pt>
                <c:pt idx="15">
                  <c:v>2.73698767077637E-3</c:v>
                </c:pt>
                <c:pt idx="16">
                  <c:v>2.73698767077637E-3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4A-4B84-9F7F-B6359EC8B3F5}"/>
            </c:ext>
          </c:extLst>
        </c:ser>
        <c:ser>
          <c:idx val="1"/>
          <c:order val="1"/>
          <c:tx>
            <c:v>0.2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first_part_theta!$AQ$5:$AQ$21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first_part_theta!$AT$5:$AT$21</c:f>
              <c:numCache>
                <c:formatCode>General</c:formatCode>
                <c:ptCount val="17"/>
                <c:pt idx="0">
                  <c:v>-7.2797748550212078E-31</c:v>
                </c:pt>
                <c:pt idx="1">
                  <c:v>-1.0646033177470248E-22</c:v>
                </c:pt>
                <c:pt idx="2">
                  <c:v>-2.2197131579323962E-16</c:v>
                </c:pt>
                <c:pt idx="3">
                  <c:v>-1.4353017789604989E-11</c:v>
                </c:pt>
                <c:pt idx="4">
                  <c:v>-5.2569916846475414E-8</c:v>
                </c:pt>
                <c:pt idx="5">
                  <c:v>-1.7518836015171496E-5</c:v>
                </c:pt>
                <c:pt idx="6">
                  <c:v>-7.7433276416402511E-4</c:v>
                </c:pt>
                <c:pt idx="7">
                  <c:v>-6.1235178933894477E-3</c:v>
                </c:pt>
                <c:pt idx="8">
                  <c:v>-1.080104881991133E-2</c:v>
                </c:pt>
                <c:pt idx="9">
                  <c:v>-4.1909072557798945E-3</c:v>
                </c:pt>
                <c:pt idx="10">
                  <c:v>1.4916852803152835E-3</c:v>
                </c:pt>
                <c:pt idx="11">
                  <c:v>2.6459147010131617E-3</c:v>
                </c:pt>
                <c:pt idx="12">
                  <c:v>2.7314576301087638E-3</c:v>
                </c:pt>
                <c:pt idx="13">
                  <c:v>2.7342085161821315E-3</c:v>
                </c:pt>
                <c:pt idx="14">
                  <c:v>2.7342516865315192E-3</c:v>
                </c:pt>
                <c:pt idx="15">
                  <c:v>2.7342520493728586E-3</c:v>
                </c:pt>
                <c:pt idx="16">
                  <c:v>2.7342520511380564E-3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A-4B84-9F7F-B6359EC8B3F5}"/>
            </c:ext>
          </c:extLst>
        </c:ser>
        <c:ser>
          <c:idx val="2"/>
          <c:order val="2"/>
          <c:tx>
            <c:v>0.3</c:v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first_part_theta!$AQ$5:$AQ$21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first_part_theta!$AU$5:$AU$21</c:f>
              <c:numCache>
                <c:formatCode>General</c:formatCode>
                <c:ptCount val="17"/>
                <c:pt idx="0">
                  <c:v>-1.6433332448894664E-21</c:v>
                </c:pt>
                <c:pt idx="1">
                  <c:v>-4.4957138773605802E-16</c:v>
                </c:pt>
                <c:pt idx="2">
                  <c:v>-7.2360905546874347E-12</c:v>
                </c:pt>
                <c:pt idx="3">
                  <c:v>-1.1499994926423536E-8</c:v>
                </c:pt>
                <c:pt idx="4">
                  <c:v>-2.6951835053998341E-6</c:v>
                </c:pt>
                <c:pt idx="5">
                  <c:v>-1.2766156060127755E-4</c:v>
                </c:pt>
                <c:pt idx="6">
                  <c:v>-1.5687934898210708E-3</c:v>
                </c:pt>
                <c:pt idx="7">
                  <c:v>-6.0843492023878619E-3</c:v>
                </c:pt>
                <c:pt idx="8">
                  <c:v>-8.5483945394121096E-3</c:v>
                </c:pt>
                <c:pt idx="9">
                  <c:v>-4.2843611236363299E-3</c:v>
                </c:pt>
                <c:pt idx="10">
                  <c:v>5.400336179259464E-4</c:v>
                </c:pt>
                <c:pt idx="11">
                  <c:v>2.3604389904379242E-3</c:v>
                </c:pt>
                <c:pt idx="12">
                  <c:v>2.6948030203742938E-3</c:v>
                </c:pt>
                <c:pt idx="13">
                  <c:v>2.7292501657144811E-3</c:v>
                </c:pt>
                <c:pt idx="14">
                  <c:v>2.7314263677809853E-3</c:v>
                </c:pt>
                <c:pt idx="15">
                  <c:v>2.7315165249788167E-3</c:v>
                </c:pt>
                <c:pt idx="16">
                  <c:v>2.7315191111513125E-3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B4A-4B84-9F7F-B6359EC8B3F5}"/>
            </c:ext>
          </c:extLst>
        </c:ser>
        <c:ser>
          <c:idx val="3"/>
          <c:order val="3"/>
          <c:tx>
            <c:v>0.4</c:v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first_part_theta!$AQ$5:$AQ$21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first_part_theta!$AV$5:$AV$21</c:f>
              <c:numCache>
                <c:formatCode>General</c:formatCode>
                <c:ptCount val="17"/>
                <c:pt idx="0">
                  <c:v>-7.4643867791599165E-17</c:v>
                </c:pt>
                <c:pt idx="1">
                  <c:v>-8.8291643741194131E-13</c:v>
                </c:pt>
                <c:pt idx="2">
                  <c:v>-1.2480500168547002E-9</c:v>
                </c:pt>
                <c:pt idx="3">
                  <c:v>-3.1077582786395914E-7</c:v>
                </c:pt>
                <c:pt idx="4">
                  <c:v>-1.8409542884615869E-5</c:v>
                </c:pt>
                <c:pt idx="5">
                  <c:v>-3.2838601198620815E-4</c:v>
                </c:pt>
                <c:pt idx="6">
                  <c:v>-2.1244323016837239E-3</c:v>
                </c:pt>
                <c:pt idx="7">
                  <c:v>-5.7574969830346164E-3</c:v>
                </c:pt>
                <c:pt idx="8">
                  <c:v>-7.2032540167636609E-3</c:v>
                </c:pt>
                <c:pt idx="9">
                  <c:v>-4.0810845440697324E-3</c:v>
                </c:pt>
                <c:pt idx="10">
                  <c:v>-7.5155342437636659E-5</c:v>
                </c:pt>
                <c:pt idx="11">
                  <c:v>1.9966955978992732E-3</c:v>
                </c:pt>
                <c:pt idx="12">
                  <c:v>2.6007701695916754E-3</c:v>
                </c:pt>
                <c:pt idx="13">
                  <c:v>2.7130406833150013E-3</c:v>
                </c:pt>
                <c:pt idx="14">
                  <c:v>2.727366308882203E-3</c:v>
                </c:pt>
                <c:pt idx="15">
                  <c:v>2.7286910338300929E-3</c:v>
                </c:pt>
                <c:pt idx="16">
                  <c:v>2.7287836986285082E-3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B4A-4B84-9F7F-B6359EC8B3F5}"/>
            </c:ext>
          </c:extLst>
        </c:ser>
        <c:ser>
          <c:idx val="4"/>
          <c:order val="4"/>
          <c:tx>
            <c:v>0.5</c:v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first_part_theta!$AQ$5:$AQ$21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first_part_theta!$AW$5:$AW$21</c:f>
              <c:numCache>
                <c:formatCode>General</c:formatCode>
                <c:ptCount val="17"/>
                <c:pt idx="0">
                  <c:v>-4.5238891558426521E-14</c:v>
                </c:pt>
                <c:pt idx="1">
                  <c:v>-8.1251517869680539E-11</c:v>
                </c:pt>
                <c:pt idx="2">
                  <c:v>-2.6678350923263346E-8</c:v>
                </c:pt>
                <c:pt idx="3">
                  <c:v>-2.183700132075416E-6</c:v>
                </c:pt>
                <c:pt idx="4">
                  <c:v>-5.6643814792192585E-5</c:v>
                </c:pt>
                <c:pt idx="5">
                  <c:v>-5.6190406818520131E-4</c:v>
                </c:pt>
                <c:pt idx="6">
                  <c:v>-2.4708524938138994E-3</c:v>
                </c:pt>
                <c:pt idx="7">
                  <c:v>-5.3927495389022194E-3</c:v>
                </c:pt>
                <c:pt idx="8">
                  <c:v>-6.2837997868473456E-3</c:v>
                </c:pt>
                <c:pt idx="9">
                  <c:v>-3.8234406984483855E-3</c:v>
                </c:pt>
                <c:pt idx="10">
                  <c:v>-4.5526418507062271E-4</c:v>
                </c:pt>
                <c:pt idx="11">
                  <c:v>1.6495573833138029E-3</c:v>
                </c:pt>
                <c:pt idx="12">
                  <c:v>2.4612613083598617E-3</c:v>
                </c:pt>
                <c:pt idx="13">
                  <c:v>2.676844997149176E-3</c:v>
                </c:pt>
                <c:pt idx="14">
                  <c:v>2.7189105193305414E-3</c:v>
                </c:pt>
                <c:pt idx="15">
                  <c:v>2.7252248745543847E-3</c:v>
                </c:pt>
                <c:pt idx="16">
                  <c:v>2.7259806891152022E-3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B4A-4B84-9F7F-B6359EC8B3F5}"/>
            </c:ext>
          </c:extLst>
        </c:ser>
        <c:ser>
          <c:idx val="5"/>
          <c:order val="5"/>
          <c:tx>
            <c:v>0.6</c:v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first_part_theta!$AQ$5:$AQ$21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first_part_theta!$AX$5:$AX$21</c:f>
              <c:numCache>
                <c:formatCode>General</c:formatCode>
                <c:ptCount val="17"/>
                <c:pt idx="0">
                  <c:v>-3.1806249692828647E-12</c:v>
                </c:pt>
                <c:pt idx="1">
                  <c:v>-1.6255423450036807E-9</c:v>
                </c:pt>
                <c:pt idx="2">
                  <c:v>-2.0162653067878417E-7</c:v>
                </c:pt>
                <c:pt idx="3">
                  <c:v>-7.8578622005984244E-6</c:v>
                </c:pt>
                <c:pt idx="4">
                  <c:v>-1.174809284479336E-4</c:v>
                </c:pt>
                <c:pt idx="5">
                  <c:v>-7.8761615625588517E-4</c:v>
                </c:pt>
                <c:pt idx="6">
                  <c:v>-2.6751701817311585E-3</c:v>
                </c:pt>
                <c:pt idx="7">
                  <c:v>-5.0485556385893027E-3</c:v>
                </c:pt>
                <c:pt idx="8">
                  <c:v>-5.6040379678348531E-3</c:v>
                </c:pt>
                <c:pt idx="9">
                  <c:v>-3.5709201318294931E-3</c:v>
                </c:pt>
                <c:pt idx="10">
                  <c:v>-6.8912122715647994E-4</c:v>
                </c:pt>
                <c:pt idx="11">
                  <c:v>1.3511916556137554E-3</c:v>
                </c:pt>
                <c:pt idx="12">
                  <c:v>2.2997275948049112E-3</c:v>
                </c:pt>
                <c:pt idx="13">
                  <c:v>2.6196952143021112E-3</c:v>
                </c:pt>
                <c:pt idx="14">
                  <c:v>2.7026694034965274E-3</c:v>
                </c:pt>
                <c:pt idx="15">
                  <c:v>2.719894362864737E-3</c:v>
                </c:pt>
                <c:pt idx="16">
                  <c:v>2.7228475690484017E-3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B4A-4B84-9F7F-B6359EC8B3F5}"/>
            </c:ext>
          </c:extLst>
        </c:ser>
        <c:ser>
          <c:idx val="6"/>
          <c:order val="6"/>
          <c:tx>
            <c:v>0.7</c:v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first_part_theta!$AQ$5:$AQ$21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first_part_theta!$AY$5:$AY$21</c:f>
              <c:numCache>
                <c:formatCode>General</c:formatCode>
                <c:ptCount val="17"/>
                <c:pt idx="0">
                  <c:v>-6.5461223070391869E-11</c:v>
                </c:pt>
                <c:pt idx="1">
                  <c:v>-1.363035569191267E-8</c:v>
                </c:pt>
                <c:pt idx="2">
                  <c:v>-8.4327681216657823E-7</c:v>
                </c:pt>
                <c:pt idx="3">
                  <c:v>-1.9337425832125605E-5</c:v>
                </c:pt>
                <c:pt idx="4">
                  <c:v>-1.9496949873399735E-4</c:v>
                </c:pt>
                <c:pt idx="5">
                  <c:v>-9.87524613457769E-4</c:v>
                </c:pt>
                <c:pt idx="6">
                  <c:v>-2.7873437568231413E-3</c:v>
                </c:pt>
                <c:pt idx="7">
                  <c:v>-4.7374180240533055E-3</c:v>
                </c:pt>
                <c:pt idx="8">
                  <c:v>-5.0749448462215482E-3</c:v>
                </c:pt>
                <c:pt idx="9">
                  <c:v>-3.3385825019047973E-3</c:v>
                </c:pt>
                <c:pt idx="10">
                  <c:v>-8.3202287651568617E-4</c:v>
                </c:pt>
                <c:pt idx="11">
                  <c:v>1.1051372984933281E-3</c:v>
                </c:pt>
                <c:pt idx="12">
                  <c:v>2.1341479781971742E-3</c:v>
                </c:pt>
                <c:pt idx="13">
                  <c:v>2.5460337423489784E-3</c:v>
                </c:pt>
                <c:pt idx="14">
                  <c:v>2.6769743834106612E-3</c:v>
                </c:pt>
                <c:pt idx="15">
                  <c:v>2.711261274899718E-3</c:v>
                </c:pt>
                <c:pt idx="16">
                  <c:v>2.7188643215371191E-3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B4A-4B84-9F7F-B6359EC8B3F5}"/>
            </c:ext>
          </c:extLst>
        </c:ser>
        <c:ser>
          <c:idx val="7"/>
          <c:order val="7"/>
          <c:tx>
            <c:v>0.8</c:v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first_part_theta!$AQ$5:$AQ$21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first_part_theta!$AZ$5:$AZ$21</c:f>
              <c:numCache>
                <c:formatCode>General</c:formatCode>
                <c:ptCount val="17"/>
                <c:pt idx="0">
                  <c:v>-6.2611602466551874E-10</c:v>
                </c:pt>
                <c:pt idx="1">
                  <c:v>-6.6471482671022123E-8</c:v>
                </c:pt>
                <c:pt idx="2">
                  <c:v>-2.4403147977753383E-6</c:v>
                </c:pt>
                <c:pt idx="3">
                  <c:v>-3.7585237622209033E-5</c:v>
                </c:pt>
                <c:pt idx="4">
                  <c:v>-2.819173768465175E-4</c:v>
                </c:pt>
                <c:pt idx="5">
                  <c:v>-1.1566305897684882E-3</c:v>
                </c:pt>
                <c:pt idx="6">
                  <c:v>-2.8399165646563525E-3</c:v>
                </c:pt>
                <c:pt idx="7">
                  <c:v>-4.459309455380432E-3</c:v>
                </c:pt>
                <c:pt idx="8">
                  <c:v>-4.6478483826995496E-3</c:v>
                </c:pt>
                <c:pt idx="9">
                  <c:v>-3.1288105870208261E-3</c:v>
                </c:pt>
                <c:pt idx="10">
                  <c:v>-9.1714868461760827E-4</c:v>
                </c:pt>
                <c:pt idx="11">
                  <c:v>9.0550511555693926E-4</c:v>
                </c:pt>
                <c:pt idx="12">
                  <c:v>1.9750371781977975E-3</c:v>
                </c:pt>
                <c:pt idx="13">
                  <c:v>2.4617513044746589E-3</c:v>
                </c:pt>
                <c:pt idx="14">
                  <c:v>2.6420506808531806E-3</c:v>
                </c:pt>
                <c:pt idx="15">
                  <c:v>2.6982577094780144E-3</c:v>
                </c:pt>
                <c:pt idx="16">
                  <c:v>2.7133783767033194E-3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B4A-4B84-9F7F-B6359EC8B3F5}"/>
            </c:ext>
          </c:extLst>
        </c:ser>
        <c:ser>
          <c:idx val="8"/>
          <c:order val="8"/>
          <c:tx>
            <c:v>0.9</c:v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first_part_theta!$AQ$5:$AQ$21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first_part_theta!$BA$5:$BA$21</c:f>
              <c:numCache>
                <c:formatCode>General</c:formatCode>
                <c:ptCount val="17"/>
                <c:pt idx="0">
                  <c:v>-3.5966096256031937E-9</c:v>
                </c:pt>
                <c:pt idx="1">
                  <c:v>-2.2608869230918151E-7</c:v>
                </c:pt>
                <c:pt idx="2">
                  <c:v>-5.5300293586365474E-6</c:v>
                </c:pt>
                <c:pt idx="3">
                  <c:v>-6.24824836601744E-5</c:v>
                </c:pt>
                <c:pt idx="4">
                  <c:v>-3.7224124756949132E-4</c:v>
                </c:pt>
                <c:pt idx="5">
                  <c:v>-1.2958888070641089E-3</c:v>
                </c:pt>
                <c:pt idx="6">
                  <c:v>-2.8536457123536324E-3</c:v>
                </c:pt>
                <c:pt idx="7">
                  <c:v>-4.21087053924382E-3</c:v>
                </c:pt>
                <c:pt idx="8">
                  <c:v>-4.2935940031354793E-3</c:v>
                </c:pt>
                <c:pt idx="9">
                  <c:v>-2.9402106200932072E-3</c:v>
                </c:pt>
                <c:pt idx="10">
                  <c:v>-9.6471219031866269E-4</c:v>
                </c:pt>
                <c:pt idx="11">
                  <c:v>7.4443291706789423E-4</c:v>
                </c:pt>
                <c:pt idx="12">
                  <c:v>1.8275552626760667E-3</c:v>
                </c:pt>
                <c:pt idx="13">
                  <c:v>2.372096069216182E-3</c:v>
                </c:pt>
                <c:pt idx="14">
                  <c:v>2.5993007460876163E-3</c:v>
                </c:pt>
                <c:pt idx="15">
                  <c:v>2.6804276991071198E-3</c:v>
                </c:pt>
                <c:pt idx="16">
                  <c:v>2.7057950439785834E-3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B4A-4B84-9F7F-B6359EC8B3F5}"/>
            </c:ext>
          </c:extLst>
        </c:ser>
        <c:ser>
          <c:idx val="9"/>
          <c:order val="9"/>
          <c:tx>
            <c:v>1</c:v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first_part_theta!$AQ$5:$AQ$21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first_part_theta!$BB$5:$BB$21</c:f>
              <c:numCache>
                <c:formatCode>General</c:formatCode>
                <c:ptCount val="17"/>
                <c:pt idx="0">
                  <c:v>-1.446882179480382E-8</c:v>
                </c:pt>
                <c:pt idx="1">
                  <c:v>-5.979812111969222E-7</c:v>
                </c:pt>
                <c:pt idx="2">
                  <c:v>-1.0567656736874637E-5</c:v>
                </c:pt>
                <c:pt idx="3">
                  <c:v>-9.3173479554957279E-5</c:v>
                </c:pt>
                <c:pt idx="4">
                  <c:v>-4.6155236515579769E-4</c:v>
                </c:pt>
                <c:pt idx="5">
                  <c:v>-1.4085269001649443E-3</c:v>
                </c:pt>
                <c:pt idx="6">
                  <c:v>-2.8418700888165524E-3</c:v>
                </c:pt>
                <c:pt idx="7">
                  <c:v>-3.9881870179831911E-3</c:v>
                </c:pt>
                <c:pt idx="8">
                  <c:v>-3.9935104829025292E-3</c:v>
                </c:pt>
                <c:pt idx="9">
                  <c:v>-2.7704127291370024E-3</c:v>
                </c:pt>
                <c:pt idx="10">
                  <c:v>-9.8735577700534275E-4</c:v>
                </c:pt>
                <c:pt idx="11">
                  <c:v>6.1458164504419666E-4</c:v>
                </c:pt>
                <c:pt idx="12">
                  <c:v>1.6936557432989537E-3</c:v>
                </c:pt>
                <c:pt idx="13">
                  <c:v>2.2810487318854328E-3</c:v>
                </c:pt>
                <c:pt idx="14">
                  <c:v>2.5505853413793364E-3</c:v>
                </c:pt>
                <c:pt idx="15">
                  <c:v>2.6578678244114249E-3</c:v>
                </c:pt>
                <c:pt idx="16">
                  <c:v>2.6957052802764523E-3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B4A-4B84-9F7F-B6359EC8B3F5}"/>
            </c:ext>
          </c:extLst>
        </c:ser>
        <c:ser>
          <c:idx val="10"/>
          <c:order val="10"/>
          <c:tx>
            <c:v>2</c:v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first_part_theta!$AQ$5:$AQ$21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first_part_theta!$BC$5:$BC$21</c:f>
              <c:numCache>
                <c:formatCode>General</c:formatCode>
                <c:ptCount val="17"/>
                <c:pt idx="0">
                  <c:v>-6.6281800168779741E-6</c:v>
                </c:pt>
                <c:pt idx="1">
                  <c:v>-4.1360687072468178E-5</c:v>
                </c:pt>
                <c:pt idx="2">
                  <c:v>-1.6861051482168664E-4</c:v>
                </c:pt>
                <c:pt idx="3">
                  <c:v>-4.8448413083600368E-4</c:v>
                </c:pt>
                <c:pt idx="4">
                  <c:v>-1.0396279607814151E-3</c:v>
                </c:pt>
                <c:pt idx="5">
                  <c:v>-1.7404214840735762E-3</c:v>
                </c:pt>
                <c:pt idx="6">
                  <c:v>-2.3460129566491069E-3</c:v>
                </c:pt>
                <c:pt idx="7">
                  <c:v>-2.5954135802699644E-3</c:v>
                </c:pt>
                <c:pt idx="8">
                  <c:v>-2.3599053499616311E-3</c:v>
                </c:pt>
                <c:pt idx="9">
                  <c:v>-1.6986370329751519E-3</c:v>
                </c:pt>
                <c:pt idx="10">
                  <c:v>-7.9807676994680726E-4</c:v>
                </c:pt>
                <c:pt idx="11">
                  <c:v>1.3453152612770866E-4</c:v>
                </c:pt>
                <c:pt idx="12">
                  <c:v>9.4958766588929986E-4</c:v>
                </c:pt>
                <c:pt idx="13">
                  <c:v>1.5789791490491566E-3</c:v>
                </c:pt>
                <c:pt idx="14">
                  <c:v>2.0199382221646398E-3</c:v>
                </c:pt>
                <c:pt idx="15">
                  <c:v>2.3052366397097001E-3</c:v>
                </c:pt>
                <c:pt idx="16">
                  <c:v>2.4779096963439586E-3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B4A-4B84-9F7F-B6359EC8B3F5}"/>
            </c:ext>
          </c:extLst>
        </c:ser>
        <c:ser>
          <c:idx val="11"/>
          <c:order val="11"/>
          <c:tx>
            <c:v>3</c:v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first_part_theta!$AQ$5:$AQ$21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first_part_theta!$BD$5:$BD$21</c:f>
              <c:numCache>
                <c:formatCode>General</c:formatCode>
                <c:ptCount val="17"/>
                <c:pt idx="0">
                  <c:v>-4.529268118048049E-5</c:v>
                </c:pt>
                <c:pt idx="1">
                  <c:v>-1.4990166929791313E-4</c:v>
                </c:pt>
                <c:pt idx="2">
                  <c:v>-3.7299446871789585E-4</c:v>
                </c:pt>
                <c:pt idx="3">
                  <c:v>-7.3331171544938284E-4</c:v>
                </c:pt>
                <c:pt idx="4">
                  <c:v>-1.1822830591346784E-3</c:v>
                </c:pt>
                <c:pt idx="5">
                  <c:v>-1.6062140751324759E-3</c:v>
                </c:pt>
                <c:pt idx="6">
                  <c:v>-1.872246879909557E-3</c:v>
                </c:pt>
                <c:pt idx="7">
                  <c:v>-1.886723005232873E-3</c:v>
                </c:pt>
                <c:pt idx="8">
                  <c:v>-1.6293655512835663E-3</c:v>
                </c:pt>
                <c:pt idx="9">
                  <c:v>-1.1498048286844897E-3</c:v>
                </c:pt>
                <c:pt idx="10">
                  <c:v>-5.3799921543561168E-4</c:v>
                </c:pt>
                <c:pt idx="11">
                  <c:v>1.1063255452831992E-4</c:v>
                </c:pt>
                <c:pt idx="12">
                  <c:v>7.2010124828512316E-4</c:v>
                </c:pt>
                <c:pt idx="13">
                  <c:v>1.2440118993482618E-3</c:v>
                </c:pt>
                <c:pt idx="14">
                  <c:v>1.6639788040755373E-3</c:v>
                </c:pt>
                <c:pt idx="15">
                  <c:v>1.9819951844858145E-3</c:v>
                </c:pt>
                <c:pt idx="16">
                  <c:v>2.2116472374974733E-3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B4A-4B84-9F7F-B6359EC8B3F5}"/>
            </c:ext>
          </c:extLst>
        </c:ser>
        <c:ser>
          <c:idx val="12"/>
          <c:order val="12"/>
          <c:tx>
            <c:v>4</c:v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first_part_theta!$AQ$5:$AQ$21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first_part_theta!$BE$5:$BE$21</c:f>
              <c:numCache>
                <c:formatCode>General</c:formatCode>
                <c:ptCount val="17"/>
                <c:pt idx="0">
                  <c:v>-1.1064235534244021E-4</c:v>
                </c:pt>
                <c:pt idx="1">
                  <c:v>-2.658943449115014E-4</c:v>
                </c:pt>
                <c:pt idx="2">
                  <c:v>-5.1508329576400438E-4</c:v>
                </c:pt>
                <c:pt idx="3">
                  <c:v>-8.341030260438743E-4</c:v>
                </c:pt>
                <c:pt idx="4">
                  <c:v>-1.1596270349251423E-3</c:v>
                </c:pt>
                <c:pt idx="5">
                  <c:v>-1.4100522837507414E-3</c:v>
                </c:pt>
                <c:pt idx="6">
                  <c:v>-1.5155961394824559E-3</c:v>
                </c:pt>
                <c:pt idx="7">
                  <c:v>-1.4408918049755347E-3</c:v>
                </c:pt>
                <c:pt idx="8">
                  <c:v>-1.1912565853016497E-3</c:v>
                </c:pt>
                <c:pt idx="9">
                  <c:v>-8.0420330910446975E-4</c:v>
                </c:pt>
                <c:pt idx="10">
                  <c:v>-3.3365523006058362E-4</c:v>
                </c:pt>
                <c:pt idx="11">
                  <c:v>1.6552241235183912E-4</c:v>
                </c:pt>
                <c:pt idx="12">
                  <c:v>6.4815624900885574E-4</c:v>
                </c:pt>
                <c:pt idx="13">
                  <c:v>1.0835024458855074E-3</c:v>
                </c:pt>
                <c:pt idx="14">
                  <c:v>1.4552661945767295E-3</c:v>
                </c:pt>
                <c:pt idx="15">
                  <c:v>1.7588726751749616E-3</c:v>
                </c:pt>
                <c:pt idx="16">
                  <c:v>1.9977679912232429E-3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B4A-4B84-9F7F-B6359EC8B3F5}"/>
            </c:ext>
          </c:extLst>
        </c:ser>
        <c:ser>
          <c:idx val="13"/>
          <c:order val="13"/>
          <c:tx>
            <c:v>5</c:v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first_part_theta!$AQ$5:$AQ$21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first_part_theta!$BF$5:$BF$21</c:f>
              <c:numCache>
                <c:formatCode>General</c:formatCode>
                <c:ptCount val="17"/>
                <c:pt idx="0">
                  <c:v>-1.8061391491424629E-4</c:v>
                </c:pt>
                <c:pt idx="1">
                  <c:v>-3.5735096472375107E-4</c:v>
                </c:pt>
                <c:pt idx="2">
                  <c:v>-5.9398191304144328E-4</c:v>
                </c:pt>
                <c:pt idx="3">
                  <c:v>-8.5319082506419338E-4</c:v>
                </c:pt>
                <c:pt idx="4">
                  <c:v>-1.080565648235759E-3</c:v>
                </c:pt>
                <c:pt idx="5">
                  <c:v>-1.2224629570766424E-3</c:v>
                </c:pt>
                <c:pt idx="6">
                  <c:v>-1.2421253395755543E-3</c:v>
                </c:pt>
                <c:pt idx="7">
                  <c:v>-1.1277119060622385E-3</c:v>
                </c:pt>
                <c:pt idx="8">
                  <c:v>-8.912725303741679E-4</c:v>
                </c:pt>
                <c:pt idx="9">
                  <c:v>-5.6158554531547254E-4</c:v>
                </c:pt>
                <c:pt idx="10">
                  <c:v>-1.749312874260272E-4</c:v>
                </c:pt>
                <c:pt idx="11">
                  <c:v>2.3299782223387103E-4</c:v>
                </c:pt>
                <c:pt idx="12">
                  <c:v>6.3245886465487517E-4</c:v>
                </c:pt>
                <c:pt idx="13">
                  <c:v>1.0021008847770089E-3</c:v>
                </c:pt>
                <c:pt idx="14">
                  <c:v>1.3291145405376417E-3</c:v>
                </c:pt>
                <c:pt idx="15">
                  <c:v>1.6079797734797462E-3</c:v>
                </c:pt>
                <c:pt idx="16">
                  <c:v>1.8386140536978475E-3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B4A-4B84-9F7F-B6359EC8B3F5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3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5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8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9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1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4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</c:bandFmts>
        <c:axId val="645797167"/>
        <c:axId val="645785935"/>
        <c:axId val="642898575"/>
      </c:surface3DChart>
      <c:catAx>
        <c:axId val="64579716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stock 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785935"/>
        <c:crosses val="autoZero"/>
        <c:auto val="1"/>
        <c:lblAlgn val="ctr"/>
        <c:lblOffset val="100"/>
        <c:noMultiLvlLbl val="0"/>
      </c:catAx>
      <c:valAx>
        <c:axId val="6457859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theta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797167"/>
        <c:crosses val="autoZero"/>
        <c:crossBetween val="midCat"/>
      </c:valAx>
      <c:serAx>
        <c:axId val="642898575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maturity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785935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Theta (Volatility = 0.2)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0"/>
      <c:rotY val="20"/>
      <c:rAngAx val="0"/>
      <c:perspective val="8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v>0.1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first_part_theta!$G$5:$G$21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first_part_theta!$I$5:$I$21</c:f>
              <c:numCache>
                <c:formatCode>General</c:formatCode>
                <c:ptCount val="17"/>
                <c:pt idx="0">
                  <c:v>-2.066511058311062E-16</c:v>
                </c:pt>
                <c:pt idx="1">
                  <c:v>-2.6011491668502462E-12</c:v>
                </c:pt>
                <c:pt idx="2">
                  <c:v>-3.8979118376658971E-9</c:v>
                </c:pt>
                <c:pt idx="3">
                  <c:v>-1.0260620160406676E-6</c:v>
                </c:pt>
                <c:pt idx="4">
                  <c:v>-6.4144516804524036E-5</c:v>
                </c:pt>
                <c:pt idx="5">
                  <c:v>-1.2074739981059505E-3</c:v>
                </c:pt>
                <c:pt idx="6">
                  <c:v>-8.2690050019053694E-3</c:v>
                </c:pt>
                <c:pt idx="7">
                  <c:v>-2.3973076818506887E-2</c:v>
                </c:pt>
                <c:pt idx="8">
                  <c:v>-3.3173367079936102E-2</c:v>
                </c:pt>
                <c:pt idx="9">
                  <c:v>-2.383223905834371E-2</c:v>
                </c:pt>
                <c:pt idx="10">
                  <c:v>-8.8078461183024644E-3</c:v>
                </c:pt>
                <c:pt idx="11">
                  <c:v>-4.1262939438538944E-4</c:v>
                </c:pt>
                <c:pt idx="12">
                  <c:v>2.1645966900830415E-3</c:v>
                </c:pt>
                <c:pt idx="13">
                  <c:v>2.6640612540707854E-3</c:v>
                </c:pt>
                <c:pt idx="14">
                  <c:v>2.7301811418871643E-3</c:v>
                </c:pt>
                <c:pt idx="15">
                  <c:v>2.7365043100401076E-3</c:v>
                </c:pt>
                <c:pt idx="16">
                  <c:v>2.7369606837157794E-3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2C-4D80-B71E-0A89A3A89131}"/>
            </c:ext>
          </c:extLst>
        </c:ser>
        <c:ser>
          <c:idx val="1"/>
          <c:order val="1"/>
          <c:tx>
            <c:v>0.2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first_part_theta!$G$5:$G$21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first_part_theta!$J$5:$J$21</c:f>
              <c:numCache>
                <c:formatCode>General</c:formatCode>
                <c:ptCount val="17"/>
                <c:pt idx="0">
                  <c:v>-1.7598718961492301E-9</c:v>
                </c:pt>
                <c:pt idx="1">
                  <c:v>-1.992357058237849E-7</c:v>
                </c:pt>
                <c:pt idx="2">
                  <c:v>-7.7747478547710122E-6</c:v>
                </c:pt>
                <c:pt idx="3">
                  <c:v>-1.2702818841167884E-4</c:v>
                </c:pt>
                <c:pt idx="4">
                  <c:v>-1.0102936364240448E-3</c:v>
                </c:pt>
                <c:pt idx="5">
                  <c:v>-4.4031768630862231E-3</c:v>
                </c:pt>
                <c:pt idx="6">
                  <c:v>-1.1553368713830581E-2</c:v>
                </c:pt>
                <c:pt idx="7">
                  <c:v>-1.9670362223235344E-2</c:v>
                </c:pt>
                <c:pt idx="8">
                  <c:v>-2.3042391243406655E-2</c:v>
                </c:pt>
                <c:pt idx="9">
                  <c:v>-1.9359217431514291E-2</c:v>
                </c:pt>
                <c:pt idx="10">
                  <c:v>-1.1826295500555216E-2</c:v>
                </c:pt>
                <c:pt idx="11">
                  <c:v>-4.8835701044258901E-3</c:v>
                </c:pt>
                <c:pt idx="12">
                  <c:v>-5.2188182581148666E-4</c:v>
                </c:pt>
                <c:pt idx="13">
                  <c:v>1.5682826585624932E-3</c:v>
                </c:pt>
                <c:pt idx="14">
                  <c:v>2.3767974083581645E-3</c:v>
                </c:pt>
                <c:pt idx="15">
                  <c:v>2.6386496439523587E-3</c:v>
                </c:pt>
                <c:pt idx="16">
                  <c:v>2.7115789648666211E-3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2C-4D80-B71E-0A89A3A89131}"/>
            </c:ext>
          </c:extLst>
        </c:ser>
        <c:ser>
          <c:idx val="2"/>
          <c:order val="2"/>
          <c:tx>
            <c:v>0.3</c:v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first_part_theta!$G$5:$G$21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first_part_theta!$K$5:$K$21</c:f>
              <c:numCache>
                <c:formatCode>General</c:formatCode>
                <c:ptCount val="17"/>
                <c:pt idx="0">
                  <c:v>-3.2833462792724949E-7</c:v>
                </c:pt>
                <c:pt idx="1">
                  <c:v>-7.727319958925261E-6</c:v>
                </c:pt>
                <c:pt idx="2">
                  <c:v>-8.9338638490647768E-5</c:v>
                </c:pt>
                <c:pt idx="3">
                  <c:v>-5.7762166326724533E-4</c:v>
                </c:pt>
                <c:pt idx="4">
                  <c:v>-2.3090252123569698E-3</c:v>
                </c:pt>
                <c:pt idx="5">
                  <c:v>-6.1746338212488499E-3</c:v>
                </c:pt>
                <c:pt idx="6">
                  <c:v>-1.1757067530058729E-2</c:v>
                </c:pt>
                <c:pt idx="7">
                  <c:v>-1.6748941905528867E-2</c:v>
                </c:pt>
                <c:pt idx="8">
                  <c:v>-1.8552066981106369E-2</c:v>
                </c:pt>
                <c:pt idx="9">
                  <c:v>-1.6422717431738766E-2</c:v>
                </c:pt>
                <c:pt idx="10">
                  <c:v>-1.176345996590113E-2</c:v>
                </c:pt>
                <c:pt idx="11">
                  <c:v>-6.6841737755640252E-3</c:v>
                </c:pt>
                <c:pt idx="12">
                  <c:v>-2.6176478416384081E-3</c:v>
                </c:pt>
                <c:pt idx="13">
                  <c:v>2.9693155843233946E-5</c:v>
                </c:pt>
                <c:pt idx="14">
                  <c:v>1.5007420548488425E-3</c:v>
                </c:pt>
                <c:pt idx="15">
                  <c:v>2.2195451185361131E-3</c:v>
                </c:pt>
                <c:pt idx="16">
                  <c:v>2.5349331761483945E-3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2C-4D80-B71E-0A89A3A89131}"/>
            </c:ext>
          </c:extLst>
        </c:ser>
        <c:ser>
          <c:idx val="3"/>
          <c:order val="3"/>
          <c:tx>
            <c:v>0.4</c:v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first_part_theta!$G$5:$G$21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first_part_theta!$L$5:$L$21</c:f>
              <c:numCache>
                <c:formatCode>General</c:formatCode>
                <c:ptCount val="17"/>
                <c:pt idx="0">
                  <c:v>-4.2883062760824116E-6</c:v>
                </c:pt>
                <c:pt idx="1">
                  <c:v>-4.6004848790606487E-5</c:v>
                </c:pt>
                <c:pt idx="2">
                  <c:v>-2.8942377704799352E-4</c:v>
                </c:pt>
                <c:pt idx="3">
                  <c:v>-1.1767585433733996E-3</c:v>
                </c:pt>
                <c:pt idx="4">
                  <c:v>-3.3336754836960285E-3</c:v>
                </c:pt>
                <c:pt idx="5">
                  <c:v>-6.9799242799310438E-3</c:v>
                </c:pt>
                <c:pt idx="6">
                  <c:v>-1.1316636772144338E-2</c:v>
                </c:pt>
                <c:pt idx="7">
                  <c:v>-1.4741066296187516E-2</c:v>
                </c:pt>
                <c:pt idx="8">
                  <c:v>-1.587416177384374E-2</c:v>
                </c:pt>
                <c:pt idx="9">
                  <c:v>-1.442479277122736E-2</c:v>
                </c:pt>
                <c:pt idx="10">
                  <c:v>-1.1177621625340653E-2</c:v>
                </c:pt>
                <c:pt idx="11">
                  <c:v>-7.3337479060625521E-3</c:v>
                </c:pt>
                <c:pt idx="12">
                  <c:v>-3.8598170564632587E-3</c:v>
                </c:pt>
                <c:pt idx="13">
                  <c:v>-1.2225265960764896E-3</c:v>
                </c:pt>
                <c:pt idx="14">
                  <c:v>5.3519491505958259E-4</c:v>
                </c:pt>
                <c:pt idx="15">
                  <c:v>1.5910380363446787E-3</c:v>
                </c:pt>
                <c:pt idx="16">
                  <c:v>2.1730034134580679E-3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2C-4D80-B71E-0A89A3A89131}"/>
            </c:ext>
          </c:extLst>
        </c:ser>
        <c:ser>
          <c:idx val="4"/>
          <c:order val="4"/>
          <c:tx>
            <c:v>0.5</c:v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first_part_theta!$G$5:$G$21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first_part_theta!$M$5:$M$21</c:f>
              <c:numCache>
                <c:formatCode>General</c:formatCode>
                <c:ptCount val="17"/>
                <c:pt idx="0">
                  <c:v>-1.9503422452077548E-5</c:v>
                </c:pt>
                <c:pt idx="1">
                  <c:v>-1.3056721507329281E-4</c:v>
                </c:pt>
                <c:pt idx="2">
                  <c:v>-5.7004360990008519E-4</c:v>
                </c:pt>
                <c:pt idx="3">
                  <c:v>-1.7542451912652512E-3</c:v>
                </c:pt>
                <c:pt idx="4">
                  <c:v>-4.0409682260484922E-3</c:v>
                </c:pt>
                <c:pt idx="5">
                  <c:v>-7.3036690888582867E-3</c:v>
                </c:pt>
                <c:pt idx="6">
                  <c:v>-1.0749742896240512E-2</c:v>
                </c:pt>
                <c:pt idx="7">
                  <c:v>-1.3267407263215751E-2</c:v>
                </c:pt>
                <c:pt idx="8">
                  <c:v>-1.4045957506476475E-2</c:v>
                </c:pt>
                <c:pt idx="9">
                  <c:v>-1.2965757469614536E-2</c:v>
                </c:pt>
                <c:pt idx="10">
                  <c:v>-1.053014103169682E-2</c:v>
                </c:pt>
                <c:pt idx="11">
                  <c:v>-7.5057152115247895E-3</c:v>
                </c:pt>
                <c:pt idx="12">
                  <c:v>-4.5676986266598345E-3</c:v>
                </c:pt>
                <c:pt idx="13">
                  <c:v>-2.122060386055215E-3</c:v>
                </c:pt>
                <c:pt idx="14">
                  <c:v>-3.0404707023068048E-4</c:v>
                </c:pt>
                <c:pt idx="15">
                  <c:v>9.3221853123520303E-4</c:v>
                </c:pt>
                <c:pt idx="16">
                  <c:v>1.7137215450104808E-3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2C-4D80-B71E-0A89A3A89131}"/>
            </c:ext>
          </c:extLst>
        </c:ser>
        <c:ser>
          <c:idx val="5"/>
          <c:order val="5"/>
          <c:tx>
            <c:v>0.6</c:v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first_part_theta!$G$5:$G$21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first_part_theta!$N$5:$N$21</c:f>
              <c:numCache>
                <c:formatCode>General</c:formatCode>
                <c:ptCount val="17"/>
                <c:pt idx="0">
                  <c:v>-5.2569629760454496E-5</c:v>
                </c:pt>
                <c:pt idx="1">
                  <c:v>-2.5696218406901921E-4</c:v>
                </c:pt>
                <c:pt idx="2">
                  <c:v>-8.7923652476108087E-4</c:v>
                </c:pt>
                <c:pt idx="3">
                  <c:v>-2.2468154256376528E-3</c:v>
                </c:pt>
                <c:pt idx="4">
                  <c:v>-4.5080595360641523E-3</c:v>
                </c:pt>
                <c:pt idx="5">
                  <c:v>-7.3855437895218061E-3</c:v>
                </c:pt>
                <c:pt idx="6">
                  <c:v>-1.0189552813741513E-2</c:v>
                </c:pt>
                <c:pt idx="7">
                  <c:v>-1.2130098574116573E-2</c:v>
                </c:pt>
                <c:pt idx="8">
                  <c:v>-1.2695947402017051E-2</c:v>
                </c:pt>
                <c:pt idx="9">
                  <c:v>-1.1843119778962963E-2</c:v>
                </c:pt>
                <c:pt idx="10">
                  <c:v>-9.9236947822970295E-3</c:v>
                </c:pt>
                <c:pt idx="11">
                  <c:v>-7.4664818850384666E-3</c:v>
                </c:pt>
                <c:pt idx="12">
                  <c:v>-4.9631220083336241E-3</c:v>
                </c:pt>
                <c:pt idx="13">
                  <c:v>-2.7478593365228557E-3</c:v>
                </c:pt>
                <c:pt idx="14">
                  <c:v>-9.769482367823169E-4</c:v>
                </c:pt>
                <c:pt idx="15">
                  <c:v>3.3106475916117235E-4</c:v>
                </c:pt>
                <c:pt idx="16">
                  <c:v>1.2370468397636819E-3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2C-4D80-B71E-0A89A3A89131}"/>
            </c:ext>
          </c:extLst>
        </c:ser>
        <c:ser>
          <c:idx val="6"/>
          <c:order val="6"/>
          <c:tx>
            <c:v>0.7</c:v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first_part_theta!$G$5:$G$21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first_part_theta!$O$5:$O$21</c:f>
              <c:numCache>
                <c:formatCode>General</c:formatCode>
                <c:ptCount val="17"/>
                <c:pt idx="0">
                  <c:v>-1.0533980269340913E-4</c:v>
                </c:pt>
                <c:pt idx="1">
                  <c:v>-4.1125985083875457E-4</c:v>
                </c:pt>
                <c:pt idx="2">
                  <c:v>-1.1822330573380358E-3</c:v>
                </c:pt>
                <c:pt idx="3">
                  <c:v>-2.6451566768972488E-3</c:v>
                </c:pt>
                <c:pt idx="4">
                  <c:v>-4.8081378728503472E-3</c:v>
                </c:pt>
                <c:pt idx="5">
                  <c:v>-7.3423791568755772E-3</c:v>
                </c:pt>
                <c:pt idx="6">
                  <c:v>-9.6714990209200435E-3</c:v>
                </c:pt>
                <c:pt idx="7">
                  <c:v>-1.1219144924587754E-2</c:v>
                </c:pt>
                <c:pt idx="8">
                  <c:v>-1.1646370073008503E-2</c:v>
                </c:pt>
                <c:pt idx="9">
                  <c:v>-1.0945730975247274E-2</c:v>
                </c:pt>
                <c:pt idx="10">
                  <c:v>-9.3785878765410644E-3</c:v>
                </c:pt>
                <c:pt idx="11">
                  <c:v>-7.3306692098870927E-3</c:v>
                </c:pt>
                <c:pt idx="12">
                  <c:v>-5.1732390212707521E-3</c:v>
                </c:pt>
                <c:pt idx="13">
                  <c:v>-3.1793439931051791E-3</c:v>
                </c:pt>
                <c:pt idx="14">
                  <c:v>-1.5006867432075552E-3</c:v>
                </c:pt>
                <c:pt idx="15">
                  <c:v>-1.8549651813691944E-4</c:v>
                </c:pt>
                <c:pt idx="16">
                  <c:v>7.8686762400335486E-4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2C-4D80-B71E-0A89A3A89131}"/>
            </c:ext>
          </c:extLst>
        </c:ser>
        <c:ser>
          <c:idx val="7"/>
          <c:order val="7"/>
          <c:tx>
            <c:v>0.8</c:v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first_part_theta!$G$5:$G$21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first_part_theta!$P$5:$P$21</c:f>
              <c:numCache>
                <c:formatCode>General</c:formatCode>
                <c:ptCount val="17"/>
                <c:pt idx="0">
                  <c:v>-1.7564415615483212E-4</c:v>
                </c:pt>
                <c:pt idx="1">
                  <c:v>-5.7931073146288991E-4</c:v>
                </c:pt>
                <c:pt idx="2">
                  <c:v>-1.4612340877304712E-3</c:v>
                </c:pt>
                <c:pt idx="3">
                  <c:v>-2.9589597935479389E-3</c:v>
                </c:pt>
                <c:pt idx="4">
                  <c:v>-4.993975246143912E-3</c:v>
                </c:pt>
                <c:pt idx="5">
                  <c:v>-7.2337144773406128E-3</c:v>
                </c:pt>
                <c:pt idx="6">
                  <c:v>-9.2021694308894869E-3</c:v>
                </c:pt>
                <c:pt idx="7">
                  <c:v>-1.0468662101675042E-2</c:v>
                </c:pt>
                <c:pt idx="8">
                  <c:v>-1.0800068013464793E-2</c:v>
                </c:pt>
                <c:pt idx="9">
                  <c:v>-1.0207496548281189E-2</c:v>
                </c:pt>
                <c:pt idx="10">
                  <c:v>-8.8935200133453147E-3</c:v>
                </c:pt>
                <c:pt idx="11">
                  <c:v>-7.1515529434247301E-3</c:v>
                </c:pt>
                <c:pt idx="12">
                  <c:v>-5.2706182533947942E-3</c:v>
                </c:pt>
                <c:pt idx="13">
                  <c:v>-3.4751347449318375E-3</c:v>
                </c:pt>
                <c:pt idx="14">
                  <c:v>-1.9038842568086447E-3</c:v>
                </c:pt>
                <c:pt idx="15">
                  <c:v>-6.1728826891839148E-4</c:v>
                </c:pt>
                <c:pt idx="16">
                  <c:v>3.815793477417165E-4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2C-4D80-B71E-0A89A3A89131}"/>
            </c:ext>
          </c:extLst>
        </c:ser>
        <c:ser>
          <c:idx val="8"/>
          <c:order val="8"/>
          <c:tx>
            <c:v>0.9</c:v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first_part_theta!$G$5:$G$21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first_part_theta!$Q$5:$Q$21</c:f>
              <c:numCache>
                <c:formatCode>General</c:formatCode>
                <c:ptCount val="17"/>
                <c:pt idx="0">
                  <c:v>-2.593616127553257E-4</c:v>
                </c:pt>
                <c:pt idx="1">
                  <c:v>-7.5021010955624045E-4</c:v>
                </c:pt>
                <c:pt idx="2">
                  <c:v>-1.7092130869861147E-3</c:v>
                </c:pt>
                <c:pt idx="3">
                  <c:v>-3.2024292805467544E-3</c:v>
                </c:pt>
                <c:pt idx="4">
                  <c:v>-5.1014298208669597E-3</c:v>
                </c:pt>
                <c:pt idx="5">
                  <c:v>-7.0912918380343108E-3</c:v>
                </c:pt>
                <c:pt idx="6">
                  <c:v>-8.779218572911425E-3</c:v>
                </c:pt>
                <c:pt idx="7">
                  <c:v>-9.8366644562263069E-3</c:v>
                </c:pt>
                <c:pt idx="8">
                  <c:v>-1.0098861809140571E-2</c:v>
                </c:pt>
                <c:pt idx="9">
                  <c:v>-9.5864956749972287E-3</c:v>
                </c:pt>
                <c:pt idx="10">
                  <c:v>-8.4617846191900516E-3</c:v>
                </c:pt>
                <c:pt idx="11">
                  <c:v>-6.9553139399162215E-3</c:v>
                </c:pt>
                <c:pt idx="12">
                  <c:v>-5.2978374623867041E-3</c:v>
                </c:pt>
                <c:pt idx="13">
                  <c:v>-3.6757308523852018E-3</c:v>
                </c:pt>
                <c:pt idx="14">
                  <c:v>-2.2130355837407262E-3</c:v>
                </c:pt>
                <c:pt idx="15">
                  <c:v>-9.7360555662338584E-4</c:v>
                </c:pt>
                <c:pt idx="16">
                  <c:v>2.5865008416631274E-5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2C-4D80-B71E-0A89A3A89131}"/>
            </c:ext>
          </c:extLst>
        </c:ser>
        <c:ser>
          <c:idx val="9"/>
          <c:order val="9"/>
          <c:tx>
            <c:v>1</c:v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first_part_theta!$G$5:$G$21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first_part_theta!$R$5:$R$21</c:f>
              <c:numCache>
                <c:formatCode>General</c:formatCode>
                <c:ptCount val="17"/>
                <c:pt idx="0">
                  <c:v>-3.5200490120518426E-4</c:v>
                </c:pt>
                <c:pt idx="1">
                  <c:v>-9.1663987957427942E-4</c:v>
                </c:pt>
                <c:pt idx="2">
                  <c:v>-1.9249873127726127E-3</c:v>
                </c:pt>
                <c:pt idx="3">
                  <c:v>-3.3891681040526191E-3</c:v>
                </c:pt>
                <c:pt idx="4">
                  <c:v>-5.1546582327013793E-3</c:v>
                </c:pt>
                <c:pt idx="5">
                  <c:v>-6.9326537461691495E-3</c:v>
                </c:pt>
                <c:pt idx="6">
                  <c:v>-8.3978049743894424E-3</c:v>
                </c:pt>
                <c:pt idx="7">
                  <c:v>-9.2950280449470776E-3</c:v>
                </c:pt>
                <c:pt idx="8">
                  <c:v>-9.5055035715335429E-3</c:v>
                </c:pt>
                <c:pt idx="9">
                  <c:v>-9.0547417301934611E-3</c:v>
                </c:pt>
                <c:pt idx="10">
                  <c:v>-8.0760015707448361E-3</c:v>
                </c:pt>
                <c:pt idx="11">
                  <c:v>-6.7552639740820269E-3</c:v>
                </c:pt>
                <c:pt idx="12">
                  <c:v>-5.2806878842294354E-3</c:v>
                </c:pt>
                <c:pt idx="13">
                  <c:v>-3.8088170694130538E-3</c:v>
                </c:pt>
                <c:pt idx="14">
                  <c:v>-2.4495749530291369E-3</c:v>
                </c:pt>
                <c:pt idx="15">
                  <c:v>-1.2659209803035885E-3</c:v>
                </c:pt>
                <c:pt idx="16">
                  <c:v>-2.8206320125005128E-4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B2C-4D80-B71E-0A89A3A89131}"/>
            </c:ext>
          </c:extLst>
        </c:ser>
        <c:ser>
          <c:idx val="10"/>
          <c:order val="10"/>
          <c:tx>
            <c:v>2</c:v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first_part_theta!$G$5:$G$21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first_part_theta!$S$5:$S$21</c:f>
              <c:numCache>
                <c:formatCode>General</c:formatCode>
                <c:ptCount val="17"/>
                <c:pt idx="0">
                  <c:v>-1.2206037061217737E-3</c:v>
                </c:pt>
                <c:pt idx="1">
                  <c:v>-1.9783641324264407E-3</c:v>
                </c:pt>
                <c:pt idx="2">
                  <c:v>-2.875362386989756E-3</c:v>
                </c:pt>
                <c:pt idx="3">
                  <c:v>-3.8208188097401956E-3</c:v>
                </c:pt>
                <c:pt idx="4">
                  <c:v>-4.7117256766220882E-3</c:v>
                </c:pt>
                <c:pt idx="5">
                  <c:v>-5.4551497903741735E-3</c:v>
                </c:pt>
                <c:pt idx="6">
                  <c:v>-5.983887745624126E-3</c:v>
                </c:pt>
                <c:pt idx="7">
                  <c:v>-6.2631892850285977E-3</c:v>
                </c:pt>
                <c:pt idx="8">
                  <c:v>-6.289626983281749E-3</c:v>
                </c:pt>
                <c:pt idx="9">
                  <c:v>-6.0848427760353931E-3</c:v>
                </c:pt>
                <c:pt idx="10">
                  <c:v>-5.6870921513339726E-3</c:v>
                </c:pt>
                <c:pt idx="11">
                  <c:v>-5.1428626193629531E-3</c:v>
                </c:pt>
                <c:pt idx="12">
                  <c:v>-4.4999367223590775E-3</c:v>
                </c:pt>
                <c:pt idx="13">
                  <c:v>-3.8024576471553401E-3</c:v>
                </c:pt>
                <c:pt idx="14">
                  <c:v>-3.087985562656811E-3</c:v>
                </c:pt>
                <c:pt idx="15">
                  <c:v>-2.3862159175865325E-3</c:v>
                </c:pt>
                <c:pt idx="16">
                  <c:v>-1.7189122994861077E-3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2C-4D80-B71E-0A89A3A89131}"/>
            </c:ext>
          </c:extLst>
        </c:ser>
        <c:ser>
          <c:idx val="11"/>
          <c:order val="11"/>
          <c:tx>
            <c:v>3</c:v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first_part_theta!$G$5:$G$21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first_part_theta!$T$5:$T$21</c:f>
              <c:numCache>
                <c:formatCode>General</c:formatCode>
                <c:ptCount val="17"/>
                <c:pt idx="0">
                  <c:v>-1.6527866271508298E-3</c:v>
                </c:pt>
                <c:pt idx="1">
                  <c:v>-2.2843589815852989E-3</c:v>
                </c:pt>
                <c:pt idx="2">
                  <c:v>-2.9330977420835842E-3</c:v>
                </c:pt>
                <c:pt idx="3">
                  <c:v>-3.5442546510326229E-3</c:v>
                </c:pt>
                <c:pt idx="4">
                  <c:v>-4.0708093538036096E-3</c:v>
                </c:pt>
                <c:pt idx="5">
                  <c:v>-4.4786957567108446E-3</c:v>
                </c:pt>
                <c:pt idx="6">
                  <c:v>-4.7485545098222793E-3</c:v>
                </c:pt>
                <c:pt idx="7">
                  <c:v>-4.8748413882088101E-3</c:v>
                </c:pt>
                <c:pt idx="8">
                  <c:v>-4.8633397413118526E-3</c:v>
                </c:pt>
                <c:pt idx="9">
                  <c:v>-4.7280089168652718E-3</c:v>
                </c:pt>
                <c:pt idx="10">
                  <c:v>-4.4878437083380341E-3</c:v>
                </c:pt>
                <c:pt idx="11">
                  <c:v>-4.1641491481081904E-3</c:v>
                </c:pt>
                <c:pt idx="12">
                  <c:v>-3.7784131911190373E-3</c:v>
                </c:pt>
                <c:pt idx="13">
                  <c:v>-3.3508059294883779E-3</c:v>
                </c:pt>
                <c:pt idx="14">
                  <c:v>-2.8992429676763611E-3</c:v>
                </c:pt>
                <c:pt idx="15">
                  <c:v>-2.4389078675605622E-3</c:v>
                </c:pt>
                <c:pt idx="16">
                  <c:v>-1.9821181894974639E-3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B2C-4D80-B71E-0A89A3A89131}"/>
            </c:ext>
          </c:extLst>
        </c:ser>
        <c:ser>
          <c:idx val="12"/>
          <c:order val="12"/>
          <c:tx>
            <c:v>4</c:v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first_part_theta!$G$5:$G$21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first_part_theta!$U$5:$U$21</c:f>
              <c:numCache>
                <c:formatCode>General</c:formatCode>
                <c:ptCount val="17"/>
                <c:pt idx="0">
                  <c:v>-1.812646125901823E-3</c:v>
                </c:pt>
                <c:pt idx="1">
                  <c:v>-2.3118992079080511E-3</c:v>
                </c:pt>
                <c:pt idx="2">
                  <c:v>-2.7882252689433377E-3</c:v>
                </c:pt>
                <c:pt idx="3">
                  <c:v>-3.2108157123672933E-3</c:v>
                </c:pt>
                <c:pt idx="4">
                  <c:v>-3.5569468968994914E-3</c:v>
                </c:pt>
                <c:pt idx="5">
                  <c:v>-3.8127123467771411E-3</c:v>
                </c:pt>
                <c:pt idx="6">
                  <c:v>-3.9724085662468768E-3</c:v>
                </c:pt>
                <c:pt idx="7">
                  <c:v>-4.0371503458012745E-3</c:v>
                </c:pt>
                <c:pt idx="8">
                  <c:v>-4.0131795155246728E-3</c:v>
                </c:pt>
                <c:pt idx="9">
                  <c:v>-3.9101855963548249E-3</c:v>
                </c:pt>
                <c:pt idx="10">
                  <c:v>-3.7398244265461323E-3</c:v>
                </c:pt>
                <c:pt idx="11">
                  <c:v>-3.5145196807035515E-3</c:v>
                </c:pt>
                <c:pt idx="12">
                  <c:v>-3.2465642122977674E-3</c:v>
                </c:pt>
                <c:pt idx="13">
                  <c:v>-2.9474980183346192E-3</c:v>
                </c:pt>
                <c:pt idx="14">
                  <c:v>-2.6277199398311449E-3</c:v>
                </c:pt>
                <c:pt idx="15">
                  <c:v>-2.2962840402778527E-3</c:v>
                </c:pt>
                <c:pt idx="16">
                  <c:v>-1.9608334561523741E-3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2C-4D80-B71E-0A89A3A89131}"/>
            </c:ext>
          </c:extLst>
        </c:ser>
        <c:ser>
          <c:idx val="13"/>
          <c:order val="13"/>
          <c:tx>
            <c:v>5</c:v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first_part_theta!$G$5:$G$21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first_part_theta!$V$5:$V$21</c:f>
              <c:numCache>
                <c:formatCode>General</c:formatCode>
                <c:ptCount val="17"/>
                <c:pt idx="0">
                  <c:v>-1.8445851187638676E-3</c:v>
                </c:pt>
                <c:pt idx="1">
                  <c:v>-2.2409256221649185E-3</c:v>
                </c:pt>
                <c:pt idx="2">
                  <c:v>-2.6018373118986485E-3</c:v>
                </c:pt>
                <c:pt idx="3">
                  <c:v>-2.9096894086217528E-3</c:v>
                </c:pt>
                <c:pt idx="4">
                  <c:v>-3.153042895286404E-3</c:v>
                </c:pt>
                <c:pt idx="5">
                  <c:v>-3.3262123392879157E-3</c:v>
                </c:pt>
                <c:pt idx="6">
                  <c:v>-3.4283435195212541E-3</c:v>
                </c:pt>
                <c:pt idx="7">
                  <c:v>-3.462305773002881E-3</c:v>
                </c:pt>
                <c:pt idx="8">
                  <c:v>-3.4335954354907773E-3</c:v>
                </c:pt>
                <c:pt idx="9">
                  <c:v>-3.3493617689093732E-3</c:v>
                </c:pt>
                <c:pt idx="10">
                  <c:v>-3.2176053423114254E-3</c:v>
                </c:pt>
                <c:pt idx="11">
                  <c:v>-3.0465589951343955E-3</c:v>
                </c:pt>
                <c:pt idx="12">
                  <c:v>-2.844238479630232E-3</c:v>
                </c:pt>
                <c:pt idx="13">
                  <c:v>-2.6181386315105035E-3</c:v>
                </c:pt>
                <c:pt idx="14">
                  <c:v>-2.3750472436481645E-3</c:v>
                </c:pt>
                <c:pt idx="15">
                  <c:v>-2.1209495807714023E-3</c:v>
                </c:pt>
                <c:pt idx="16">
                  <c:v>-1.8609995221091523E-3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B2C-4D80-B71E-0A89A3A89131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3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5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8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9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1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4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</c:bandFmts>
        <c:axId val="2131537280"/>
        <c:axId val="2131533536"/>
        <c:axId val="2134581088"/>
      </c:surface3DChart>
      <c:catAx>
        <c:axId val="21315372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Stock 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1533536"/>
        <c:crosses val="autoZero"/>
        <c:auto val="1"/>
        <c:lblAlgn val="ctr"/>
        <c:lblOffset val="100"/>
        <c:noMultiLvlLbl val="0"/>
      </c:catAx>
      <c:valAx>
        <c:axId val="2131533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theta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1537280"/>
        <c:crosses val="autoZero"/>
        <c:crossBetween val="midCat"/>
      </c:valAx>
      <c:serAx>
        <c:axId val="2134581088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maturity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1533536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Theta (Volatility = 0.3)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0"/>
      <c:rotY val="20"/>
      <c:rAngAx val="0"/>
      <c:perspective val="8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v>0.1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first_part_theta!$Y$5:$Y$21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first_part_theta!$AA$5:$AA$21</c:f>
              <c:numCache>
                <c:formatCode>General</c:formatCode>
                <c:ptCount val="17"/>
                <c:pt idx="0">
                  <c:v>-2.1388202444377854E-8</c:v>
                </c:pt>
                <c:pt idx="1">
                  <c:v>-1.4516877969213794E-6</c:v>
                </c:pt>
                <c:pt idx="2">
                  <c:v>-3.8197714763641422E-5</c:v>
                </c:pt>
                <c:pt idx="3">
                  <c:v>-4.6327047911347183E-4</c:v>
                </c:pt>
                <c:pt idx="4">
                  <c:v>-2.9616540909428806E-3</c:v>
                </c:pt>
                <c:pt idx="5">
                  <c:v>-1.109159249420536E-2</c:v>
                </c:pt>
                <c:pt idx="6">
                  <c:v>-2.6469476874618411E-2</c:v>
                </c:pt>
                <c:pt idx="7">
                  <c:v>-4.3065307711909202E-2</c:v>
                </c:pt>
                <c:pt idx="8">
                  <c:v>-5.0429914019782029E-2</c:v>
                </c:pt>
                <c:pt idx="9">
                  <c:v>-4.434447712002039E-2</c:v>
                </c:pt>
                <c:pt idx="10">
                  <c:v>-3.0145517541572544E-2</c:v>
                </c:pt>
                <c:pt idx="11">
                  <c:v>-1.5932084049782788E-2</c:v>
                </c:pt>
                <c:pt idx="12">
                  <c:v>-6.1092408940331905E-3</c:v>
                </c:pt>
                <c:pt idx="13">
                  <c:v>-8.4167040319571443E-4</c:v>
                </c:pt>
                <c:pt idx="14">
                  <c:v>1.476657402491671E-3</c:v>
                </c:pt>
                <c:pt idx="15">
                  <c:v>2.3440162297894453E-3</c:v>
                </c:pt>
                <c:pt idx="16">
                  <c:v>2.626915654403135E-3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5D-4891-8604-D5791F1E46B5}"/>
            </c:ext>
          </c:extLst>
        </c:ser>
        <c:ser>
          <c:idx val="1"/>
          <c:order val="1"/>
          <c:tx>
            <c:v>0.2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first_part_theta!$Y$5:$Y$21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first_part_theta!$AB$5:$AB$21</c:f>
              <c:numCache>
                <c:formatCode>General</c:formatCode>
                <c:ptCount val="17"/>
                <c:pt idx="0">
                  <c:v>-2.1151355938947981E-5</c:v>
                </c:pt>
                <c:pt idx="1">
                  <c:v>-1.7683900083278055E-4</c:v>
                </c:pt>
                <c:pt idx="2">
                  <c:v>-9.1931964979989167E-4</c:v>
                </c:pt>
                <c:pt idx="3">
                  <c:v>-3.2406257685672554E-3</c:v>
                </c:pt>
                <c:pt idx="4">
                  <c:v>-8.2835442380334197E-3</c:v>
                </c:pt>
                <c:pt idx="5">
                  <c:v>-1.6186294067625669E-2</c:v>
                </c:pt>
                <c:pt idx="6">
                  <c:v>-2.5214471041951188E-2</c:v>
                </c:pt>
                <c:pt idx="7">
                  <c:v>-3.2383641385315652E-2</c:v>
                </c:pt>
                <c:pt idx="8">
                  <c:v>-3.5226833826804554E-2</c:v>
                </c:pt>
                <c:pt idx="9">
                  <c:v>-3.3152833020150423E-2</c:v>
                </c:pt>
                <c:pt idx="10">
                  <c:v>-2.7424254240045728E-2</c:v>
                </c:pt>
                <c:pt idx="11">
                  <c:v>-2.0129448753042394E-2</c:v>
                </c:pt>
                <c:pt idx="12">
                  <c:v>-1.310534968979812E-2</c:v>
                </c:pt>
                <c:pt idx="13">
                  <c:v>-7.4060691455719316E-3</c:v>
                </c:pt>
                <c:pt idx="14">
                  <c:v>-3.3227893551345923E-3</c:v>
                </c:pt>
                <c:pt idx="15">
                  <c:v>-6.6981552281736138E-4</c:v>
                </c:pt>
                <c:pt idx="16">
                  <c:v>9.2119478713835489E-4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45D-4891-8604-D5791F1E46B5}"/>
            </c:ext>
          </c:extLst>
        </c:ser>
        <c:ser>
          <c:idx val="2"/>
          <c:order val="2"/>
          <c:tx>
            <c:v>0.3</c:v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first_part_theta!$Y$5:$Y$21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first_part_theta!$AC$5:$AC$21</c:f>
              <c:numCache>
                <c:formatCode>General</c:formatCode>
                <c:ptCount val="17"/>
                <c:pt idx="0">
                  <c:v>-1.9249725723178876E-4</c:v>
                </c:pt>
                <c:pt idx="1">
                  <c:v>-8.0056016104071382E-4</c:v>
                </c:pt>
                <c:pt idx="2">
                  <c:v>-2.423218452639615E-3</c:v>
                </c:pt>
                <c:pt idx="3">
                  <c:v>-5.6562876041215708E-3</c:v>
                </c:pt>
                <c:pt idx="4">
                  <c:v>-1.064776362079203E-2</c:v>
                </c:pt>
                <c:pt idx="5">
                  <c:v>-1.6743776366969138E-2</c:v>
                </c:pt>
                <c:pt idx="6">
                  <c:v>-2.2618182507819665E-2</c:v>
                </c:pt>
                <c:pt idx="7">
                  <c:v>-2.6840385672500421E-2</c:v>
                </c:pt>
                <c:pt idx="8">
                  <c:v>-2.8486129247863486E-2</c:v>
                </c:pt>
                <c:pt idx="9">
                  <c:v>-2.7426394828022834E-2</c:v>
                </c:pt>
                <c:pt idx="10">
                  <c:v>-2.4217245091292444E-2</c:v>
                </c:pt>
                <c:pt idx="11">
                  <c:v>-1.9758870791303805E-2</c:v>
                </c:pt>
                <c:pt idx="12">
                  <c:v>-1.4947005925677725E-2</c:v>
                </c:pt>
                <c:pt idx="13">
                  <c:v>-1.0453368483121001E-2</c:v>
                </c:pt>
                <c:pt idx="14">
                  <c:v>-6.6582397102136889E-3</c:v>
                </c:pt>
                <c:pt idx="15">
                  <c:v>-3.6891415492476595E-3</c:v>
                </c:pt>
                <c:pt idx="16">
                  <c:v>-1.5043065473870991E-3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45D-4891-8604-D5791F1E46B5}"/>
            </c:ext>
          </c:extLst>
        </c:ser>
        <c:ser>
          <c:idx val="3"/>
          <c:order val="3"/>
          <c:tx>
            <c:v>0.4</c:v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first_part_theta!$Y$5:$Y$21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first_part_theta!$AD$5:$AD$21</c:f>
              <c:numCache>
                <c:formatCode>General</c:formatCode>
                <c:ptCount val="17"/>
                <c:pt idx="0">
                  <c:v>-5.552636180151039E-4</c:v>
                </c:pt>
                <c:pt idx="1">
                  <c:v>-1.6284046035200219E-3</c:v>
                </c:pt>
                <c:pt idx="2">
                  <c:v>-3.7604495857503084E-3</c:v>
                </c:pt>
                <c:pt idx="3">
                  <c:v>-7.1414604264226599E-3</c:v>
                </c:pt>
                <c:pt idx="4">
                  <c:v>-1.153460687158504E-2</c:v>
                </c:pt>
                <c:pt idx="5">
                  <c:v>-1.6268689796484305E-2</c:v>
                </c:pt>
                <c:pt idx="6">
                  <c:v>-2.0461723142974224E-2</c:v>
                </c:pt>
                <c:pt idx="7">
                  <c:v>-2.3337674636357358E-2</c:v>
                </c:pt>
                <c:pt idx="8">
                  <c:v>-2.446478014111279E-2</c:v>
                </c:pt>
                <c:pt idx="9">
                  <c:v>-2.3825813962483393E-2</c:v>
                </c:pt>
                <c:pt idx="10">
                  <c:v>-2.1736859963508132E-2</c:v>
                </c:pt>
                <c:pt idx="11">
                  <c:v>-1.8690775043302178E-2</c:v>
                </c:pt>
                <c:pt idx="12">
                  <c:v>-1.5202763923008351E-2</c:v>
                </c:pt>
                <c:pt idx="13">
                  <c:v>-1.1703811603569023E-2</c:v>
                </c:pt>
                <c:pt idx="14">
                  <c:v>-8.4925940100280279E-3</c:v>
                </c:pt>
                <c:pt idx="15">
                  <c:v>-5.7339282761189481E-3</c:v>
                </c:pt>
                <c:pt idx="16">
                  <c:v>-3.4840517712603565E-3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45D-4891-8604-D5791F1E46B5}"/>
            </c:ext>
          </c:extLst>
        </c:ser>
        <c:ser>
          <c:idx val="4"/>
          <c:order val="4"/>
          <c:tx>
            <c:v>0.5</c:v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first_part_theta!$Y$5:$Y$21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first_part_theta!$AE$5:$AE$21</c:f>
              <c:numCache>
                <c:formatCode>General</c:formatCode>
                <c:ptCount val="17"/>
                <c:pt idx="0">
                  <c:v>-1.0204341477554112E-3</c:v>
                </c:pt>
                <c:pt idx="1">
                  <c:v>-2.4264809719316232E-3</c:v>
                </c:pt>
                <c:pt idx="2">
                  <c:v>-4.7631304299087813E-3</c:v>
                </c:pt>
                <c:pt idx="3">
                  <c:v>-7.9916234652525273E-3</c:v>
                </c:pt>
                <c:pt idx="4">
                  <c:v>-1.1773234613842614E-2</c:v>
                </c:pt>
                <c:pt idx="5">
                  <c:v>-1.5554448206504904E-2</c:v>
                </c:pt>
                <c:pt idx="6">
                  <c:v>-1.8741321936741665E-2</c:v>
                </c:pt>
                <c:pt idx="7">
                  <c:v>-2.0872029776317795E-2</c:v>
                </c:pt>
                <c:pt idx="8">
                  <c:v>-2.1718448927661036E-2</c:v>
                </c:pt>
                <c:pt idx="9">
                  <c:v>-2.1297754660577151E-2</c:v>
                </c:pt>
                <c:pt idx="10">
                  <c:v>-1.9816142944062028E-2</c:v>
                </c:pt>
                <c:pt idx="11">
                  <c:v>-1.7583026465543689E-2</c:v>
                </c:pt>
                <c:pt idx="12">
                  <c:v>-1.4929145860893642E-2</c:v>
                </c:pt>
                <c:pt idx="13">
                  <c:v>-1.214759418968365E-2</c:v>
                </c:pt>
                <c:pt idx="14">
                  <c:v>-9.4625981097802379E-3</c:v>
                </c:pt>
                <c:pt idx="15">
                  <c:v>-7.0217443309908102E-3</c:v>
                </c:pt>
                <c:pt idx="16">
                  <c:v>-4.9036429262831463E-3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D-4891-8604-D5791F1E46B5}"/>
            </c:ext>
          </c:extLst>
        </c:ser>
        <c:ser>
          <c:idx val="5"/>
          <c:order val="5"/>
          <c:tx>
            <c:v>0.6</c:v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first_part_theta!$Y$5:$Y$21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first_part_theta!$AF$5:$AF$21</c:f>
              <c:numCache>
                <c:formatCode>General</c:formatCode>
                <c:ptCount val="17"/>
                <c:pt idx="0">
                  <c:v>-1.5033352373621058E-3</c:v>
                </c:pt>
                <c:pt idx="1">
                  <c:v>-3.108135752252036E-3</c:v>
                </c:pt>
                <c:pt idx="2">
                  <c:v>-5.4744475175743526E-3</c:v>
                </c:pt>
                <c:pt idx="3">
                  <c:v>-8.4562843485097329E-3</c:v>
                </c:pt>
                <c:pt idx="4">
                  <c:v>-1.171580843406738E-2</c:v>
                </c:pt>
                <c:pt idx="5">
                  <c:v>-1.4817544131084675E-2</c:v>
                </c:pt>
                <c:pt idx="6">
                  <c:v>-1.7348875213585663E-2</c:v>
                </c:pt>
                <c:pt idx="7">
                  <c:v>-1.9016171047862015E-2</c:v>
                </c:pt>
                <c:pt idx="8">
                  <c:v>-1.9689741712229928E-2</c:v>
                </c:pt>
                <c:pt idx="9">
                  <c:v>-1.9397896326821137E-2</c:v>
                </c:pt>
                <c:pt idx="10">
                  <c:v>-1.8287148465902233E-2</c:v>
                </c:pt>
                <c:pt idx="11">
                  <c:v>-1.6569651507169068E-2</c:v>
                </c:pt>
                <c:pt idx="12">
                  <c:v>-1.4474449731285272E-2</c:v>
                </c:pt>
                <c:pt idx="13">
                  <c:v>-1.2211593065403835E-2</c:v>
                </c:pt>
                <c:pt idx="14">
                  <c:v>-9.9514308016561605E-3</c:v>
                </c:pt>
                <c:pt idx="15">
                  <c:v>-7.8170885546039216E-3</c:v>
                </c:pt>
                <c:pt idx="16">
                  <c:v>-5.8862640915705883E-3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45D-4891-8604-D5791F1E46B5}"/>
            </c:ext>
          </c:extLst>
        </c:ser>
        <c:ser>
          <c:idx val="6"/>
          <c:order val="6"/>
          <c:tx>
            <c:v>0.7</c:v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first_part_theta!$Y$5:$Y$21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first_part_theta!$AG$5:$AG$21</c:f>
              <c:numCache>
                <c:formatCode>General</c:formatCode>
                <c:ptCount val="17"/>
                <c:pt idx="0">
                  <c:v>-1.9567228955209514E-3</c:v>
                </c:pt>
                <c:pt idx="1">
                  <c:v>-3.6606419692686992E-3</c:v>
                </c:pt>
                <c:pt idx="2">
                  <c:v>-5.9668848993974285E-3</c:v>
                </c:pt>
                <c:pt idx="3">
                  <c:v>-8.6879639954859089E-3</c:v>
                </c:pt>
                <c:pt idx="4">
                  <c:v>-1.1519676675133329E-2</c:v>
                </c:pt>
                <c:pt idx="5">
                  <c:v>-1.4121687140479549E-2</c:v>
                </c:pt>
                <c:pt idx="6">
                  <c:v>-1.6198497528522142E-2</c:v>
                </c:pt>
                <c:pt idx="7">
                  <c:v>-1.7554217253300742E-2</c:v>
                </c:pt>
                <c:pt idx="8">
                  <c:v>-1.8111936867529634E-2</c:v>
                </c:pt>
                <c:pt idx="9">
                  <c:v>-1.7902863275272088E-2</c:v>
                </c:pt>
                <c:pt idx="10">
                  <c:v>-1.7037306857940117E-2</c:v>
                </c:pt>
                <c:pt idx="11">
                  <c:v>-1.5669932082095918E-2</c:v>
                </c:pt>
                <c:pt idx="12">
                  <c:v>-1.3968310780124225E-2</c:v>
                </c:pt>
                <c:pt idx="13">
                  <c:v>-1.2089505497760973E-2</c:v>
                </c:pt>
                <c:pt idx="14">
                  <c:v>-1.0165826843404471E-2</c:v>
                </c:pt>
                <c:pt idx="15">
                  <c:v>-8.2986532041895694E-3</c:v>
                </c:pt>
                <c:pt idx="16">
                  <c:v>-6.5581927676564913E-3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45D-4891-8604-D5791F1E46B5}"/>
            </c:ext>
          </c:extLst>
        </c:ser>
        <c:ser>
          <c:idx val="7"/>
          <c:order val="7"/>
          <c:tx>
            <c:v>0.8</c:v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first_part_theta!$Y$5:$Y$21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first_part_theta!$AH$5:$AH$21</c:f>
              <c:numCache>
                <c:formatCode>General</c:formatCode>
                <c:ptCount val="17"/>
                <c:pt idx="0">
                  <c:v>-2.3607291154805411E-3</c:v>
                </c:pt>
                <c:pt idx="1">
                  <c:v>-4.0972529860509622E-3</c:v>
                </c:pt>
                <c:pt idx="2">
                  <c:v>-6.3012559266468499E-3</c:v>
                </c:pt>
                <c:pt idx="3">
                  <c:v>-8.7766387095171896E-3</c:v>
                </c:pt>
                <c:pt idx="4">
                  <c:v>-1.12598330327168E-2</c:v>
                </c:pt>
                <c:pt idx="5">
                  <c:v>-1.3483323123614374E-2</c:v>
                </c:pt>
                <c:pt idx="6">
                  <c:v>-1.5229846016353799E-2</c:v>
                </c:pt>
                <c:pt idx="7">
                  <c:v>-1.6363973370764433E-2</c:v>
                </c:pt>
                <c:pt idx="8">
                  <c:v>-1.6839246237944125E-2</c:v>
                </c:pt>
                <c:pt idx="9">
                  <c:v>-1.6686613131416193E-2</c:v>
                </c:pt>
                <c:pt idx="10">
                  <c:v>-1.5992657542040999E-2</c:v>
                </c:pt>
                <c:pt idx="11">
                  <c:v>-1.4875318867875248E-2</c:v>
                </c:pt>
                <c:pt idx="12">
                  <c:v>-1.3462378183588303E-2</c:v>
                </c:pt>
                <c:pt idx="13">
                  <c:v>-1.1875344186170067E-2</c:v>
                </c:pt>
                <c:pt idx="14">
                  <c:v>-1.0219307229780471E-2</c:v>
                </c:pt>
                <c:pt idx="15">
                  <c:v>-8.5780544028748063E-3</c:v>
                </c:pt>
                <c:pt idx="16">
                  <c:v>-7.0131635481268844E-3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45D-4891-8604-D5791F1E46B5}"/>
            </c:ext>
          </c:extLst>
        </c:ser>
        <c:ser>
          <c:idx val="8"/>
          <c:order val="8"/>
          <c:tx>
            <c:v>0.9</c:v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first_part_theta!$Y$5:$Y$21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first_part_theta!$AI$5:$AI$21</c:f>
              <c:numCache>
                <c:formatCode>General</c:formatCode>
                <c:ptCount val="17"/>
                <c:pt idx="0">
                  <c:v>-2.7104193501449247E-3</c:v>
                </c:pt>
                <c:pt idx="1">
                  <c:v>-4.4373841103313447E-3</c:v>
                </c:pt>
                <c:pt idx="2">
                  <c:v>-6.5223380471701089E-3</c:v>
                </c:pt>
                <c:pt idx="3">
                  <c:v>-8.7761457373693313E-3</c:v>
                </c:pt>
                <c:pt idx="4">
                  <c:v>-1.0973852704484669E-2</c:v>
                </c:pt>
                <c:pt idx="5">
                  <c:v>-1.2903150829012791E-2</c:v>
                </c:pt>
                <c:pt idx="6">
                  <c:v>-1.4400735852088887E-2</c:v>
                </c:pt>
                <c:pt idx="7">
                  <c:v>-1.5370448375468578E-2</c:v>
                </c:pt>
                <c:pt idx="8">
                  <c:v>-1.5784364607294689E-2</c:v>
                </c:pt>
                <c:pt idx="9">
                  <c:v>-1.5671960507313846E-2</c:v>
                </c:pt>
                <c:pt idx="10">
                  <c:v>-1.5103355869618489E-2</c:v>
                </c:pt>
                <c:pt idx="11">
                  <c:v>-1.4171623219197476E-2</c:v>
                </c:pt>
                <c:pt idx="12">
                  <c:v>-1.2977394085094992E-2</c:v>
                </c:pt>
                <c:pt idx="13">
                  <c:v>-1.1617300254076779E-2</c:v>
                </c:pt>
                <c:pt idx="14">
                  <c:v>-1.0176520887028376E-2</c:v>
                </c:pt>
                <c:pt idx="15">
                  <c:v>-8.7249424102550689E-3</c:v>
                </c:pt>
                <c:pt idx="16">
                  <c:v>-7.3160954801956427E-3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45D-4891-8604-D5791F1E46B5}"/>
            </c:ext>
          </c:extLst>
        </c:ser>
        <c:ser>
          <c:idx val="9"/>
          <c:order val="9"/>
          <c:tx>
            <c:v>1</c:v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first_part_theta!$Y$5:$Y$21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first_part_theta!$AJ$5:$AJ$21</c:f>
              <c:numCache>
                <c:formatCode>General</c:formatCode>
                <c:ptCount val="17"/>
                <c:pt idx="0">
                  <c:v>-3.0079450651427195E-3</c:v>
                </c:pt>
                <c:pt idx="1">
                  <c:v>-4.6996275359724215E-3</c:v>
                </c:pt>
                <c:pt idx="2">
                  <c:v>-6.6619567497588107E-3</c:v>
                </c:pt>
                <c:pt idx="3">
                  <c:v>-8.7194964417501991E-3</c:v>
                </c:pt>
                <c:pt idx="4">
                  <c:v>-1.0681171916490347E-2</c:v>
                </c:pt>
                <c:pt idx="5">
                  <c:v>-1.237672326655825E-2</c:v>
                </c:pt>
                <c:pt idx="6">
                  <c:v>-1.3681130750624887E-2</c:v>
                </c:pt>
                <c:pt idx="7">
                  <c:v>-1.452474762321824E-2</c:v>
                </c:pt>
                <c:pt idx="8">
                  <c:v>-1.4891393827865178E-2</c:v>
                </c:pt>
                <c:pt idx="9">
                  <c:v>-1.4808659655744903E-2</c:v>
                </c:pt>
                <c:pt idx="10">
                  <c:v>-1.4334729425121259E-2</c:v>
                </c:pt>
                <c:pt idx="11">
                  <c:v>-1.3545059086436483E-2</c:v>
                </c:pt>
                <c:pt idx="12">
                  <c:v>-1.2520966771419909E-2</c:v>
                </c:pt>
                <c:pt idx="13">
                  <c:v>-1.1341061644959231E-2</c:v>
                </c:pt>
                <c:pt idx="14">
                  <c:v>-1.0075623545492149E-2</c:v>
                </c:pt>
                <c:pt idx="15">
                  <c:v>-8.7835670737753113E-3</c:v>
                </c:pt>
                <c:pt idx="16">
                  <c:v>-7.5114126358889399E-3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45D-4891-8604-D5791F1E46B5}"/>
            </c:ext>
          </c:extLst>
        </c:ser>
        <c:ser>
          <c:idx val="10"/>
          <c:order val="10"/>
          <c:tx>
            <c:v>2</c:v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first_part_theta!$Y$5:$Y$21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first_part_theta!$AK$5:$AK$21</c:f>
              <c:numCache>
                <c:formatCode>General</c:formatCode>
                <c:ptCount val="17"/>
                <c:pt idx="0">
                  <c:v>-4.2221154024053515E-3</c:v>
                </c:pt>
                <c:pt idx="1">
                  <c:v>-5.3426066395957858E-3</c:v>
                </c:pt>
                <c:pt idx="2">
                  <c:v>-6.430691586480063E-3</c:v>
                </c:pt>
                <c:pt idx="3">
                  <c:v>-7.4286707718004127E-3</c:v>
                </c:pt>
                <c:pt idx="4">
                  <c:v>-8.2929479392561956E-3</c:v>
                </c:pt>
                <c:pt idx="5">
                  <c:v>-8.9950886102445633E-3</c:v>
                </c:pt>
                <c:pt idx="6">
                  <c:v>-9.5208089411699948E-3</c:v>
                </c:pt>
                <c:pt idx="7">
                  <c:v>-9.8677863597827955E-3</c:v>
                </c:pt>
                <c:pt idx="8">
                  <c:v>-1.0042987801515472E-2</c:v>
                </c:pt>
                <c:pt idx="9">
                  <c:v>-1.0059989052764239E-2</c:v>
                </c:pt>
                <c:pt idx="10">
                  <c:v>-9.9365652545404491E-3</c:v>
                </c:pt>
                <c:pt idx="11">
                  <c:v>-9.692686930245482E-3</c:v>
                </c:pt>
                <c:pt idx="12">
                  <c:v>-9.3489575952225932E-3</c:v>
                </c:pt>
                <c:pt idx="13">
                  <c:v>-8.9254695983287391E-3</c:v>
                </c:pt>
                <c:pt idx="14">
                  <c:v>-8.4410239369225315E-3</c:v>
                </c:pt>
                <c:pt idx="15">
                  <c:v>-7.9126479671477439E-3</c:v>
                </c:pt>
                <c:pt idx="16">
                  <c:v>-7.3553448064190485E-3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45D-4891-8604-D5791F1E46B5}"/>
            </c:ext>
          </c:extLst>
        </c:ser>
        <c:ser>
          <c:idx val="11"/>
          <c:order val="11"/>
          <c:tx>
            <c:v>3</c:v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first_part_theta!$Y$5:$Y$21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first_part_theta!$AL$5:$AL$21</c:f>
              <c:numCache>
                <c:formatCode>General</c:formatCode>
                <c:ptCount val="17"/>
                <c:pt idx="0">
                  <c:v>-4.2374078865411793E-3</c:v>
                </c:pt>
                <c:pt idx="1">
                  <c:v>-4.9960758054153204E-3</c:v>
                </c:pt>
                <c:pt idx="2">
                  <c:v>-5.6925566441000846E-3</c:v>
                </c:pt>
                <c:pt idx="3">
                  <c:v>-6.3060789270419706E-3</c:v>
                </c:pt>
                <c:pt idx="4">
                  <c:v>-6.8236953758965754E-3</c:v>
                </c:pt>
                <c:pt idx="5">
                  <c:v>-7.239176296960549E-3</c:v>
                </c:pt>
                <c:pt idx="6">
                  <c:v>-7.5516894403615826E-3</c:v>
                </c:pt>
                <c:pt idx="7">
                  <c:v>-7.7644852947259145E-3</c:v>
                </c:pt>
                <c:pt idx="8">
                  <c:v>-7.8837089439053269E-3</c:v>
                </c:pt>
                <c:pt idx="9">
                  <c:v>-7.9173932603715542E-3</c:v>
                </c:pt>
                <c:pt idx="10">
                  <c:v>-7.8746467543464385E-3</c:v>
                </c:pt>
                <c:pt idx="11">
                  <c:v>-7.7650257703771397E-3</c:v>
                </c:pt>
                <c:pt idx="12">
                  <c:v>-7.5980689808797085E-3</c:v>
                </c:pt>
                <c:pt idx="13">
                  <c:v>-7.3829678156991279E-3</c:v>
                </c:pt>
                <c:pt idx="14">
                  <c:v>-7.1283464840293563E-3</c:v>
                </c:pt>
                <c:pt idx="15">
                  <c:v>-6.8421275437640693E-3</c:v>
                </c:pt>
                <c:pt idx="16">
                  <c:v>-6.5314622716995414E-3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45D-4891-8604-D5791F1E46B5}"/>
            </c:ext>
          </c:extLst>
        </c:ser>
        <c:ser>
          <c:idx val="12"/>
          <c:order val="12"/>
          <c:tx>
            <c:v>4</c:v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first_part_theta!$Y$5:$Y$21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first_part_theta!$AM$5:$AM$21</c:f>
              <c:numCache>
                <c:formatCode>General</c:formatCode>
                <c:ptCount val="17"/>
                <c:pt idx="0">
                  <c:v>-4.0073760431144729E-3</c:v>
                </c:pt>
                <c:pt idx="1">
                  <c:v>-4.5600802173021834E-3</c:v>
                </c:pt>
                <c:pt idx="2">
                  <c:v>-5.0545396546174855E-3</c:v>
                </c:pt>
                <c:pt idx="3">
                  <c:v>-5.4826468127928043E-3</c:v>
                </c:pt>
                <c:pt idx="4">
                  <c:v>-5.8405372096270811E-3</c:v>
                </c:pt>
                <c:pt idx="5">
                  <c:v>-6.1276487151441074E-3</c:v>
                </c:pt>
                <c:pt idx="6">
                  <c:v>-6.3458675336652819E-3</c:v>
                </c:pt>
                <c:pt idx="7">
                  <c:v>-6.4988006664126021E-3</c:v>
                </c:pt>
                <c:pt idx="8">
                  <c:v>-6.5911833409823374E-3</c:v>
                </c:pt>
                <c:pt idx="9">
                  <c:v>-6.62841328844115E-3</c:v>
                </c:pt>
                <c:pt idx="10">
                  <c:v>-6.6161961438274313E-3</c:v>
                </c:pt>
                <c:pt idx="11">
                  <c:v>-6.5602838545613827E-3</c:v>
                </c:pt>
                <c:pt idx="12">
                  <c:v>-6.4662884071539917E-3</c:v>
                </c:pt>
                <c:pt idx="13">
                  <c:v>-6.3395549713659008E-3</c:v>
                </c:pt>
                <c:pt idx="14">
                  <c:v>-6.1850808679763253E-3</c:v>
                </c:pt>
                <c:pt idx="15">
                  <c:v>-6.007469127612167E-3</c:v>
                </c:pt>
                <c:pt idx="16">
                  <c:v>-5.8109075897312089E-3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45D-4891-8604-D5791F1E46B5}"/>
            </c:ext>
          </c:extLst>
        </c:ser>
        <c:ser>
          <c:idx val="13"/>
          <c:order val="13"/>
          <c:tx>
            <c:v>5</c:v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first_part_theta!$Y$5:$Y$21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first_part_theta!$AN$5:$AN$21</c:f>
              <c:numCache>
                <c:formatCode>General</c:formatCode>
                <c:ptCount val="17"/>
                <c:pt idx="0">
                  <c:v>-3.7360733280407963E-3</c:v>
                </c:pt>
                <c:pt idx="1">
                  <c:v>-4.1614490711383047E-3</c:v>
                </c:pt>
                <c:pt idx="2">
                  <c:v>-4.5367701439203365E-3</c:v>
                </c:pt>
                <c:pt idx="3">
                  <c:v>-4.859055785348859E-3</c:v>
                </c:pt>
                <c:pt idx="4">
                  <c:v>-5.1277401270427925E-3</c:v>
                </c:pt>
                <c:pt idx="5">
                  <c:v>-5.3440161017825616E-3</c:v>
                </c:pt>
                <c:pt idx="6">
                  <c:v>-5.5102995377851287E-3</c:v>
                </c:pt>
                <c:pt idx="7">
                  <c:v>-5.6298061572505418E-3</c:v>
                </c:pt>
                <c:pt idx="8">
                  <c:v>-5.7062268288461671E-3</c:v>
                </c:pt>
                <c:pt idx="9">
                  <c:v>-5.7434844548699118E-3</c:v>
                </c:pt>
                <c:pt idx="10">
                  <c:v>-5.7455565858172165E-3</c:v>
                </c:pt>
                <c:pt idx="11">
                  <c:v>-5.7163497316359835E-3</c:v>
                </c:pt>
                <c:pt idx="12">
                  <c:v>-5.659613570313241E-3</c:v>
                </c:pt>
                <c:pt idx="13">
                  <c:v>-5.5788854348364563E-3</c:v>
                </c:pt>
                <c:pt idx="14">
                  <c:v>-5.4774574077337329E-3</c:v>
                </c:pt>
                <c:pt idx="15">
                  <c:v>-5.3583600072541846E-3</c:v>
                </c:pt>
                <c:pt idx="16">
                  <c:v>-5.2243578106122204E-3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45D-4891-8604-D5791F1E46B5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3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5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8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9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1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4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</c:bandFmts>
        <c:axId val="2123893264"/>
        <c:axId val="2123892848"/>
        <c:axId val="2134594544"/>
      </c:surface3DChart>
      <c:catAx>
        <c:axId val="21238932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>
                    <a:solidFill>
                      <a:schemeClr val="bg1"/>
                    </a:solidFill>
                  </a:rPr>
                  <a:t>Stock</a:t>
                </a:r>
                <a:r>
                  <a:rPr lang="en-US" baseline="0">
                    <a:solidFill>
                      <a:schemeClr val="bg1"/>
                    </a:solidFill>
                  </a:rPr>
                  <a:t> Price</a:t>
                </a:r>
                <a:endParaRPr lang="en-US">
                  <a:solidFill>
                    <a:schemeClr val="bg1"/>
                  </a:solidFill>
                </a:endParaRP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3892848"/>
        <c:crosses val="autoZero"/>
        <c:auto val="1"/>
        <c:lblAlgn val="ctr"/>
        <c:lblOffset val="100"/>
        <c:noMultiLvlLbl val="0"/>
      </c:catAx>
      <c:valAx>
        <c:axId val="2123892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>
                    <a:solidFill>
                      <a:schemeClr val="bg1"/>
                    </a:solidFill>
                  </a:rPr>
                  <a:t>Theta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3893264"/>
        <c:crosses val="autoZero"/>
        <c:crossBetween val="midCat"/>
      </c:valAx>
      <c:serAx>
        <c:axId val="2134594544"/>
        <c:scaling>
          <c:orientation val="minMax"/>
        </c:scaling>
        <c:delete val="0"/>
        <c:axPos val="b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>
                    <a:solidFill>
                      <a:schemeClr val="bg1"/>
                    </a:solidFill>
                  </a:rPr>
                  <a:t>Maturity</a:t>
                </a:r>
              </a:p>
            </c:rich>
          </c:tx>
          <c:overlay val="0"/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3892848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Rho (Volatility = 0.1)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0"/>
      <c:rotY val="280"/>
      <c:rAngAx val="0"/>
      <c:perspective val="11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7.4366788862136018E-2"/>
          <c:y val="5.2932604735883425E-2"/>
          <c:w val="0.82283826091986434"/>
          <c:h val="0.63574631039972462"/>
        </c:manualLayout>
      </c:layout>
      <c:surface3DChart>
        <c:wireframe val="0"/>
        <c:ser>
          <c:idx val="0"/>
          <c:order val="0"/>
          <c:tx>
            <c:v>0.1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first_part_rho!$AP$5:$AP$21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first_part_rho!$AR$5:$AR$21</c:f>
              <c:numCache>
                <c:formatCode>General</c:formatCode>
                <c:ptCount val="17"/>
                <c:pt idx="0">
                  <c:v>6.8997547428960883E-60</c:v>
                </c:pt>
                <c:pt idx="1">
                  <c:v>1.824025691521059E-43</c:v>
                </c:pt>
                <c:pt idx="2">
                  <c:v>9.954666886739304E-31</c:v>
                </c:pt>
                <c:pt idx="3">
                  <c:v>5.3493516241294045E-21</c:v>
                </c:pt>
                <c:pt idx="4">
                  <c:v>9.5606229748062584E-14</c:v>
                </c:pt>
                <c:pt idx="5">
                  <c:v>1.498171510428129E-8</c:v>
                </c:pt>
                <c:pt idx="6">
                  <c:v>4.5615435801455798E-5</c:v>
                </c:pt>
                <c:pt idx="7">
                  <c:v>5.4058155808872667E-3</c:v>
                </c:pt>
                <c:pt idx="8">
                  <c:v>5.0580151398953388E-2</c:v>
                </c:pt>
                <c:pt idx="9">
                  <c:v>9.3952533892679782E-2</c:v>
                </c:pt>
                <c:pt idx="10">
                  <c:v>9.9777807903598914E-2</c:v>
                </c:pt>
                <c:pt idx="11">
                  <c:v>9.9899591088745576E-2</c:v>
                </c:pt>
                <c:pt idx="12">
                  <c:v>9.9900049613135686E-2</c:v>
                </c:pt>
                <c:pt idx="13">
                  <c:v>9.9900049983261366E-2</c:v>
                </c:pt>
                <c:pt idx="14">
                  <c:v>9.9900049983337513E-2</c:v>
                </c:pt>
                <c:pt idx="15">
                  <c:v>9.9900049983337513E-2</c:v>
                </c:pt>
                <c:pt idx="16">
                  <c:v>9.9900049983337513E-2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0D-4DA3-AE16-533B67CF55EB}"/>
            </c:ext>
          </c:extLst>
        </c:ser>
        <c:ser>
          <c:idx val="1"/>
          <c:order val="1"/>
          <c:tx>
            <c:v>0.2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first_part_rho!$AP$5:$AP$21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first_part_rho!$AS$5:$AS$21</c:f>
              <c:numCache>
                <c:formatCode>General</c:formatCode>
                <c:ptCount val="17"/>
                <c:pt idx="0">
                  <c:v>4.1705600383653559E-31</c:v>
                </c:pt>
                <c:pt idx="1">
                  <c:v>7.2236755311601088E-23</c:v>
                </c:pt>
                <c:pt idx="2">
                  <c:v>1.8148881916339142E-16</c:v>
                </c:pt>
                <c:pt idx="3">
                  <c:v>1.4484262281308254E-11</c:v>
                </c:pt>
                <c:pt idx="4">
                  <c:v>6.7762571900260923E-8</c:v>
                </c:pt>
                <c:pt idx="5">
                  <c:v>3.0362011070892119E-5</c:v>
                </c:pt>
                <c:pt idx="6">
                  <c:v>1.957894332731875E-3</c:v>
                </c:pt>
                <c:pt idx="7">
                  <c:v>2.6024085650062811E-2</c:v>
                </c:pt>
                <c:pt idx="8">
                  <c:v>0.10158061093169939</c:v>
                </c:pt>
                <c:pt idx="9">
                  <c:v>0.17309729794666578</c:v>
                </c:pt>
                <c:pt idx="10">
                  <c:v>0.19647918755775001</c:v>
                </c:pt>
                <c:pt idx="11">
                  <c:v>0.19943607403579602</c:v>
                </c:pt>
                <c:pt idx="12">
                  <c:v>0.19959626211406123</c:v>
                </c:pt>
                <c:pt idx="13">
                  <c:v>0.19960034597449697</c:v>
                </c:pt>
                <c:pt idx="14">
                  <c:v>0.19960039934571283</c:v>
                </c:pt>
                <c:pt idx="15">
                  <c:v>0.19960039973180685</c:v>
                </c:pt>
                <c:pt idx="16">
                  <c:v>0.19960039973346216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0D-4DA3-AE16-533B67CF55EB}"/>
            </c:ext>
          </c:extLst>
        </c:ser>
        <c:ser>
          <c:idx val="2"/>
          <c:order val="2"/>
          <c:tx>
            <c:v>0.3</c:v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first_part_rho!$AP$5:$AP$21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first_part_rho!$AT$5:$AT$21</c:f>
              <c:numCache>
                <c:formatCode>General</c:formatCode>
                <c:ptCount val="17"/>
                <c:pt idx="0">
                  <c:v>2.1207973599216589E-21</c:v>
                </c:pt>
                <c:pt idx="1">
                  <c:v>6.8680684372739567E-16</c:v>
                </c:pt>
                <c:pt idx="2">
                  <c:v>1.3307124507183836E-11</c:v>
                </c:pt>
                <c:pt idx="3">
                  <c:v>2.6052631871411217E-8</c:v>
                </c:pt>
                <c:pt idx="4">
                  <c:v>7.77039222747902E-6</c:v>
                </c:pt>
                <c:pt idx="5">
                  <c:v>4.9117640802576266E-4</c:v>
                </c:pt>
                <c:pt idx="6">
                  <c:v>8.6635170446754065E-3</c:v>
                </c:pt>
                <c:pt idx="7">
                  <c:v>5.4331597927515303E-2</c:v>
                </c:pt>
                <c:pt idx="8">
                  <c:v>0.15281809298363572</c:v>
                </c:pt>
                <c:pt idx="9">
                  <c:v>0.24548285319545801</c:v>
                </c:pt>
                <c:pt idx="10">
                  <c:v>0.28756443180563218</c:v>
                </c:pt>
                <c:pt idx="11">
                  <c:v>0.29761983540617443</c:v>
                </c:pt>
                <c:pt idx="12">
                  <c:v>0.29898313191089132</c:v>
                </c:pt>
                <c:pt idx="13">
                  <c:v>0.29909520753459068</c:v>
                </c:pt>
                <c:pt idx="14">
                  <c:v>0.29910113123062104</c:v>
                </c:pt>
                <c:pt idx="15">
                  <c:v>0.29910134317755116</c:v>
                </c:pt>
                <c:pt idx="16">
                  <c:v>0.29910134854920661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0D-4DA3-AE16-533B67CF55EB}"/>
            </c:ext>
          </c:extLst>
        </c:ser>
        <c:ser>
          <c:idx val="3"/>
          <c:order val="3"/>
          <c:tx>
            <c:v>0.4</c:v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first_part_rho!$AP$5:$AP$21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first_part_rho!$AU$5:$AU$21</c:f>
              <c:numCache>
                <c:formatCode>General</c:formatCode>
                <c:ptCount val="17"/>
                <c:pt idx="0">
                  <c:v>1.7146657173941722E-16</c:v>
                </c:pt>
                <c:pt idx="1">
                  <c:v>2.3996762916801391E-12</c:v>
                </c:pt>
                <c:pt idx="2">
                  <c:v>4.0794980511215184E-9</c:v>
                </c:pt>
                <c:pt idx="3">
                  <c:v>1.2492523960331803E-6</c:v>
                </c:pt>
                <c:pt idx="4">
                  <c:v>9.387406712177922E-5</c:v>
                </c:pt>
                <c:pt idx="5">
                  <c:v>2.2206863454671427E-3</c:v>
                </c:pt>
                <c:pt idx="6">
                  <c:v>2.0358699772475959E-2</c:v>
                </c:pt>
                <c:pt idx="7">
                  <c:v>8.6801463209930207E-2</c:v>
                </c:pt>
                <c:pt idx="8">
                  <c:v>0.20422688060793115</c:v>
                </c:pt>
                <c:pt idx="9">
                  <c:v>0.31435240865969416</c:v>
                </c:pt>
                <c:pt idx="10">
                  <c:v>0.37372216345157355</c:v>
                </c:pt>
                <c:pt idx="11">
                  <c:v>0.39342380536091404</c:v>
                </c:pt>
                <c:pt idx="12">
                  <c:v>0.39769324894937874</c:v>
                </c:pt>
                <c:pt idx="13">
                  <c:v>0.39832927362661075</c:v>
                </c:pt>
                <c:pt idx="14">
                  <c:v>0.39839738796252955</c:v>
                </c:pt>
                <c:pt idx="15">
                  <c:v>0.3984028407573641</c:v>
                </c:pt>
                <c:pt idx="16">
                  <c:v>0.39840317838234113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20D-4DA3-AE16-533B67CF55EB}"/>
            </c:ext>
          </c:extLst>
        </c:ser>
        <c:ser>
          <c:idx val="4"/>
          <c:order val="4"/>
          <c:tx>
            <c:v>0.5</c:v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first_part_rho!$AP$5:$AP$21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first_part_rho!$AV$5:$AV$21</c:f>
              <c:numCache>
                <c:formatCode>General</c:formatCode>
                <c:ptCount val="17"/>
                <c:pt idx="0">
                  <c:v>1.6258128709111354E-13</c:v>
                </c:pt>
                <c:pt idx="1">
                  <c:v>3.4533346751725232E-10</c:v>
                </c:pt>
                <c:pt idx="2">
                  <c:v>1.3625021969122364E-7</c:v>
                </c:pt>
                <c:pt idx="3">
                  <c:v>1.3693783854780401E-5</c:v>
                </c:pt>
                <c:pt idx="4">
                  <c:v>4.4930628022144242E-4</c:v>
                </c:pt>
                <c:pt idx="5">
                  <c:v>5.8793072579454864E-3</c:v>
                </c:pt>
                <c:pt idx="6">
                  <c:v>3.6258596069978881E-2</c:v>
                </c:pt>
                <c:pt idx="7">
                  <c:v>0.12193085930105975</c:v>
                </c:pt>
                <c:pt idx="8">
                  <c:v>0.25576885410967215</c:v>
                </c:pt>
                <c:pt idx="9">
                  <c:v>0.38103111573428783</c:v>
                </c:pt>
                <c:pt idx="10">
                  <c:v>0.45606650497595846</c:v>
                </c:pt>
                <c:pt idx="11">
                  <c:v>0.48650344681152441</c:v>
                </c:pt>
                <c:pt idx="12">
                  <c:v>0.49527868282183346</c:v>
                </c:pt>
                <c:pt idx="13">
                  <c:v>0.49715365396356187</c:v>
                </c:pt>
                <c:pt idx="14">
                  <c:v>0.49746149929550426</c:v>
                </c:pt>
                <c:pt idx="15">
                  <c:v>0.49750157959169578</c:v>
                </c:pt>
                <c:pt idx="16">
                  <c:v>0.49750583249072633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20D-4DA3-AE16-533B67CF55EB}"/>
            </c:ext>
          </c:extLst>
        </c:ser>
        <c:ser>
          <c:idx val="5"/>
          <c:order val="5"/>
          <c:tx>
            <c:v>0.6</c:v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first_part_rho!$AP$5:$AP$21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first_part_rho!$AW$5:$AW$21</c:f>
              <c:numCache>
                <c:formatCode>General</c:formatCode>
                <c:ptCount val="17"/>
                <c:pt idx="0">
                  <c:v>1.6481813086334279E-11</c:v>
                </c:pt>
                <c:pt idx="1">
                  <c:v>9.9575989539410699E-9</c:v>
                </c:pt>
                <c:pt idx="2">
                  <c:v>1.4829729609667339E-6</c:v>
                </c:pt>
                <c:pt idx="3">
                  <c:v>7.0864177060534547E-5</c:v>
                </c:pt>
                <c:pt idx="4">
                  <c:v>1.3367272087027218E-3</c:v>
                </c:pt>
                <c:pt idx="5">
                  <c:v>1.1766528591399655E-2</c:v>
                </c:pt>
                <c:pt idx="6">
                  <c:v>5.5569135148285986E-2</c:v>
                </c:pt>
                <c:pt idx="7">
                  <c:v>0.15893745368596146</c:v>
                </c:pt>
                <c:pt idx="8">
                  <c:v>0.30741820985414314</c:v>
                </c:pt>
                <c:pt idx="9">
                  <c:v>0.4461911627338217</c:v>
                </c:pt>
                <c:pt idx="10">
                  <c:v>0.53546438342331992</c:v>
                </c:pt>
                <c:pt idx="11">
                  <c:v>0.5769314379272884</c:v>
                </c:pt>
                <c:pt idx="12">
                  <c:v>0.59142047882605842</c:v>
                </c:pt>
                <c:pt idx="13">
                  <c:v>0.59536529236320235</c:v>
                </c:pt>
                <c:pt idx="14">
                  <c:v>0.59622800656168429</c:v>
                </c:pt>
                <c:pt idx="15">
                  <c:v>0.59638360220830644</c:v>
                </c:pt>
                <c:pt idx="16">
                  <c:v>0.59640728082054484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20D-4DA3-AE16-533B67CF55EB}"/>
            </c:ext>
          </c:extLst>
        </c:ser>
        <c:ser>
          <c:idx val="6"/>
          <c:order val="6"/>
          <c:tx>
            <c:v>0.7</c:v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first_part_rho!$AP$5:$AP$21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first_part_rho!$AX$5:$AX$21</c:f>
              <c:numCache>
                <c:formatCode>General</c:formatCode>
                <c:ptCount val="17"/>
                <c:pt idx="0">
                  <c:v>4.6233752509654254E-10</c:v>
                </c:pt>
                <c:pt idx="1">
                  <c:v>1.1375608625566583E-7</c:v>
                </c:pt>
                <c:pt idx="2">
                  <c:v>8.4440564273303502E-6</c:v>
                </c:pt>
                <c:pt idx="3">
                  <c:v>2.3711237792182926E-4</c:v>
                </c:pt>
                <c:pt idx="4">
                  <c:v>3.0094142404680354E-3</c:v>
                </c:pt>
                <c:pt idx="5">
                  <c:v>1.9932210842367931E-2</c:v>
                </c:pt>
                <c:pt idx="6">
                  <c:v>7.7653949825830557E-2</c:v>
                </c:pt>
                <c:pt idx="7">
                  <c:v>0.19735680124144059</c:v>
                </c:pt>
                <c:pt idx="8">
                  <c:v>0.35915594909590859</c:v>
                </c:pt>
                <c:pt idx="9">
                  <c:v>0.51022305279995162</c:v>
                </c:pt>
                <c:pt idx="10">
                  <c:v>0.61253729163278892</c:v>
                </c:pt>
                <c:pt idx="11">
                  <c:v>0.66493513401483262</c:v>
                </c:pt>
                <c:pt idx="12">
                  <c:v>0.68595842929360373</c:v>
                </c:pt>
                <c:pt idx="13">
                  <c:v>0.69277091810376734</c:v>
                </c:pt>
                <c:pt idx="14">
                  <c:v>0.69460114005190687</c:v>
                </c:pt>
                <c:pt idx="15">
                  <c:v>0.69501813372831622</c:v>
                </c:pt>
                <c:pt idx="16">
                  <c:v>0.69510030433566872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20D-4DA3-AE16-533B67CF55EB}"/>
            </c:ext>
          </c:extLst>
        </c:ser>
        <c:ser>
          <c:idx val="7"/>
          <c:order val="7"/>
          <c:tx>
            <c:v>0.8</c:v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first_part_rho!$AP$5:$AP$21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first_part_rho!$AY$5:$AY$21</c:f>
              <c:numCache>
                <c:formatCode>General</c:formatCode>
                <c:ptCount val="17"/>
                <c:pt idx="0">
                  <c:v>5.7838836856354677E-9</c:v>
                </c:pt>
                <c:pt idx="1">
                  <c:v>7.2532656593866114E-7</c:v>
                </c:pt>
                <c:pt idx="2">
                  <c:v>3.1927561083099139E-5</c:v>
                </c:pt>
                <c:pt idx="3">
                  <c:v>6.0144636736595401E-4</c:v>
                </c:pt>
                <c:pt idx="4">
                  <c:v>5.6671524536186417E-3</c:v>
                </c:pt>
                <c:pt idx="5">
                  <c:v>3.0294875417979789E-2</c:v>
                </c:pt>
                <c:pt idx="6">
                  <c:v>0.10202507574836325</c:v>
                </c:pt>
                <c:pt idx="7">
                  <c:v>0.23688743774384435</c:v>
                </c:pt>
                <c:pt idx="8">
                  <c:v>0.41096731210161047</c:v>
                </c:pt>
                <c:pt idx="9">
                  <c:v>0.57337518442883206</c:v>
                </c:pt>
                <c:pt idx="10">
                  <c:v>0.68773188516542405</c:v>
                </c:pt>
                <c:pt idx="11">
                  <c:v>0.75077492898362264</c:v>
                </c:pt>
                <c:pt idx="12">
                  <c:v>0.77884877360331073</c:v>
                </c:pt>
                <c:pt idx="13">
                  <c:v>0.78922100210084167</c:v>
                </c:pt>
                <c:pt idx="14">
                  <c:v>0.7924743967938036</c:v>
                </c:pt>
                <c:pt idx="15">
                  <c:v>0.79335812906789949</c:v>
                </c:pt>
                <c:pt idx="16">
                  <c:v>0.79356962372848683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20D-4DA3-AE16-533B67CF55EB}"/>
            </c:ext>
          </c:extLst>
        </c:ser>
        <c:ser>
          <c:idx val="8"/>
          <c:order val="8"/>
          <c:tx>
            <c:v>0.9</c:v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first_part_rho!$AP$5:$AP$21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first_part_rho!$AZ$5:$AZ$21</c:f>
              <c:numCache>
                <c:formatCode>General</c:formatCode>
                <c:ptCount val="17"/>
                <c:pt idx="0">
                  <c:v>4.2109995631038731E-8</c:v>
                </c:pt>
                <c:pt idx="1">
                  <c:v>3.1257694746679378E-6</c:v>
                </c:pt>
                <c:pt idx="2">
                  <c:v>9.1613031212593103E-5</c:v>
                </c:pt>
                <c:pt idx="3">
                  <c:v>1.2646643565367435E-3</c:v>
                </c:pt>
                <c:pt idx="4">
                  <c:v>9.4469788357844919E-3</c:v>
                </c:pt>
                <c:pt idx="5">
                  <c:v>4.2714832976975065E-2</c:v>
                </c:pt>
                <c:pt idx="6">
                  <c:v>0.12830859013377557</c:v>
                </c:pt>
                <c:pt idx="7">
                  <c:v>0.2773207335829711</c:v>
                </c:pt>
                <c:pt idx="8">
                  <c:v>0.46284039504608737</c:v>
                </c:pt>
                <c:pt idx="9">
                  <c:v>0.63581611101087554</c:v>
                </c:pt>
                <c:pt idx="10">
                  <c:v>0.76137581768653784</c:v>
                </c:pt>
                <c:pt idx="11">
                  <c:v>0.83469784716418216</c:v>
                </c:pt>
                <c:pt idx="12">
                  <c:v>0.87011875244291348</c:v>
                </c:pt>
                <c:pt idx="13">
                  <c:v>0.88461614166740554</c:v>
                </c:pt>
                <c:pt idx="14">
                  <c:v>0.88974743056024763</c:v>
                </c:pt>
                <c:pt idx="15">
                  <c:v>0.89134605998743832</c:v>
                </c:pt>
                <c:pt idx="16">
                  <c:v>0.89179120674511403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20D-4DA3-AE16-533B67CF55EB}"/>
            </c:ext>
          </c:extLst>
        </c:ser>
        <c:ser>
          <c:idx val="9"/>
          <c:order val="9"/>
          <c:tx>
            <c:v>1</c:v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first_part_rho!$AP$5:$AP$21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first_part_rho!$BA$5:$BA$21</c:f>
              <c:numCache>
                <c:formatCode>General</c:formatCode>
                <c:ptCount val="17"/>
                <c:pt idx="0">
                  <c:v>2.0944883154902559E-7</c:v>
                </c:pt>
                <c:pt idx="1">
                  <c:v>1.0218383303882987E-5</c:v>
                </c:pt>
                <c:pt idx="2">
                  <c:v>2.1625953663559442E-4</c:v>
                </c:pt>
                <c:pt idx="3">
                  <c:v>2.3272427909089093E-3</c:v>
                </c:pt>
                <c:pt idx="4">
                  <c:v>1.4430579922614033E-2</c:v>
                </c:pt>
                <c:pt idx="5">
                  <c:v>5.7033185664748597E-2</c:v>
                </c:pt>
                <c:pt idx="6">
                  <c:v>0.15621450219614411</c:v>
                </c:pt>
                <c:pt idx="7">
                  <c:v>0.31850518608360617</c:v>
                </c:pt>
                <c:pt idx="8">
                  <c:v>0.51476532828002164</c:v>
                </c:pt>
                <c:pt idx="9">
                  <c:v>0.69766586400827935</c:v>
                </c:pt>
                <c:pt idx="10">
                  <c:v>0.83371514981554562</c:v>
                </c:pt>
                <c:pt idx="11">
                  <c:v>0.91692301259484654</c:v>
                </c:pt>
                <c:pt idx="12">
                  <c:v>0.95983419426964212</c:v>
                </c:pt>
                <c:pt idx="13">
                  <c:v>0.97890054170176688</c:v>
                </c:pt>
                <c:pt idx="14">
                  <c:v>0.98633554504316656</c:v>
                </c:pt>
                <c:pt idx="15">
                  <c:v>0.9889209507546447</c:v>
                </c:pt>
                <c:pt idx="16">
                  <c:v>0.98973377492216597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20D-4DA3-AE16-533B67CF55EB}"/>
            </c:ext>
          </c:extLst>
        </c:ser>
        <c:ser>
          <c:idx val="10"/>
          <c:order val="10"/>
          <c:tx>
            <c:v>2</c:v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first_part_rho!$AP$5:$AP$21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first_part_rho!$BB$5:$BB$21</c:f>
              <c:numCache>
                <c:formatCode>General</c:formatCode>
                <c:ptCount val="17"/>
                <c:pt idx="0">
                  <c:v>3.9017006065321993E-4</c:v>
                </c:pt>
                <c:pt idx="1">
                  <c:v>2.8682719393543542E-3</c:v>
                </c:pt>
                <c:pt idx="2">
                  <c:v>1.3949867109230144E-2</c:v>
                </c:pt>
                <c:pt idx="3">
                  <c:v>4.8605196983075763E-2</c:v>
                </c:pt>
                <c:pt idx="4">
                  <c:v>0.12916231918414769</c:v>
                </c:pt>
                <c:pt idx="5">
                  <c:v>0.27526263359416991</c:v>
                </c:pt>
                <c:pt idx="6">
                  <c:v>0.49021713340295131</c:v>
                </c:pt>
                <c:pt idx="7">
                  <c:v>0.7550431564617397</c:v>
                </c:pt>
                <c:pt idx="8">
                  <c:v>1.0354544111550688</c:v>
                </c:pt>
                <c:pt idx="9">
                  <c:v>1.296192395779916</c:v>
                </c:pt>
                <c:pt idx="10">
                  <c:v>1.5129562033151718</c:v>
                </c:pt>
                <c:pt idx="11">
                  <c:v>1.6765216924491808</c:v>
                </c:pt>
                <c:pt idx="12">
                  <c:v>1.7899842881670318</c:v>
                </c:pt>
                <c:pt idx="13">
                  <c:v>1.8631273632495482</c:v>
                </c:pt>
                <c:pt idx="14">
                  <c:v>1.9073528277688421</c:v>
                </c:pt>
                <c:pt idx="15">
                  <c:v>1.9326342865983208</c:v>
                </c:pt>
                <c:pt idx="16">
                  <c:v>1.9463918255910062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20D-4DA3-AE16-533B67CF55EB}"/>
            </c:ext>
          </c:extLst>
        </c:ser>
        <c:ser>
          <c:idx val="11"/>
          <c:order val="11"/>
          <c:tx>
            <c:v>3</c:v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first_part_rho!$AP$5:$AP$21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first_part_rho!$BC$5:$BC$21</c:f>
              <c:numCache>
                <c:formatCode>General</c:formatCode>
                <c:ptCount val="17"/>
                <c:pt idx="0">
                  <c:v>6.1154603756096351E-3</c:v>
                </c:pt>
                <c:pt idx="1">
                  <c:v>2.3831658067032861E-2</c:v>
                </c:pt>
                <c:pt idx="2">
                  <c:v>7.0649659059548314E-2</c:v>
                </c:pt>
                <c:pt idx="3">
                  <c:v>0.16800016425945097</c:v>
                </c:pt>
                <c:pt idx="4">
                  <c:v>0.33403665227840929</c:v>
                </c:pt>
                <c:pt idx="5">
                  <c:v>0.57408661084024171</c:v>
                </c:pt>
                <c:pt idx="6">
                  <c:v>0.87613987301824248</c:v>
                </c:pt>
                <c:pt idx="7">
                  <c:v>1.2140668920003028</c:v>
                </c:pt>
                <c:pt idx="8">
                  <c:v>1.5561276866903309</c:v>
                </c:pt>
                <c:pt idx="9">
                  <c:v>1.8739472983683121</c:v>
                </c:pt>
                <c:pt idx="10">
                  <c:v>2.1482672152563937</c:v>
                </c:pt>
                <c:pt idx="11">
                  <c:v>2.3704399931886559</c:v>
                </c:pt>
                <c:pt idx="12">
                  <c:v>2.5407168875355404</c:v>
                </c:pt>
                <c:pt idx="13">
                  <c:v>2.6651023114110521</c:v>
                </c:pt>
                <c:pt idx="14">
                  <c:v>2.7522371935526651</c:v>
                </c:pt>
                <c:pt idx="15">
                  <c:v>2.8110815254143624</c:v>
                </c:pt>
                <c:pt idx="16">
                  <c:v>2.8495648996149048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20D-4DA3-AE16-533B67CF55EB}"/>
            </c:ext>
          </c:extLst>
        </c:ser>
        <c:ser>
          <c:idx val="12"/>
          <c:order val="12"/>
          <c:tx>
            <c:v>4</c:v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first_part_rho!$AP$5:$AP$21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first_part_rho!$BD$5:$BD$21</c:f>
              <c:numCache>
                <c:formatCode>General</c:formatCode>
                <c:ptCount val="17"/>
                <c:pt idx="0">
                  <c:v>2.7137815674117115E-2</c:v>
                </c:pt>
                <c:pt idx="1">
                  <c:v>7.6832332776932757E-2</c:v>
                </c:pt>
                <c:pt idx="2">
                  <c:v>0.17736667658110342</c:v>
                </c:pt>
                <c:pt idx="3">
                  <c:v>0.34734979174896125</c:v>
                </c:pt>
                <c:pt idx="4">
                  <c:v>0.5952355943117198</c:v>
                </c:pt>
                <c:pt idx="5">
                  <c:v>0.91485721832214872</c:v>
                </c:pt>
                <c:pt idx="6">
                  <c:v>1.2865415020805311</c:v>
                </c:pt>
                <c:pt idx="7">
                  <c:v>1.6826600318585683</c:v>
                </c:pt>
                <c:pt idx="8">
                  <c:v>2.0746435400648329</c:v>
                </c:pt>
                <c:pt idx="9">
                  <c:v>2.4387078999118197</c:v>
                </c:pt>
                <c:pt idx="10">
                  <c:v>2.7589205627569036</c:v>
                </c:pt>
                <c:pt idx="11">
                  <c:v>3.0276382235568668</c:v>
                </c:pt>
                <c:pt idx="12">
                  <c:v>3.2441523843363722</c:v>
                </c:pt>
                <c:pt idx="13">
                  <c:v>3.4125464232347826</c:v>
                </c:pt>
                <c:pt idx="14">
                  <c:v>3.5395433389541919</c:v>
                </c:pt>
                <c:pt idx="15">
                  <c:v>3.6327782720310542</c:v>
                </c:pt>
                <c:pt idx="16">
                  <c:v>3.6996343552554141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20D-4DA3-AE16-533B67CF55EB}"/>
            </c:ext>
          </c:extLst>
        </c:ser>
        <c:ser>
          <c:idx val="13"/>
          <c:order val="13"/>
          <c:tx>
            <c:v>5</c:v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first_part_rho!$AP$5:$AP$21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first_part_rho!$BE$5:$BE$21</c:f>
              <c:numCache>
                <c:formatCode>General</c:formatCode>
                <c:ptCount val="17"/>
                <c:pt idx="0">
                  <c:v>7.0877394865647217E-2</c:v>
                </c:pt>
                <c:pt idx="1">
                  <c:v>0.16543665197834301</c:v>
                </c:pt>
                <c:pt idx="2">
                  <c:v>0.3281644793147272</c:v>
                </c:pt>
                <c:pt idx="3">
                  <c:v>0.57096303141784466</c:v>
                </c:pt>
                <c:pt idx="4">
                  <c:v>0.89308606477141772</c:v>
                </c:pt>
                <c:pt idx="5">
                  <c:v>1.2807174822131724</c:v>
                </c:pt>
                <c:pt idx="6">
                  <c:v>1.7105684720072716</c:v>
                </c:pt>
                <c:pt idx="7">
                  <c:v>2.1554734091941636</c:v>
                </c:pt>
                <c:pt idx="8">
                  <c:v>2.5897713521361756</c:v>
                </c:pt>
                <c:pt idx="9">
                  <c:v>2.9930428387344614</c:v>
                </c:pt>
                <c:pt idx="10">
                  <c:v>3.3517828422688227</c:v>
                </c:pt>
                <c:pt idx="11">
                  <c:v>3.6593296824907293</c:v>
                </c:pt>
                <c:pt idx="12">
                  <c:v>3.914693905162963</c:v>
                </c:pt>
                <c:pt idx="13">
                  <c:v>4.1209288129593835</c:v>
                </c:pt>
                <c:pt idx="14">
                  <c:v>4.2835141810001804</c:v>
                </c:pt>
                <c:pt idx="15">
                  <c:v>4.4090180057059323</c:v>
                </c:pt>
                <c:pt idx="16">
                  <c:v>4.5041312353967964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20D-4DA3-AE16-533B67CF55EB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3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5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8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9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1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4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</c:bandFmts>
        <c:axId val="480826271"/>
        <c:axId val="480827519"/>
        <c:axId val="574198767"/>
      </c:surface3DChart>
      <c:catAx>
        <c:axId val="48082627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stock price</a:t>
                </a:r>
              </a:p>
            </c:rich>
          </c:tx>
          <c:layout>
            <c:manualLayout>
              <c:xMode val="edge"/>
              <c:yMode val="edge"/>
              <c:x val="0.75156070367237149"/>
              <c:y val="0.4788095750326291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827519"/>
        <c:crosses val="autoZero"/>
        <c:auto val="1"/>
        <c:lblAlgn val="ctr"/>
        <c:lblOffset val="100"/>
        <c:noMultiLvlLbl val="0"/>
      </c:catAx>
      <c:valAx>
        <c:axId val="4808275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Rho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826271"/>
        <c:crosses val="autoZero"/>
        <c:crossBetween val="midCat"/>
      </c:valAx>
      <c:serAx>
        <c:axId val="574198767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maturity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827519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Rho (Volatility = 0.2)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0"/>
      <c:rotY val="280"/>
      <c:rAngAx val="0"/>
      <c:perspective val="11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9164661708953047E-2"/>
          <c:y val="3.9661016949152549E-2"/>
          <c:w val="0.92801509186351705"/>
          <c:h val="0.62852113824754952"/>
        </c:manualLayout>
      </c:layout>
      <c:surface3DChart>
        <c:wireframe val="0"/>
        <c:ser>
          <c:idx val="0"/>
          <c:order val="0"/>
          <c:tx>
            <c:v>0.1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first_part_rho!$G$5:$G$21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first_part_rho!$I$5:$I$21</c:f>
              <c:numCache>
                <c:formatCode>General</c:formatCode>
                <c:ptCount val="17"/>
                <c:pt idx="0">
                  <c:v>2.9155373317769776E-17</c:v>
                </c:pt>
                <c:pt idx="1">
                  <c:v>4.3284662987202281E-13</c:v>
                </c:pt>
                <c:pt idx="2">
                  <c:v>7.7692467200589764E-10</c:v>
                </c:pt>
                <c:pt idx="3">
                  <c:v>2.5013539023405383E-7</c:v>
                </c:pt>
                <c:pt idx="4">
                  <c:v>1.9684019476440405E-5</c:v>
                </c:pt>
                <c:pt idx="5">
                  <c:v>4.8575796157643818E-4</c:v>
                </c:pt>
                <c:pt idx="6">
                  <c:v>4.6266505291057552E-3</c:v>
                </c:pt>
                <c:pt idx="7">
                  <c:v>2.0396276517295933E-2</c:v>
                </c:pt>
                <c:pt idx="8">
                  <c:v>4.9319898584384125E-2</c:v>
                </c:pt>
                <c:pt idx="9">
                  <c:v>7.7428944428213187E-2</c:v>
                </c:pt>
                <c:pt idx="10">
                  <c:v>9.3111062933054919E-2</c:v>
                </c:pt>
                <c:pt idx="11">
                  <c:v>9.8489758625579293E-2</c:v>
                </c:pt>
                <c:pt idx="12">
                  <c:v>9.9693029945287864E-2</c:v>
                </c:pt>
                <c:pt idx="13">
                  <c:v>9.9877868050641513E-2</c:v>
                </c:pt>
                <c:pt idx="14">
                  <c:v>9.989825783141762E-2</c:v>
                </c:pt>
                <c:pt idx="15">
                  <c:v>9.9899937425487084E-2</c:v>
                </c:pt>
                <c:pt idx="16">
                  <c:v>9.9900044333117666E-2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79-45CC-892E-4B697AB22C46}"/>
            </c:ext>
          </c:extLst>
        </c:ser>
        <c:ser>
          <c:idx val="1"/>
          <c:order val="1"/>
          <c:tx>
            <c:v>0.2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first_part_rho!$G$5:$G$21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first_part_rho!$J$5:$J$21</c:f>
              <c:numCache>
                <c:formatCode>General</c:formatCode>
                <c:ptCount val="17"/>
                <c:pt idx="0">
                  <c:v>9.8144996773923621E-10</c:v>
                </c:pt>
                <c:pt idx="1">
                  <c:v>1.3045620291245923E-7</c:v>
                </c:pt>
                <c:pt idx="2">
                  <c:v>6.0569776566511092E-6</c:v>
                </c:pt>
                <c:pt idx="3">
                  <c:v>1.1981739309242231E-4</c:v>
                </c:pt>
                <c:pt idx="4">
                  <c:v>1.180615367981647E-3</c:v>
                </c:pt>
                <c:pt idx="5">
                  <c:v>6.5728086131009653E-3</c:v>
                </c:pt>
                <c:pt idx="6">
                  <c:v>2.2955278113909659E-2</c:v>
                </c:pt>
                <c:pt idx="7">
                  <c:v>5.5018256030450026E-2</c:v>
                </c:pt>
                <c:pt idx="8">
                  <c:v>9.8019788801767246E-2</c:v>
                </c:pt>
                <c:pt idx="9">
                  <c:v>0.13963207315360487</c:v>
                </c:pt>
                <c:pt idx="10">
                  <c:v>0.16997597069863821</c:v>
                </c:pt>
                <c:pt idx="11">
                  <c:v>0.18727453260072854</c:v>
                </c:pt>
                <c:pt idx="12">
                  <c:v>0.19522974084010128</c:v>
                </c:pt>
                <c:pt idx="13">
                  <c:v>0.19826121374631198</c:v>
                </c:pt>
                <c:pt idx="14">
                  <c:v>0.19924080062887661</c:v>
                </c:pt>
                <c:pt idx="15">
                  <c:v>0.19951462891393384</c:v>
                </c:pt>
                <c:pt idx="16">
                  <c:v>0.19958199888181857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779-45CC-892E-4B697AB22C46}"/>
            </c:ext>
          </c:extLst>
        </c:ser>
        <c:ser>
          <c:idx val="2"/>
          <c:order val="2"/>
          <c:tx>
            <c:v>0.3</c:v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first_part_rho!$G$5:$G$21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first_part_rho!$K$5:$K$21</c:f>
              <c:numCache>
                <c:formatCode>General</c:formatCode>
                <c:ptCount val="17"/>
                <c:pt idx="0">
                  <c:v>4.0745379654174117E-7</c:v>
                </c:pt>
                <c:pt idx="1">
                  <c:v>1.1214508890306986E-5</c:v>
                </c:pt>
                <c:pt idx="2">
                  <c:v>1.534011080390588E-4</c:v>
                </c:pt>
                <c:pt idx="3">
                  <c:v>1.1911631216126903E-3</c:v>
                </c:pt>
                <c:pt idx="4">
                  <c:v>5.8294742224800937E-3</c:v>
                </c:pt>
                <c:pt idx="5">
                  <c:v>1.9560484482833904E-2</c:v>
                </c:pt>
                <c:pt idx="6">
                  <c:v>4.8240469025865852E-2</c:v>
                </c:pt>
                <c:pt idx="7">
                  <c:v>9.274491325250403E-2</c:v>
                </c:pt>
                <c:pt idx="8">
                  <c:v>0.14628325566737618</c:v>
                </c:pt>
                <c:pt idx="9">
                  <c:v>0.19801355879149482</c:v>
                </c:pt>
                <c:pt idx="10">
                  <c:v>0.23936909463006026</c:v>
                </c:pt>
                <c:pt idx="11">
                  <c:v>0.2674171475353192</c:v>
                </c:pt>
                <c:pt idx="12">
                  <c:v>0.28390164223017772</c:v>
                </c:pt>
                <c:pt idx="13">
                  <c:v>0.29245072006046918</c:v>
                </c:pt>
                <c:pt idx="14">
                  <c:v>0.29642425234579128</c:v>
                </c:pt>
                <c:pt idx="15">
                  <c:v>0.29810172215636355</c:v>
                </c:pt>
                <c:pt idx="16">
                  <c:v>0.29875241343482661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779-45CC-892E-4B697AB22C46}"/>
            </c:ext>
          </c:extLst>
        </c:ser>
        <c:ser>
          <c:idx val="3"/>
          <c:order val="3"/>
          <c:tx>
            <c:v>0.4</c:v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first_part_rho!$G$5:$G$21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first_part_rho!$L$5:$L$21</c:f>
              <c:numCache>
                <c:formatCode>General</c:formatCode>
                <c:ptCount val="17"/>
                <c:pt idx="0">
                  <c:v>9.3629247971002436E-6</c:v>
                </c:pt>
                <c:pt idx="1">
                  <c:v>1.1705675325644336E-4</c:v>
                </c:pt>
                <c:pt idx="2">
                  <c:v>8.671070253851767E-4</c:v>
                </c:pt>
                <c:pt idx="3">
                  <c:v>4.2058365657656558E-3</c:v>
                </c:pt>
                <c:pt idx="4">
                  <c:v>1.4449660567580994E-2</c:v>
                </c:pt>
                <c:pt idx="5">
                  <c:v>3.7454643863001104E-2</c:v>
                </c:pt>
                <c:pt idx="6">
                  <c:v>7.714568152454411E-2</c:v>
                </c:pt>
                <c:pt idx="7">
                  <c:v>0.13187458778736869</c:v>
                </c:pt>
                <c:pt idx="8">
                  <c:v>0.19417631512966549</c:v>
                </c:pt>
                <c:pt idx="9">
                  <c:v>0.25432746553601698</c:v>
                </c:pt>
                <c:pt idx="10">
                  <c:v>0.30470390561626748</c:v>
                </c:pt>
                <c:pt idx="11">
                  <c:v>0.34200126589648211</c:v>
                </c:pt>
                <c:pt idx="12">
                  <c:v>0.36680746478076992</c:v>
                </c:pt>
                <c:pt idx="13">
                  <c:v>0.3818320533555099</c:v>
                </c:pt>
                <c:pt idx="14">
                  <c:v>0.39021658405667159</c:v>
                </c:pt>
                <c:pt idx="15">
                  <c:v>0.39457121776080656</c:v>
                </c:pt>
                <c:pt idx="16">
                  <c:v>0.39669441320637577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779-45CC-892E-4B697AB22C46}"/>
            </c:ext>
          </c:extLst>
        </c:ser>
        <c:ser>
          <c:idx val="4"/>
          <c:order val="4"/>
          <c:tx>
            <c:v>0.5</c:v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first_part_rho!$G$5:$G$21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first_part_rho!$M$5:$M$21</c:f>
              <c:numCache>
                <c:formatCode>General</c:formatCode>
                <c:ptCount val="17"/>
                <c:pt idx="0">
                  <c:v>6.588679923516248E-5</c:v>
                </c:pt>
                <c:pt idx="1">
                  <c:v>5.124182147004363E-4</c:v>
                </c:pt>
                <c:pt idx="2">
                  <c:v>2.6230859396038069E-3</c:v>
                </c:pt>
                <c:pt idx="3">
                  <c:v>9.5750502791312735E-3</c:v>
                </c:pt>
                <c:pt idx="4">
                  <c:v>2.6541221761137001E-2</c:v>
                </c:pt>
                <c:pt idx="5">
                  <c:v>5.8755556011287499E-2</c:v>
                </c:pt>
                <c:pt idx="6">
                  <c:v>0.10825115598149131</c:v>
                </c:pt>
                <c:pt idx="7">
                  <c:v>0.1717865664850281</c:v>
                </c:pt>
                <c:pt idx="8">
                  <c:v>0.24173738548666898</c:v>
                </c:pt>
                <c:pt idx="9">
                  <c:v>0.30924184743469108</c:v>
                </c:pt>
                <c:pt idx="10">
                  <c:v>0.36738595144398112</c:v>
                </c:pt>
                <c:pt idx="11">
                  <c:v>0.41277215823472962</c:v>
                </c:pt>
                <c:pt idx="12">
                  <c:v>0.44529407145839939</c:v>
                </c:pt>
                <c:pt idx="13">
                  <c:v>0.46692198548977831</c:v>
                </c:pt>
                <c:pt idx="14">
                  <c:v>0.4803961669575153</c:v>
                </c:pt>
                <c:pt idx="15">
                  <c:v>0.4883235563423502</c:v>
                </c:pt>
                <c:pt idx="16">
                  <c:v>0.49275873716227719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779-45CC-892E-4B697AB22C46}"/>
            </c:ext>
          </c:extLst>
        </c:ser>
        <c:ser>
          <c:idx val="5"/>
          <c:order val="5"/>
          <c:tx>
            <c:v>0.6</c:v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first_part_rho!$G$5:$G$21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first_part_rho!$N$5:$N$21</c:f>
              <c:numCache>
                <c:formatCode>General</c:formatCode>
                <c:ptCount val="17"/>
                <c:pt idx="0">
                  <c:v>2.5336754690401985E-4</c:v>
                </c:pt>
                <c:pt idx="1">
                  <c:v>1.4346745368583711E-3</c:v>
                </c:pt>
                <c:pt idx="2">
                  <c:v>5.7342650040421743E-3</c:v>
                </c:pt>
                <c:pt idx="3">
                  <c:v>1.7295450873604512E-2</c:v>
                </c:pt>
                <c:pt idx="4">
                  <c:v>4.1483206002554972E-2</c:v>
                </c:pt>
                <c:pt idx="5">
                  <c:v>8.2510457333700937E-2</c:v>
                </c:pt>
                <c:pt idx="6">
                  <c:v>0.14082638092999991</c:v>
                </c:pt>
                <c:pt idx="7">
                  <c:v>0.21217661617090136</c:v>
                </c:pt>
                <c:pt idx="8">
                  <c:v>0.28899256857821798</c:v>
                </c:pt>
                <c:pt idx="9">
                  <c:v>0.36309866980005234</c:v>
                </c:pt>
                <c:pt idx="10">
                  <c:v>0.42813919395874578</c:v>
                </c:pt>
                <c:pt idx="11">
                  <c:v>0.4807365212174417</c:v>
                </c:pt>
                <c:pt idx="12">
                  <c:v>0.52035124616342832</c:v>
                </c:pt>
                <c:pt idx="13">
                  <c:v>0.54839430840815317</c:v>
                </c:pt>
                <c:pt idx="14">
                  <c:v>0.56719853041525747</c:v>
                </c:pt>
                <c:pt idx="15">
                  <c:v>0.57922265459566469</c:v>
                </c:pt>
                <c:pt idx="16">
                  <c:v>0.58659707295076824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779-45CC-892E-4B697AB22C46}"/>
            </c:ext>
          </c:extLst>
        </c:ser>
        <c:ser>
          <c:idx val="6"/>
          <c:order val="6"/>
          <c:tx>
            <c:v>0.7</c:v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first_part_rho!$G$5:$G$21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first_part_rho!$O$5:$O$21</c:f>
              <c:numCache>
                <c:formatCode>General</c:formatCode>
                <c:ptCount val="17"/>
                <c:pt idx="0">
                  <c:v>6.8496313647904098E-4</c:v>
                </c:pt>
                <c:pt idx="1">
                  <c:v>3.0898154554743775E-3</c:v>
                </c:pt>
                <c:pt idx="2">
                  <c:v>1.0340638105047843E-2</c:v>
                </c:pt>
                <c:pt idx="3">
                  <c:v>2.7188766452768527E-2</c:v>
                </c:pt>
                <c:pt idx="4">
                  <c:v>5.8743138124230571E-2</c:v>
                </c:pt>
                <c:pt idx="5">
                  <c:v>0.10810010394461254</c:v>
                </c:pt>
                <c:pt idx="6">
                  <c:v>0.17444422479079946</c:v>
                </c:pt>
                <c:pt idx="7">
                  <c:v>0.25287075576346896</c:v>
                </c:pt>
                <c:pt idx="8">
                  <c:v>0.33596116095735584</c:v>
                </c:pt>
                <c:pt idx="9">
                  <c:v>0.41610220083116067</c:v>
                </c:pt>
                <c:pt idx="10">
                  <c:v>0.48739182226438388</c:v>
                </c:pt>
                <c:pt idx="11">
                  <c:v>0.54652113577166295</c:v>
                </c:pt>
                <c:pt idx="12">
                  <c:v>0.59267237553388952</c:v>
                </c:pt>
                <c:pt idx="13">
                  <c:v>0.62683596450535606</c:v>
                </c:pt>
                <c:pt idx="14">
                  <c:v>0.65098182663181059</c:v>
                </c:pt>
                <c:pt idx="15">
                  <c:v>0.66736921843921537</c:v>
                </c:pt>
                <c:pt idx="16">
                  <c:v>0.67810197543662665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779-45CC-892E-4B697AB22C46}"/>
            </c:ext>
          </c:extLst>
        </c:ser>
        <c:ser>
          <c:idx val="7"/>
          <c:order val="7"/>
          <c:tx>
            <c:v>0.8</c:v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first_part_rho!$G$5:$G$21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first_part_rho!$P$5:$P$21</c:f>
              <c:numCache>
                <c:formatCode>General</c:formatCode>
                <c:ptCount val="17"/>
                <c:pt idx="0">
                  <c:v>1.4792299832123142E-3</c:v>
                </c:pt>
                <c:pt idx="1">
                  <c:v>5.6236751489784891E-3</c:v>
                </c:pt>
                <c:pt idx="2">
                  <c:v>1.6463949579291832E-2</c:v>
                </c:pt>
                <c:pt idx="3">
                  <c:v>3.9025965710024674E-2</c:v>
                </c:pt>
                <c:pt idx="4">
                  <c:v>7.7898920427139723E-2</c:v>
                </c:pt>
                <c:pt idx="5">
                  <c:v>0.13510429218050068</c:v>
                </c:pt>
                <c:pt idx="6">
                  <c:v>0.2088321053401625</c:v>
                </c:pt>
                <c:pt idx="7">
                  <c:v>0.29375944234947271</c:v>
                </c:pt>
                <c:pt idx="8">
                  <c:v>0.38265821976803815</c:v>
                </c:pt>
                <c:pt idx="9">
                  <c:v>0.46838682825452477</c:v>
                </c:pt>
                <c:pt idx="10">
                  <c:v>0.54542150099630149</c:v>
                </c:pt>
                <c:pt idx="11">
                  <c:v>0.61054291488019352</c:v>
                </c:pt>
                <c:pt idx="12">
                  <c:v>0.66275083755870512</c:v>
                </c:pt>
                <c:pt idx="13">
                  <c:v>0.70271704194040652</c:v>
                </c:pt>
                <c:pt idx="14">
                  <c:v>0.73210216289147134</c:v>
                </c:pt>
                <c:pt idx="15">
                  <c:v>0.75295737423125908</c:v>
                </c:pt>
                <c:pt idx="16">
                  <c:v>0.76730661853179072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779-45CC-892E-4B697AB22C46}"/>
            </c:ext>
          </c:extLst>
        </c:ser>
        <c:ser>
          <c:idx val="8"/>
          <c:order val="8"/>
          <c:tx>
            <c:v>0.9</c:v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first_part_rho!$G$5:$G$21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first_part_rho!$Q$5:$Q$21</c:f>
              <c:numCache>
                <c:formatCode>General</c:formatCode>
                <c:ptCount val="17"/>
                <c:pt idx="0">
                  <c:v>2.742313900181243E-3</c:v>
                </c:pt>
                <c:pt idx="1">
                  <c:v>9.1231525678742362E-3</c:v>
                </c:pt>
                <c:pt idx="2">
                  <c:v>2.4057851465664689E-2</c:v>
                </c:pt>
                <c:pt idx="3">
                  <c:v>5.2579361449743296E-2</c:v>
                </c:pt>
                <c:pt idx="4">
                  <c:v>9.8621140558167994E-2</c:v>
                </c:pt>
                <c:pt idx="5">
                  <c:v>0.16322605204399809</c:v>
                </c:pt>
                <c:pt idx="6">
                  <c:v>0.24380474754909542</c:v>
                </c:pt>
                <c:pt idx="7">
                  <c:v>0.33476899762460488</c:v>
                </c:pt>
                <c:pt idx="8">
                  <c:v>0.42909594584950783</c:v>
                </c:pt>
                <c:pt idx="9">
                  <c:v>0.5200470479945416</c:v>
                </c:pt>
                <c:pt idx="10">
                  <c:v>0.60242046033683738</c:v>
                </c:pt>
                <c:pt idx="11">
                  <c:v>0.67309416261096167</c:v>
                </c:pt>
                <c:pt idx="12">
                  <c:v>0.73094735333031413</c:v>
                </c:pt>
                <c:pt idx="13">
                  <c:v>0.776407581462356</c:v>
                </c:pt>
                <c:pt idx="14">
                  <c:v>0.81087590504535045</c:v>
                </c:pt>
                <c:pt idx="15">
                  <c:v>0.83620516746271689</c:v>
                </c:pt>
                <c:pt idx="16">
                  <c:v>0.85431448147951738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779-45CC-892E-4B697AB22C46}"/>
            </c:ext>
          </c:extLst>
        </c:ser>
        <c:ser>
          <c:idx val="9"/>
          <c:order val="9"/>
          <c:tx>
            <c:v>1</c:v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first_part_rho!$G$5:$G$21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first_part_rho!$R$5:$R$21</c:f>
              <c:numCache>
                <c:formatCode>General</c:formatCode>
                <c:ptCount val="17"/>
                <c:pt idx="0">
                  <c:v>4.5595912570109316E-3</c:v>
                </c:pt>
                <c:pt idx="1">
                  <c:v>1.3628210187071797E-2</c:v>
                </c:pt>
                <c:pt idx="2">
                  <c:v>3.3041361033821035E-2</c:v>
                </c:pt>
                <c:pt idx="3">
                  <c:v>6.7641543932963441E-2</c:v>
                </c:pt>
                <c:pt idx="4">
                  <c:v>0.12065171933845739</c:v>
                </c:pt>
                <c:pt idx="5">
                  <c:v>0.19224806199408723</c:v>
                </c:pt>
                <c:pt idx="6">
                  <c:v>0.2792301046204449</c:v>
                </c:pt>
                <c:pt idx="7">
                  <c:v>0.37584742260070186</c:v>
                </c:pt>
                <c:pt idx="8">
                  <c:v>0.47528450546914641</c:v>
                </c:pt>
                <c:pt idx="9">
                  <c:v>0.5711526257442161</c:v>
                </c:pt>
                <c:pt idx="10">
                  <c:v>0.65852844532273402</c:v>
                </c:pt>
                <c:pt idx="11">
                  <c:v>0.73438858241015237</c:v>
                </c:pt>
                <c:pt idx="12">
                  <c:v>0.79753296736124069</c:v>
                </c:pt>
                <c:pt idx="13">
                  <c:v>0.84819982584634879</c:v>
                </c:pt>
                <c:pt idx="14">
                  <c:v>0.88757319713568383</c:v>
                </c:pt>
                <c:pt idx="15">
                  <c:v>0.91732436651684779</c:v>
                </c:pt>
                <c:pt idx="16">
                  <c:v>0.93925858365570525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779-45CC-892E-4B697AB22C46}"/>
            </c:ext>
          </c:extLst>
        </c:ser>
        <c:ser>
          <c:idx val="10"/>
          <c:order val="10"/>
          <c:tx>
            <c:v>2</c:v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first_part_rho!$G$5:$G$21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first_part_rho!$S$5:$S$21</c:f>
              <c:numCache>
                <c:formatCode>General</c:formatCode>
                <c:ptCount val="17"/>
                <c:pt idx="0">
                  <c:v>5.9353081456012938E-2</c:v>
                </c:pt>
                <c:pt idx="1">
                  <c:v>0.10879243138680189</c:v>
                </c:pt>
                <c:pt idx="2">
                  <c:v>0.17932080685197074</c:v>
                </c:pt>
                <c:pt idx="3">
                  <c:v>0.27119588189475019</c:v>
                </c:pt>
                <c:pt idx="4">
                  <c:v>0.38226402136740828</c:v>
                </c:pt>
                <c:pt idx="5">
                  <c:v>0.50846001160439569</c:v>
                </c:pt>
                <c:pt idx="6">
                  <c:v>0.64458771564347106</c:v>
                </c:pt>
                <c:pt idx="7">
                  <c:v>0.78513403617493838</c:v>
                </c:pt>
                <c:pt idx="8">
                  <c:v>0.92494293545844164</c:v>
                </c:pt>
                <c:pt idx="9">
                  <c:v>1.0596687970369523</c:v>
                </c:pt>
                <c:pt idx="10">
                  <c:v>1.1860034685036835</c:v>
                </c:pt>
                <c:pt idx="11">
                  <c:v>1.301716483822899</c:v>
                </c:pt>
                <c:pt idx="12">
                  <c:v>1.4055657274099254</c:v>
                </c:pt>
                <c:pt idx="13">
                  <c:v>1.4971347861958171</c:v>
                </c:pt>
                <c:pt idx="14">
                  <c:v>1.5766424137341921</c:v>
                </c:pt>
                <c:pt idx="15">
                  <c:v>1.6447556479755494</c:v>
                </c:pt>
                <c:pt idx="16">
                  <c:v>1.7024252108865094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779-45CC-892E-4B697AB22C46}"/>
            </c:ext>
          </c:extLst>
        </c:ser>
        <c:ser>
          <c:idx val="11"/>
          <c:order val="11"/>
          <c:tx>
            <c:v>3</c:v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first_part_rho!$G$5:$G$21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first_part_rho!$T$5:$T$21</c:f>
              <c:numCache>
                <c:formatCode>General</c:formatCode>
                <c:ptCount val="17"/>
                <c:pt idx="0">
                  <c:v>0.17245259544138369</c:v>
                </c:pt>
                <c:pt idx="1">
                  <c:v>0.26706226544028677</c:v>
                </c:pt>
                <c:pt idx="2">
                  <c:v>0.38476487533043752</c:v>
                </c:pt>
                <c:pt idx="3">
                  <c:v>0.52273981099216771</c:v>
                </c:pt>
                <c:pt idx="4">
                  <c:v>0.67677547849775832</c:v>
                </c:pt>
                <c:pt idx="5">
                  <c:v>0.84192775036698542</c:v>
                </c:pt>
                <c:pt idx="6">
                  <c:v>1.0131166738002781</c:v>
                </c:pt>
                <c:pt idx="7">
                  <c:v>1.1855867137549208</c:v>
                </c:pt>
                <c:pt idx="8">
                  <c:v>1.3552089139551935</c:v>
                </c:pt>
                <c:pt idx="9">
                  <c:v>1.5186376940705391</c:v>
                </c:pt>
                <c:pt idx="10">
                  <c:v>1.6733520389609637</c:v>
                </c:pt>
                <c:pt idx="11">
                  <c:v>1.8176154213669029</c:v>
                </c:pt>
                <c:pt idx="12">
                  <c:v>1.9503860096125631</c:v>
                </c:pt>
                <c:pt idx="13">
                  <c:v>2.071202520027601</c:v>
                </c:pt>
                <c:pt idx="14">
                  <c:v>2.1800640774968918</c:v>
                </c:pt>
                <c:pt idx="15">
                  <c:v>2.2773160793645628</c:v>
                </c:pt>
                <c:pt idx="16">
                  <c:v>2.363548932826006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779-45CC-892E-4B697AB22C46}"/>
            </c:ext>
          </c:extLst>
        </c:ser>
        <c:ser>
          <c:idx val="12"/>
          <c:order val="12"/>
          <c:tx>
            <c:v>4</c:v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first_part_rho!$G$5:$G$21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first_part_rho!$U$5:$U$21</c:f>
              <c:numCache>
                <c:formatCode>General</c:formatCode>
                <c:ptCount val="17"/>
                <c:pt idx="0">
                  <c:v>0.32377152020462435</c:v>
                </c:pt>
                <c:pt idx="1">
                  <c:v>0.45966579050016665</c:v>
                </c:pt>
                <c:pt idx="2">
                  <c:v>0.6174994858488011</c:v>
                </c:pt>
                <c:pt idx="3">
                  <c:v>0.79297672467890534</c:v>
                </c:pt>
                <c:pt idx="4">
                  <c:v>0.98121354844747444</c:v>
                </c:pt>
                <c:pt idx="5">
                  <c:v>1.1772513441976242</c:v>
                </c:pt>
                <c:pt idx="6">
                  <c:v>1.3764368253482542</c:v>
                </c:pt>
                <c:pt idx="7">
                  <c:v>1.5746664906933414</c:v>
                </c:pt>
                <c:pt idx="8">
                  <c:v>1.7685142165444596</c:v>
                </c:pt>
                <c:pt idx="9">
                  <c:v>1.9552688246325389</c:v>
                </c:pt>
                <c:pt idx="10">
                  <c:v>2.1329088821197066</c:v>
                </c:pt>
                <c:pt idx="11">
                  <c:v>2.3000383938445146</c:v>
                </c:pt>
                <c:pt idx="12">
                  <c:v>2.4558019526519712</c:v>
                </c:pt>
                <c:pt idx="13">
                  <c:v>2.5997927799092873</c:v>
                </c:pt>
                <c:pt idx="14">
                  <c:v>2.7319626305478524</c:v>
                </c:pt>
                <c:pt idx="15">
                  <c:v>2.8525390074635313</c:v>
                </c:pt>
                <c:pt idx="16">
                  <c:v>2.9619525249901475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779-45CC-892E-4B697AB22C46}"/>
            </c:ext>
          </c:extLst>
        </c:ser>
        <c:ser>
          <c:idx val="13"/>
          <c:order val="13"/>
          <c:tx>
            <c:v>5</c:v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first_part_rho!$G$5:$G$21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first_part_rho!$V$5:$V$21</c:f>
              <c:numCache>
                <c:formatCode>General</c:formatCode>
                <c:ptCount val="17"/>
                <c:pt idx="0">
                  <c:v>0.4989815054427264</c:v>
                </c:pt>
                <c:pt idx="1">
                  <c:v>0.67144050131601485</c:v>
                </c:pt>
                <c:pt idx="2">
                  <c:v>0.8636305114580537</c:v>
                </c:pt>
                <c:pt idx="3">
                  <c:v>1.070610955886903</c:v>
                </c:pt>
                <c:pt idx="4">
                  <c:v>1.2873783982233833</c:v>
                </c:pt>
                <c:pt idx="5">
                  <c:v>1.509219653951388</c:v>
                </c:pt>
                <c:pt idx="6">
                  <c:v>1.7319351169097623</c:v>
                </c:pt>
                <c:pt idx="7">
                  <c:v>1.9519550649892421</c:v>
                </c:pt>
                <c:pt idx="8">
                  <c:v>2.1663757703673947</c:v>
                </c:pt>
                <c:pt idx="9">
                  <c:v>2.3729405021947212</c:v>
                </c:pt>
                <c:pt idx="10">
                  <c:v>2.5699862244155023</c:v>
                </c:pt>
                <c:pt idx="11">
                  <c:v>2.7563718801831256</c:v>
                </c:pt>
                <c:pt idx="12">
                  <c:v>2.9313996071778941</c:v>
                </c:pt>
                <c:pt idx="13">
                  <c:v>3.0947364560622197</c:v>
                </c:pt>
                <c:pt idx="14">
                  <c:v>3.2463412741759061</c:v>
                </c:pt>
                <c:pt idx="15">
                  <c:v>3.3863992954318465</c:v>
                </c:pt>
                <c:pt idx="16">
                  <c:v>3.5152655093388363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779-45CC-892E-4B697AB22C46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3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5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8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9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1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4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</c:bandFmts>
        <c:axId val="1178443855"/>
        <c:axId val="1178442191"/>
        <c:axId val="1317004847"/>
      </c:surface3DChart>
      <c:catAx>
        <c:axId val="117844385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Stock price</a:t>
                </a:r>
              </a:p>
            </c:rich>
          </c:tx>
          <c:layout>
            <c:manualLayout>
              <c:xMode val="edge"/>
              <c:yMode val="edge"/>
              <c:x val="0.74940581175216958"/>
              <c:y val="0.4792315666039999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8442191"/>
        <c:crosses val="autoZero"/>
        <c:auto val="1"/>
        <c:lblAlgn val="ctr"/>
        <c:lblOffset val="100"/>
        <c:noMultiLvlLbl val="0"/>
      </c:catAx>
      <c:valAx>
        <c:axId val="11784421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Rho</a:t>
                </a:r>
              </a:p>
            </c:rich>
          </c:tx>
          <c:layout>
            <c:manualLayout>
              <c:xMode val="edge"/>
              <c:yMode val="edge"/>
              <c:x val="6.8960885097696115E-2"/>
              <c:y val="0.3221477823746608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8443855"/>
        <c:crosses val="autoZero"/>
        <c:crossBetween val="midCat"/>
      </c:valAx>
      <c:serAx>
        <c:axId val="1317004847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maturity</a:t>
                </a:r>
              </a:p>
            </c:rich>
          </c:tx>
          <c:layout>
            <c:manualLayout>
              <c:xMode val="edge"/>
              <c:yMode val="edge"/>
              <c:x val="0.38428659959171768"/>
              <c:y val="0.69141836084048824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8442191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Rho (Volatility = 0.3)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0"/>
      <c:rotY val="280"/>
      <c:rAngAx val="0"/>
      <c:perspective val="11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9.3086710197810646E-2"/>
          <c:y val="1.9714173743999096E-2"/>
          <c:w val="0.86176712173568237"/>
          <c:h val="0.7374934503932179"/>
        </c:manualLayout>
      </c:layout>
      <c:surface3DChart>
        <c:wireframe val="0"/>
        <c:ser>
          <c:idx val="0"/>
          <c:order val="0"/>
          <c:tx>
            <c:v>0.1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first_part_rho!$Y$5:$Y$21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first_part_rho!$AA$5:$AA$21</c:f>
              <c:numCache>
                <c:formatCode>General</c:formatCode>
                <c:ptCount val="17"/>
                <c:pt idx="0">
                  <c:v>2.9526232275500711E-9</c:v>
                </c:pt>
                <c:pt idx="1">
                  <c:v>2.3477394326331548E-7</c:v>
                </c:pt>
                <c:pt idx="2">
                  <c:v>7.3280508906908516E-6</c:v>
                </c:pt>
                <c:pt idx="3">
                  <c:v>1.0716304021740663E-4</c:v>
                </c:pt>
                <c:pt idx="4">
                  <c:v>8.4379549560306417E-4</c:v>
                </c:pt>
                <c:pt idx="5">
                  <c:v>4.0019706155343393E-3</c:v>
                </c:pt>
                <c:pt idx="6">
                  <c:v>1.2546393350198692E-2</c:v>
                </c:pt>
                <c:pt idx="7">
                  <c:v>2.8149490988691562E-2</c:v>
                </c:pt>
                <c:pt idx="8">
                  <c:v>4.8480002263733495E-2</c:v>
                </c:pt>
                <c:pt idx="9">
                  <c:v>6.8277831133797179E-2</c:v>
                </c:pt>
                <c:pt idx="10">
                  <c:v>8.3258594130054389E-2</c:v>
                </c:pt>
                <c:pt idx="11">
                  <c:v>9.2362125771932119E-2</c:v>
                </c:pt>
                <c:pt idx="12">
                  <c:v>9.6931155243772646E-2</c:v>
                </c:pt>
                <c:pt idx="13">
                  <c:v>9.8871106655175345E-2</c:v>
                </c:pt>
                <c:pt idx="14">
                  <c:v>9.9582415229851867E-2</c:v>
                </c:pt>
                <c:pt idx="15">
                  <c:v>9.98116842069902E-2</c:v>
                </c:pt>
                <c:pt idx="16">
                  <c:v>9.9877653195750885E-2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B7-40F1-9693-387DF594C1C3}"/>
            </c:ext>
          </c:extLst>
        </c:ser>
        <c:ser>
          <c:idx val="1"/>
          <c:order val="1"/>
          <c:tx>
            <c:v>0.2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first_part_rho!$Y$5:$Y$21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first_part_rho!$AB$5:$AB$21</c:f>
              <c:numCache>
                <c:formatCode>General</c:formatCode>
                <c:ptCount val="17"/>
                <c:pt idx="0">
                  <c:v>1.1332530343148013E-5</c:v>
                </c:pt>
                <c:pt idx="1">
                  <c:v>1.1000326823056661E-4</c:v>
                </c:pt>
                <c:pt idx="2">
                  <c:v>6.7012653150436694E-4</c:v>
                </c:pt>
                <c:pt idx="3">
                  <c:v>2.8005079404176507E-3</c:v>
                </c:pt>
                <c:pt idx="4">
                  <c:v>8.6101600896775782E-3</c:v>
                </c:pt>
                <c:pt idx="5">
                  <c:v>2.0599015086440079E-2</c:v>
                </c:pt>
                <c:pt idx="6">
                  <c:v>4.015156999077784E-2</c:v>
                </c:pt>
                <c:pt idx="7">
                  <c:v>6.6260425961542996E-2</c:v>
                </c:pt>
                <c:pt idx="8">
                  <c:v>9.5647445393394939E-2</c:v>
                </c:pt>
                <c:pt idx="9">
                  <c:v>0.12420817808937204</c:v>
                </c:pt>
                <c:pt idx="10">
                  <c:v>0.14866303408782128</c:v>
                </c:pt>
                <c:pt idx="11">
                  <c:v>0.16742535793708613</c:v>
                </c:pt>
                <c:pt idx="12">
                  <c:v>0.18050952682701799</c:v>
                </c:pt>
                <c:pt idx="13">
                  <c:v>0.1889046884123747</c:v>
                </c:pt>
                <c:pt idx="14">
                  <c:v>0.19391259558754664</c:v>
                </c:pt>
                <c:pt idx="15">
                  <c:v>0.1967148907920642</c:v>
                </c:pt>
                <c:pt idx="16">
                  <c:v>0.1981972645855174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B7-40F1-9693-387DF594C1C3}"/>
            </c:ext>
          </c:extLst>
        </c:ser>
        <c:ser>
          <c:idx val="2"/>
          <c:order val="2"/>
          <c:tx>
            <c:v>0.3</c:v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first_part_rho!$Y$5:$Y$21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first_part_rho!$AC$5:$AC$21</c:f>
              <c:numCache>
                <c:formatCode>General</c:formatCode>
                <c:ptCount val="17"/>
                <c:pt idx="0">
                  <c:v>2.2587447202926817E-4</c:v>
                </c:pt>
                <c:pt idx="1">
                  <c:v>1.0828646304118204E-3</c:v>
                </c:pt>
                <c:pt idx="2">
                  <c:v>3.8055475002660962E-3</c:v>
                </c:pt>
                <c:pt idx="3">
                  <c:v>1.0404743079329298E-2</c:v>
                </c:pt>
                <c:pt idx="4">
                  <c:v>2.3188215227327152E-2</c:v>
                </c:pt>
                <c:pt idx="5">
                  <c:v>4.3722556636840146E-2</c:v>
                </c:pt>
                <c:pt idx="6">
                  <c:v>7.1895756392573701E-2</c:v>
                </c:pt>
                <c:pt idx="7">
                  <c:v>0.10571300384455705</c:v>
                </c:pt>
                <c:pt idx="8">
                  <c:v>0.14193093045907348</c:v>
                </c:pt>
                <c:pt idx="9">
                  <c:v>0.17710675985594912</c:v>
                </c:pt>
                <c:pt idx="10">
                  <c:v>0.20850986007567904</c:v>
                </c:pt>
                <c:pt idx="11">
                  <c:v>0.23457335932437789</c:v>
                </c:pt>
                <c:pt idx="12">
                  <c:v>0.25487739366774992</c:v>
                </c:pt>
                <c:pt idx="13">
                  <c:v>0.26984500276398515</c:v>
                </c:pt>
                <c:pt idx="14">
                  <c:v>0.28035878249676893</c:v>
                </c:pt>
                <c:pt idx="15">
                  <c:v>0.28743809080910765</c:v>
                </c:pt>
                <c:pt idx="16">
                  <c:v>0.29203093523689749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EB7-40F1-9693-387DF594C1C3}"/>
            </c:ext>
          </c:extLst>
        </c:ser>
        <c:ser>
          <c:idx val="3"/>
          <c:order val="3"/>
          <c:tx>
            <c:v>0.4</c:v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first_part_rho!$Y$5:$Y$21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first_part_rho!$AD$5:$AD$21</c:f>
              <c:numCache>
                <c:formatCode>General</c:formatCode>
                <c:ptCount val="17"/>
                <c:pt idx="0">
                  <c:v>1.1301837002767319E-3</c:v>
                </c:pt>
                <c:pt idx="1">
                  <c:v>3.7982446397381545E-3</c:v>
                </c:pt>
                <c:pt idx="2">
                  <c:v>1.0108518694220895E-2</c:v>
                </c:pt>
                <c:pt idx="3">
                  <c:v>2.2277486403587093E-2</c:v>
                </c:pt>
                <c:pt idx="4">
                  <c:v>4.2101668239852952E-2</c:v>
                </c:pt>
                <c:pt idx="5">
                  <c:v>7.0158187896353461E-2</c:v>
                </c:pt>
                <c:pt idx="6">
                  <c:v>0.10543607299579148</c:v>
                </c:pt>
                <c:pt idx="7">
                  <c:v>0.14556689094577391</c:v>
                </c:pt>
                <c:pt idx="8">
                  <c:v>0.18748461687370585</c:v>
                </c:pt>
                <c:pt idx="9">
                  <c:v>0.22818237236294167</c:v>
                </c:pt>
                <c:pt idx="10">
                  <c:v>0.26528546066729886</c:v>
                </c:pt>
                <c:pt idx="11">
                  <c:v>0.29731963677583234</c:v>
                </c:pt>
                <c:pt idx="12">
                  <c:v>0.32370108870629927</c:v>
                </c:pt>
                <c:pt idx="13">
                  <c:v>0.34455132914714243</c:v>
                </c:pt>
                <c:pt idx="14">
                  <c:v>0.36044808482034152</c:v>
                </c:pt>
                <c:pt idx="15">
                  <c:v>0.37219240872194909</c:v>
                </c:pt>
                <c:pt idx="16">
                  <c:v>0.38063235204176132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EB7-40F1-9693-387DF594C1C3}"/>
            </c:ext>
          </c:extLst>
        </c:ser>
        <c:ser>
          <c:idx val="4"/>
          <c:order val="4"/>
          <c:tx>
            <c:v>0.5</c:v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first_part_rho!$Y$5:$Y$21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first_part_rho!$AE$5:$AE$21</c:f>
              <c:numCache>
                <c:formatCode>General</c:formatCode>
                <c:ptCount val="17"/>
                <c:pt idx="0">
                  <c:v>3.1727274899903948E-3</c:v>
                </c:pt>
                <c:pt idx="1">
                  <c:v>8.6022397763405953E-3</c:v>
                </c:pt>
                <c:pt idx="2">
                  <c:v>1.9341199007050006E-2</c:v>
                </c:pt>
                <c:pt idx="3">
                  <c:v>3.7375642733991826E-2</c:v>
                </c:pt>
                <c:pt idx="4">
                  <c:v>6.3836239230238859E-2</c:v>
                </c:pt>
                <c:pt idx="5">
                  <c:v>9.8529677259979437E-2</c:v>
                </c:pt>
                <c:pt idx="6">
                  <c:v>0.13991727530535455</c:v>
                </c:pt>
                <c:pt idx="7">
                  <c:v>0.18549891582551309</c:v>
                </c:pt>
                <c:pt idx="8">
                  <c:v>0.23239821537606056</c:v>
                </c:pt>
                <c:pt idx="9">
                  <c:v>0.27792320019220718</c:v>
                </c:pt>
                <c:pt idx="10">
                  <c:v>0.31995430199928421</c:v>
                </c:pt>
                <c:pt idx="11">
                  <c:v>0.35711501203565793</c:v>
                </c:pt>
                <c:pt idx="12">
                  <c:v>0.38875814895490307</c:v>
                </c:pt>
                <c:pt idx="13">
                  <c:v>0.41483583425713461</c:v>
                </c:pt>
                <c:pt idx="14">
                  <c:v>0.4357217606881495</c:v>
                </c:pt>
                <c:pt idx="15">
                  <c:v>0.45203642785625414</c:v>
                </c:pt>
                <c:pt idx="16">
                  <c:v>0.46450375839346553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EB7-40F1-9693-387DF594C1C3}"/>
            </c:ext>
          </c:extLst>
        </c:ser>
        <c:ser>
          <c:idx val="5"/>
          <c:order val="5"/>
          <c:tx>
            <c:v>0.6</c:v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first_part_rho!$Y$5:$Y$21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first_part_rho!$AF$5:$AF$21</c:f>
              <c:numCache>
                <c:formatCode>General</c:formatCode>
                <c:ptCount val="17"/>
                <c:pt idx="0">
                  <c:v>6.5908885371946321E-3</c:v>
                </c:pt>
                <c:pt idx="1">
                  <c:v>1.5469602201022619E-2</c:v>
                </c:pt>
                <c:pt idx="2">
                  <c:v>3.104568855619053E-2</c:v>
                </c:pt>
                <c:pt idx="3">
                  <c:v>5.4887827575266564E-2</c:v>
                </c:pt>
                <c:pt idx="4">
                  <c:v>8.7502447732684355E-2</c:v>
                </c:pt>
                <c:pt idx="5">
                  <c:v>0.12813282697945419</c:v>
                </c:pt>
                <c:pt idx="6">
                  <c:v>0.1749273970506767</c:v>
                </c:pt>
                <c:pt idx="7">
                  <c:v>0.22536096616038254</c:v>
                </c:pt>
                <c:pt idx="8">
                  <c:v>0.2767326641821381</c:v>
                </c:pt>
                <c:pt idx="9">
                  <c:v>0.32659213280179167</c:v>
                </c:pt>
                <c:pt idx="10">
                  <c:v>0.37301467373776581</c:v>
                </c:pt>
                <c:pt idx="11">
                  <c:v>0.41471363169847436</c:v>
                </c:pt>
                <c:pt idx="12">
                  <c:v>0.45102197776462982</c:v>
                </c:pt>
                <c:pt idx="13">
                  <c:v>0.48179196650195977</c:v>
                </c:pt>
                <c:pt idx="14">
                  <c:v>0.50725932380965366</c:v>
                </c:pt>
                <c:pt idx="15">
                  <c:v>0.5279063993891423</c:v>
                </c:pt>
                <c:pt idx="16">
                  <c:v>0.54434466906661749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EB7-40F1-9693-387DF594C1C3}"/>
            </c:ext>
          </c:extLst>
        </c:ser>
        <c:ser>
          <c:idx val="6"/>
          <c:order val="6"/>
          <c:tx>
            <c:v>0.7</c:v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first_part_rho!$Y$5:$Y$21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first_part_rho!$AG$5:$AG$21</c:f>
              <c:numCache>
                <c:formatCode>General</c:formatCode>
                <c:ptCount val="17"/>
                <c:pt idx="0">
                  <c:v>1.1449306418409964E-2</c:v>
                </c:pt>
                <c:pt idx="1">
                  <c:v>2.4222946495275673E-2</c:v>
                </c:pt>
                <c:pt idx="2">
                  <c:v>4.4784244022574062E-2</c:v>
                </c:pt>
                <c:pt idx="3">
                  <c:v>7.4233901250503012E-2</c:v>
                </c:pt>
                <c:pt idx="4">
                  <c:v>0.11254687988484213</c:v>
                </c:pt>
                <c:pt idx="5">
                  <c:v>0.15855986685171214</c:v>
                </c:pt>
                <c:pt idx="6">
                  <c:v>0.21023581921994061</c:v>
                </c:pt>
                <c:pt idx="7">
                  <c:v>0.26507480350440915</c:v>
                </c:pt>
                <c:pt idx="8">
                  <c:v>0.32053299834482402</c:v>
                </c:pt>
                <c:pt idx="9">
                  <c:v>0.37435336997194235</c:v>
                </c:pt>
                <c:pt idx="10">
                  <c:v>0.42476670407640099</c:v>
                </c:pt>
                <c:pt idx="11">
                  <c:v>0.47056644807114706</c:v>
                </c:pt>
                <c:pt idx="12">
                  <c:v>0.51108637489139319</c:v>
                </c:pt>
                <c:pt idx="13">
                  <c:v>0.54611808117523786</c:v>
                </c:pt>
                <c:pt idx="14">
                  <c:v>0.57580182729458596</c:v>
                </c:pt>
                <c:pt idx="15">
                  <c:v>0.6005154196414676</c:v>
                </c:pt>
                <c:pt idx="16">
                  <c:v>0.62077618313338978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EB7-40F1-9693-387DF594C1C3}"/>
            </c:ext>
          </c:extLst>
        </c:ser>
        <c:ser>
          <c:idx val="7"/>
          <c:order val="7"/>
          <c:tx>
            <c:v>0.8</c:v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first_part_rho!$Y$5:$Y$21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first_part_rho!$AH$5:$AH$21</c:f>
              <c:numCache>
                <c:formatCode>General</c:formatCode>
                <c:ptCount val="17"/>
                <c:pt idx="0">
                  <c:v>1.7711463627698015E-2</c:v>
                </c:pt>
                <c:pt idx="1">
                  <c:v>3.4644139974960214E-2</c:v>
                </c:pt>
                <c:pt idx="2">
                  <c:v>6.0191244882771701E-2</c:v>
                </c:pt>
                <c:pt idx="3">
                  <c:v>9.4998591027931858E-2</c:v>
                </c:pt>
                <c:pt idx="4">
                  <c:v>0.13860489518231894</c:v>
                </c:pt>
                <c:pt idx="5">
                  <c:v>0.1895536543143396</c:v>
                </c:pt>
                <c:pt idx="6">
                  <c:v>0.24570063770440545</c:v>
                </c:pt>
                <c:pt idx="7">
                  <c:v>0.30459559705270878</c:v>
                </c:pt>
                <c:pt idx="8">
                  <c:v>0.3638343426492136</c:v>
                </c:pt>
                <c:pt idx="9">
                  <c:v>0.42131936325461394</c:v>
                </c:pt>
                <c:pt idx="10">
                  <c:v>0.47540950801739912</c:v>
                </c:pt>
                <c:pt idx="11">
                  <c:v>0.52496929542260928</c:v>
                </c:pt>
                <c:pt idx="12">
                  <c:v>0.56934359886945329</c:v>
                </c:pt>
                <c:pt idx="13">
                  <c:v>0.6082867935844396</c:v>
                </c:pt>
                <c:pt idx="14">
                  <c:v>0.64187163619302945</c:v>
                </c:pt>
                <c:pt idx="15">
                  <c:v>0.67039633112636232</c:v>
                </c:pt>
                <c:pt idx="16">
                  <c:v>0.69430119356071596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EB7-40F1-9693-387DF594C1C3}"/>
            </c:ext>
          </c:extLst>
        </c:ser>
        <c:ser>
          <c:idx val="8"/>
          <c:order val="8"/>
          <c:tx>
            <c:v>0.9</c:v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first_part_rho!$Y$5:$Y$21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first_part_rho!$AI$5:$AI$21</c:f>
              <c:numCache>
                <c:formatCode>General</c:formatCode>
                <c:ptCount val="17"/>
                <c:pt idx="0">
                  <c:v>2.5290931687880013E-2</c:v>
                </c:pt>
                <c:pt idx="1">
                  <c:v>4.652006501990831E-2</c:v>
                </c:pt>
                <c:pt idx="2">
                  <c:v>7.6972593895436286E-2</c:v>
                </c:pt>
                <c:pt idx="3">
                  <c:v>0.11687876444341773</c:v>
                </c:pt>
                <c:pt idx="4">
                  <c:v>0.16542451185364437</c:v>
                </c:pt>
                <c:pt idx="5">
                  <c:v>0.22094174145759743</c:v>
                </c:pt>
                <c:pt idx="6">
                  <c:v>0.28122869505264242</c:v>
                </c:pt>
                <c:pt idx="7">
                  <c:v>0.34389641378661545</c:v>
                </c:pt>
                <c:pt idx="8">
                  <c:v>0.40666514264759984</c:v>
                </c:pt>
                <c:pt idx="9">
                  <c:v>0.46757213487895111</c:v>
                </c:pt>
                <c:pt idx="10">
                  <c:v>0.52508429600813011</c:v>
                </c:pt>
                <c:pt idx="11">
                  <c:v>0.57812941191026346</c:v>
                </c:pt>
                <c:pt idx="12">
                  <c:v>0.62606865589008986</c:v>
                </c:pt>
                <c:pt idx="13">
                  <c:v>0.66863385045386048</c:v>
                </c:pt>
                <c:pt idx="14">
                  <c:v>0.70584918287508258</c:v>
                </c:pt>
                <c:pt idx="15">
                  <c:v>0.73795159861052295</c:v>
                </c:pt>
                <c:pt idx="16">
                  <c:v>0.76531872393256073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EB7-40F1-9693-387DF594C1C3}"/>
            </c:ext>
          </c:extLst>
        </c:ser>
        <c:ser>
          <c:idx val="9"/>
          <c:order val="9"/>
          <c:tx>
            <c:v>1</c:v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first_part_rho!$Y$5:$Y$21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first_part_rho!$AJ$5:$AJ$21</c:f>
              <c:numCache>
                <c:formatCode>General</c:formatCode>
                <c:ptCount val="17"/>
                <c:pt idx="0">
                  <c:v>3.4081262074599161E-2</c:v>
                </c:pt>
                <c:pt idx="1">
                  <c:v>5.9658621895937708E-2</c:v>
                </c:pt>
                <c:pt idx="2">
                  <c:v>9.4893482029156068E-2</c:v>
                </c:pt>
                <c:pt idx="3">
                  <c:v>0.13964806192115639</c:v>
                </c:pt>
                <c:pt idx="4">
                  <c:v>0.19282474296583746</c:v>
                </c:pt>
                <c:pt idx="5">
                  <c:v>0.25260301138987579</c:v>
                </c:pt>
                <c:pt idx="6">
                  <c:v>0.31675590666078812</c:v>
                </c:pt>
                <c:pt idx="7">
                  <c:v>0.38296069087442108</c:v>
                </c:pt>
                <c:pt idx="8">
                  <c:v>0.44904908466519983</c:v>
                </c:pt>
                <c:pt idx="9">
                  <c:v>0.51317432142978925</c:v>
                </c:pt>
                <c:pt idx="10">
                  <c:v>0.57389622642331117</c:v>
                </c:pt>
                <c:pt idx="11">
                  <c:v>0.6301992394484307</c:v>
                </c:pt>
                <c:pt idx="12">
                  <c:v>0.68146336615181546</c:v>
                </c:pt>
                <c:pt idx="13">
                  <c:v>0.72740739426895162</c:v>
                </c:pt>
                <c:pt idx="14">
                  <c:v>0.76802012118301122</c:v>
                </c:pt>
                <c:pt idx="15">
                  <c:v>0.80349082627409651</c:v>
                </c:pt>
                <c:pt idx="16">
                  <c:v>0.83414598637936632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EB7-40F1-9693-387DF594C1C3}"/>
            </c:ext>
          </c:extLst>
        </c:ser>
        <c:ser>
          <c:idx val="10"/>
          <c:order val="10"/>
          <c:tx>
            <c:v>2</c:v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first_part_rho!$Y$5:$Y$21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first_part_rho!$AK$5:$AK$21</c:f>
              <c:numCache>
                <c:formatCode>General</c:formatCode>
                <c:ptCount val="17"/>
                <c:pt idx="0">
                  <c:v>0.16760740288014708</c:v>
                </c:pt>
                <c:pt idx="1">
                  <c:v>0.23314848276281694</c:v>
                </c:pt>
                <c:pt idx="2">
                  <c:v>0.30833945975697685</c:v>
                </c:pt>
                <c:pt idx="3">
                  <c:v>0.3912877070729931</c:v>
                </c:pt>
                <c:pt idx="4">
                  <c:v>0.47990477205190002</c:v>
                </c:pt>
                <c:pt idx="5">
                  <c:v>0.57209878012749971</c:v>
                </c:pt>
                <c:pt idx="6">
                  <c:v>0.66591346159028808</c:v>
                </c:pt>
                <c:pt idx="7">
                  <c:v>0.75961631172955657</c:v>
                </c:pt>
                <c:pt idx="8">
                  <c:v>0.85174423276303957</c:v>
                </c:pt>
                <c:pt idx="9">
                  <c:v>0.941116891312198</c:v>
                </c:pt>
                <c:pt idx="10">
                  <c:v>1.0268276202708793</c:v>
                </c:pt>
                <c:pt idx="11">
                  <c:v>1.1082201926386068</c:v>
                </c:pt>
                <c:pt idx="12">
                  <c:v>1.1848579476912982</c:v>
                </c:pt>
                <c:pt idx="13">
                  <c:v>1.2564899717066402</c:v>
                </c:pt>
                <c:pt idx="14">
                  <c:v>1.3230175184925788</c:v>
                </c:pt>
                <c:pt idx="15">
                  <c:v>1.3844626580586128</c:v>
                </c:pt>
                <c:pt idx="16">
                  <c:v>1.4409402526215997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EB7-40F1-9693-387DF594C1C3}"/>
            </c:ext>
          </c:extLst>
        </c:ser>
        <c:ser>
          <c:idx val="11"/>
          <c:order val="11"/>
          <c:tx>
            <c:v>3</c:v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first_part_rho!$Y$5:$Y$21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first_part_rho!$AL$5:$AL$21</c:f>
              <c:numCache>
                <c:formatCode>General</c:formatCode>
                <c:ptCount val="17"/>
                <c:pt idx="0">
                  <c:v>0.34347278354932753</c:v>
                </c:pt>
                <c:pt idx="1">
                  <c:v>0.44032078635685484</c:v>
                </c:pt>
                <c:pt idx="2">
                  <c:v>0.54482049449278391</c:v>
                </c:pt>
                <c:pt idx="3">
                  <c:v>0.65478709737318352</c:v>
                </c:pt>
                <c:pt idx="4">
                  <c:v>0.76816408112647405</c:v>
                </c:pt>
                <c:pt idx="5">
                  <c:v>0.88310233648812408</c:v>
                </c:pt>
                <c:pt idx="6">
                  <c:v>0.99800015811264575</c:v>
                </c:pt>
                <c:pt idx="7">
                  <c:v>1.1115151807553352</c:v>
                </c:pt>
                <c:pt idx="8">
                  <c:v>1.2225575387364285</c:v>
                </c:pt>
                <c:pt idx="9">
                  <c:v>1.3302714694210862</c:v>
                </c:pt>
                <c:pt idx="10">
                  <c:v>1.4340106592521729</c:v>
                </c:pt>
                <c:pt idx="11">
                  <c:v>1.5333110283875411</c:v>
                </c:pt>
                <c:pt idx="12">
                  <c:v>1.6278634009613053</c:v>
                </c:pt>
                <c:pt idx="13">
                  <c:v>1.7174875805075749</c:v>
                </c:pt>
                <c:pt idx="14">
                  <c:v>1.80210868841131</c:v>
                </c:pt>
                <c:pt idx="15">
                  <c:v>1.8817361687331504</c:v>
                </c:pt>
                <c:pt idx="16">
                  <c:v>1.9564455630771902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EB7-40F1-9693-387DF594C1C3}"/>
            </c:ext>
          </c:extLst>
        </c:ser>
        <c:ser>
          <c:idx val="12"/>
          <c:order val="12"/>
          <c:tx>
            <c:v>4</c:v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first_part_rho!$Y$5:$Y$21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first_part_rho!$AM$5:$AM$21</c:f>
              <c:numCache>
                <c:formatCode>General</c:formatCode>
                <c:ptCount val="17"/>
                <c:pt idx="0">
                  <c:v>0.53429576659871825</c:v>
                </c:pt>
                <c:pt idx="1">
                  <c:v>0.65612241719610553</c:v>
                </c:pt>
                <c:pt idx="2">
                  <c:v>0.78359786030381173</c:v>
                </c:pt>
                <c:pt idx="3">
                  <c:v>0.91460887943075675</c:v>
                </c:pt>
                <c:pt idx="4">
                  <c:v>1.0472989940256039</c:v>
                </c:pt>
                <c:pt idx="5">
                  <c:v>1.1800840446744412</c:v>
                </c:pt>
                <c:pt idx="6">
                  <c:v>1.3116465975777294</c:v>
                </c:pt>
                <c:pt idx="7">
                  <c:v>1.4409177804367721</c:v>
                </c:pt>
                <c:pt idx="8">
                  <c:v>1.5670525263856452</c:v>
                </c:pt>
                <c:pt idx="9">
                  <c:v>1.6894022005404263</c:v>
                </c:pt>
                <c:pt idx="10">
                  <c:v>1.8074871324670514</c:v>
                </c:pt>
                <c:pt idx="11">
                  <c:v>1.9209705624827618</c:v>
                </c:pt>
                <c:pt idx="12">
                  <c:v>2.0296348209289148</c:v>
                </c:pt>
                <c:pt idx="13">
                  <c:v>2.1333601067150982</c:v>
                </c:pt>
                <c:pt idx="14">
                  <c:v>2.2321059443947862</c:v>
                </c:pt>
                <c:pt idx="15">
                  <c:v>2.3258952257971575</c:v>
                </c:pt>
                <c:pt idx="16">
                  <c:v>2.4148006453738216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EB7-40F1-9693-387DF594C1C3}"/>
            </c:ext>
          </c:extLst>
        </c:ser>
        <c:ser>
          <c:idx val="13"/>
          <c:order val="13"/>
          <c:tx>
            <c:v>5</c:v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first_part_rho!$Y$5:$Y$21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first_part_rho!$AN$5:$AN$21</c:f>
              <c:numCache>
                <c:formatCode>General</c:formatCode>
                <c:ptCount val="17"/>
                <c:pt idx="0">
                  <c:v>0.72913289318308616</c:v>
                </c:pt>
                <c:pt idx="1">
                  <c:v>0.87156514480259184</c:v>
                </c:pt>
                <c:pt idx="2">
                  <c:v>1.0178771687584245</c:v>
                </c:pt>
                <c:pt idx="3">
                  <c:v>1.1661280707499488</c:v>
                </c:pt>
                <c:pt idx="4">
                  <c:v>1.3146822164902674</c:v>
                </c:pt>
                <c:pt idx="5">
                  <c:v>1.4621903371980651</c:v>
                </c:pt>
                <c:pt idx="6">
                  <c:v>1.6075618888968966</c:v>
                </c:pt>
                <c:pt idx="7">
                  <c:v>1.7499340189075157</c:v>
                </c:pt>
                <c:pt idx="8">
                  <c:v>1.8886403749573633</c:v>
                </c:pt>
                <c:pt idx="9">
                  <c:v>2.0231815965757343</c:v>
                </c:pt>
                <c:pt idx="10">
                  <c:v>2.1531984323949449</c:v>
                </c:pt>
                <c:pt idx="11">
                  <c:v>2.2784478679255176</c:v>
                </c:pt>
                <c:pt idx="12">
                  <c:v>2.3987823120714449</c:v>
                </c:pt>
                <c:pt idx="13">
                  <c:v>2.5141316989180638</c:v>
                </c:pt>
                <c:pt idx="14">
                  <c:v>2.624488261615415</c:v>
                </c:pt>
                <c:pt idx="15">
                  <c:v>2.7298936926815593</c:v>
                </c:pt>
                <c:pt idx="16">
                  <c:v>2.8304283969966368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EB7-40F1-9693-387DF594C1C3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3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5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8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9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1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4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</c:bandFmts>
        <c:axId val="2123881616"/>
        <c:axId val="2123882032"/>
        <c:axId val="2132783760"/>
      </c:surface3DChart>
      <c:catAx>
        <c:axId val="21238816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stock price</a:t>
                </a:r>
              </a:p>
            </c:rich>
          </c:tx>
          <c:layout>
            <c:manualLayout>
              <c:xMode val="edge"/>
              <c:yMode val="edge"/>
              <c:x val="0.81413577875936238"/>
              <c:y val="0.5429082293004140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3882032"/>
        <c:crosses val="autoZero"/>
        <c:auto val="1"/>
        <c:lblAlgn val="ctr"/>
        <c:lblOffset val="100"/>
        <c:noMultiLvlLbl val="0"/>
      </c:catAx>
      <c:valAx>
        <c:axId val="2123882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Rho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3881616"/>
        <c:crosses val="autoZero"/>
        <c:crossBetween val="midCat"/>
      </c:valAx>
      <c:serAx>
        <c:axId val="2132783760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maturity</a:t>
                </a:r>
              </a:p>
            </c:rich>
          </c:tx>
          <c:layout>
            <c:manualLayout>
              <c:xMode val="edge"/>
              <c:yMode val="edge"/>
              <c:x val="0.38873055502208576"/>
              <c:y val="0.75549531013927784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3882032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Vega (Volatility = 0.1)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0"/>
      <c:rotY val="30"/>
      <c:rAngAx val="0"/>
      <c:perspective val="7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v>0.1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first_part_vega!$AP$5:$AP$21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first_part_vega!$AR$5:$AR$21</c:f>
              <c:numCache>
                <c:formatCode>General</c:formatCode>
                <c:ptCount val="17"/>
                <c:pt idx="0">
                  <c:v>3.5345400505311531E-58</c:v>
                </c:pt>
                <c:pt idx="1">
                  <c:v>7.8904162138229814E-42</c:v>
                </c:pt>
                <c:pt idx="2">
                  <c:v>3.5731275340967404E-29</c:v>
                </c:pt>
                <c:pt idx="3">
                  <c:v>1.5544383929947457E-19</c:v>
                </c:pt>
                <c:pt idx="4">
                  <c:v>2.1699726533395634E-12</c:v>
                </c:pt>
                <c:pt idx="5">
                  <c:v>2.513805683571334E-7</c:v>
                </c:pt>
                <c:pt idx="6">
                  <c:v>5.1615938644774477E-4</c:v>
                </c:pt>
                <c:pt idx="7">
                  <c:v>3.4693238841801248E-2</c:v>
                </c:pt>
                <c:pt idx="8">
                  <c:v>0.12601477970020519</c:v>
                </c:pt>
                <c:pt idx="9">
                  <c:v>3.7403491562746805E-2</c:v>
                </c:pt>
                <c:pt idx="10">
                  <c:v>1.2798321316875715E-3</c:v>
                </c:pt>
                <c:pt idx="11">
                  <c:v>6.7367205338682622E-6</c:v>
                </c:pt>
                <c:pt idx="12">
                  <c:v>6.9599615016725039E-9</c:v>
                </c:pt>
                <c:pt idx="13">
                  <c:v>1.735978122671637E-12</c:v>
                </c:pt>
                <c:pt idx="14">
                  <c:v>1.247722190230733E-16</c:v>
                </c:pt>
                <c:pt idx="15">
                  <c:v>3.0086617304103606E-21</c:v>
                </c:pt>
                <c:pt idx="16">
                  <c:v>2.7755174863825503E-26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73-4DBC-8221-C4FEE36DA2F3}"/>
            </c:ext>
          </c:extLst>
        </c:ser>
        <c:ser>
          <c:idx val="1"/>
          <c:order val="1"/>
          <c:tx>
            <c:v>0.2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first_part_vega!$AP$5:$AP$21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first_part_vega!$AS$5:$AS$21</c:f>
              <c:numCache>
                <c:formatCode>General</c:formatCode>
                <c:ptCount val="17"/>
                <c:pt idx="0">
                  <c:v>1.0711882489098268E-29</c:v>
                </c:pt>
                <c:pt idx="1">
                  <c:v>1.5687681949729765E-21</c:v>
                </c:pt>
                <c:pt idx="2">
                  <c:v>3.2770789744139775E-15</c:v>
                </c:pt>
                <c:pt idx="3">
                  <c:v>2.1245091218449448E-10</c:v>
                </c:pt>
                <c:pt idx="4">
                  <c:v>7.8107330033859321E-7</c:v>
                </c:pt>
                <c:pt idx="5">
                  <c:v>2.6184740803568228E-4</c:v>
                </c:pt>
                <c:pt idx="6">
                  <c:v>1.1696837223341142E-2</c:v>
                </c:pt>
                <c:pt idx="7">
                  <c:v>9.4608178373498497E-2</c:v>
                </c:pt>
                <c:pt idx="8">
                  <c:v>0.1780114349570453</c:v>
                </c:pt>
                <c:pt idx="9">
                  <c:v>9.5806705523719615E-2</c:v>
                </c:pt>
                <c:pt idx="10">
                  <c:v>1.751723241894686E-2</c:v>
                </c:pt>
                <c:pt idx="11">
                  <c:v>1.2568601723670415E-3</c:v>
                </c:pt>
                <c:pt idx="12">
                  <c:v>3.9971023224294193E-5</c:v>
                </c:pt>
                <c:pt idx="13">
                  <c:v>6.2485864027086964E-7</c:v>
                </c:pt>
                <c:pt idx="14">
                  <c:v>5.2457823818334011E-9</c:v>
                </c:pt>
                <c:pt idx="15">
                  <c:v>2.5517633623765736E-11</c:v>
                </c:pt>
                <c:pt idx="16">
                  <c:v>7.6802814218934899E-14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73-4DBC-8221-C4FEE36DA2F3}"/>
            </c:ext>
          </c:extLst>
        </c:ser>
        <c:ser>
          <c:idx val="2"/>
          <c:order val="2"/>
          <c:tx>
            <c:v>0.3</c:v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first_part_vega!$AP$5:$AP$21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first_part_vega!$AT$5:$AT$21</c:f>
              <c:numCache>
                <c:formatCode>General</c:formatCode>
                <c:ptCount val="17"/>
                <c:pt idx="0">
                  <c:v>3.6413157535063633E-20</c:v>
                </c:pt>
                <c:pt idx="1">
                  <c:v>9.9829747601651493E-15</c:v>
                </c:pt>
                <c:pt idx="2">
                  <c:v>1.6113180804909157E-10</c:v>
                </c:pt>
                <c:pt idx="3">
                  <c:v>2.5706041526295764E-7</c:v>
                </c:pt>
                <c:pt idx="4">
                  <c:v>6.0578597213752167E-5</c:v>
                </c:pt>
                <c:pt idx="5">
                  <c:v>2.8940234587731301E-3</c:v>
                </c:pt>
                <c:pt idx="6">
                  <c:v>3.6089280836016528E-2</c:v>
                </c:pt>
                <c:pt idx="7">
                  <c:v>0.14411356711779724</c:v>
                </c:pt>
                <c:pt idx="8">
                  <c:v>0.21777345900985232</c:v>
                </c:pt>
                <c:pt idx="9">
                  <c:v>0.1429240792467272</c:v>
                </c:pt>
                <c:pt idx="10">
                  <c:v>4.5686150128548215E-2</c:v>
                </c:pt>
                <c:pt idx="11">
                  <c:v>7.8303531906443406E-3</c:v>
                </c:pt>
                <c:pt idx="12">
                  <c:v>7.8044023598122878E-4</c:v>
                </c:pt>
                <c:pt idx="13">
                  <c:v>4.8462877771001518E-5</c:v>
                </c:pt>
                <c:pt idx="14">
                  <c:v>1.9887917206308642E-6</c:v>
                </c:pt>
                <c:pt idx="15">
                  <c:v>5.6738474150032419E-8</c:v>
                </c:pt>
                <c:pt idx="16">
                  <c:v>1.1756275778131189E-9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73-4DBC-8221-C4FEE36DA2F3}"/>
            </c:ext>
          </c:extLst>
        </c:ser>
        <c:ser>
          <c:idx val="3"/>
          <c:order val="3"/>
          <c:tx>
            <c:v>0.4</c:v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first_part_vega!$AP$5:$AP$21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first_part_vega!$AU$5:$AU$21</c:f>
              <c:numCache>
                <c:formatCode>General</c:formatCode>
                <c:ptCount val="17"/>
                <c:pt idx="0">
                  <c:v>2.2138942538625791E-15</c:v>
                </c:pt>
                <c:pt idx="1">
                  <c:v>2.6261095230764715E-11</c:v>
                </c:pt>
                <c:pt idx="2">
                  <c:v>3.7258960102381551E-8</c:v>
                </c:pt>
                <c:pt idx="3">
                  <c:v>9.3245046528342434E-6</c:v>
                </c:pt>
                <c:pt idx="4">
                  <c:v>5.5633346565513934E-4</c:v>
                </c:pt>
                <c:pt idx="5">
                  <c:v>1.0033008819090706E-2</c:v>
                </c:pt>
                <c:pt idx="6">
                  <c:v>6.6105163163659941E-2</c:v>
                </c:pt>
                <c:pt idx="7">
                  <c:v>0.18547920454659683</c:v>
                </c:pt>
                <c:pt idx="8">
                  <c:v>0.25118039341108511</c:v>
                </c:pt>
                <c:pt idx="9">
                  <c:v>0.182038150418775</c:v>
                </c:pt>
                <c:pt idx="10">
                  <c:v>7.6938968689493709E-2</c:v>
                </c:pt>
                <c:pt idx="11">
                  <c:v>2.0381249613524031E-2</c:v>
                </c:pt>
                <c:pt idx="12">
                  <c:v>3.5961608377988127E-3</c:v>
                </c:pt>
                <c:pt idx="13">
                  <c:v>4.4506677252410988E-4</c:v>
                </c:pt>
                <c:pt idx="14">
                  <c:v>4.038137314557552E-5</c:v>
                </c:pt>
                <c:pt idx="15">
                  <c:v>2.7899636340967845E-6</c:v>
                </c:pt>
                <c:pt idx="16">
                  <c:v>1.5167651578010655E-7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73-4DBC-8221-C4FEE36DA2F3}"/>
            </c:ext>
          </c:extLst>
        </c:ser>
        <c:ser>
          <c:idx val="4"/>
          <c:order val="4"/>
          <c:tx>
            <c:v>0.5</c:v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first_part_vega!$AP$5:$AP$21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first_part_vega!$AV$5:$AV$21</c:f>
              <c:numCache>
                <c:formatCode>General</c:formatCode>
                <c:ptCount val="17"/>
                <c:pt idx="0">
                  <c:v>1.6837357993007909E-12</c:v>
                </c:pt>
                <c:pt idx="1">
                  <c:v>3.0347470957467911E-9</c:v>
                </c:pt>
                <c:pt idx="2">
                  <c:v>1.0010098526373569E-6</c:v>
                </c:pt>
                <c:pt idx="3">
                  <c:v>8.2443811591708765E-5</c:v>
                </c:pt>
                <c:pt idx="4">
                  <c:v>2.157360495959318E-3</c:v>
                </c:pt>
                <c:pt idx="5">
                  <c:v>2.1685359940348946E-2</c:v>
                </c:pt>
                <c:pt idx="6">
                  <c:v>9.7437835238203124E-2</c:v>
                </c:pt>
                <c:pt idx="7">
                  <c:v>0.22122153003014303</c:v>
                </c:pt>
                <c:pt idx="8">
                  <c:v>0.28051246304186261</c:v>
                </c:pt>
                <c:pt idx="9">
                  <c:v>0.21576180864022365</c:v>
                </c:pt>
                <c:pt idx="10">
                  <c:v>0.10783044375026946</c:v>
                </c:pt>
                <c:pt idx="11">
                  <c:v>3.709184487135108E-2</c:v>
                </c:pt>
                <c:pt idx="12">
                  <c:v>9.2196988092317338E-3</c:v>
                </c:pt>
                <c:pt idx="13">
                  <c:v>1.7258883967674482E-3</c:v>
                </c:pt>
                <c:pt idx="14">
                  <c:v>2.5206590353609039E-4</c:v>
                </c:pt>
                <c:pt idx="15">
                  <c:v>2.9607997104108362E-5</c:v>
                </c:pt>
                <c:pt idx="16">
                  <c:v>2.8713454403848715E-6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73-4DBC-8221-C4FEE36DA2F3}"/>
            </c:ext>
          </c:extLst>
        </c:ser>
        <c:ser>
          <c:idx val="5"/>
          <c:order val="5"/>
          <c:tx>
            <c:v>0.6</c:v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first_part_vega!$AP$5:$AP$21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first_part_vega!$AW$5:$AW$21</c:f>
              <c:numCache>
                <c:formatCode>General</c:formatCode>
                <c:ptCount val="17"/>
                <c:pt idx="0">
                  <c:v>1.4260773627185629E-10</c:v>
                </c:pt>
                <c:pt idx="1">
                  <c:v>7.3190274501949445E-8</c:v>
                </c:pt>
                <c:pt idx="2">
                  <c:v>9.1278366359240927E-6</c:v>
                </c:pt>
                <c:pt idx="3">
                  <c:v>3.5834719979831788E-4</c:v>
                </c:pt>
                <c:pt idx="4">
                  <c:v>5.4130101077600381E-3</c:v>
                </c:pt>
                <c:pt idx="5">
                  <c:v>3.6850893362287709E-2</c:v>
                </c:pt>
                <c:pt idx="6">
                  <c:v>0.12828628098948194</c:v>
                </c:pt>
                <c:pt idx="7">
                  <c:v>0.25291422770740374</c:v>
                </c:pt>
                <c:pt idx="8">
                  <c:v>0.30694050496199521</c:v>
                </c:pt>
                <c:pt idx="9">
                  <c:v>0.2456445343208962</c:v>
                </c:pt>
                <c:pt idx="10">
                  <c:v>0.13727638643411783</c:v>
                </c:pt>
                <c:pt idx="11">
                  <c:v>5.6204093069575231E-2</c:v>
                </c:pt>
                <c:pt idx="12">
                  <c:v>1.7556027112756587E-2</c:v>
                </c:pt>
                <c:pt idx="13">
                  <c:v>4.3304080862080164E-3</c:v>
                </c:pt>
                <c:pt idx="14">
                  <c:v>8.6868143918896585E-4</c:v>
                </c:pt>
                <c:pt idx="15">
                  <c:v>1.4534734818581388E-4</c:v>
                </c:pt>
                <c:pt idx="16">
                  <c:v>2.0732639788992961E-5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73-4DBC-8221-C4FEE36DA2F3}"/>
            </c:ext>
          </c:extLst>
        </c:ser>
        <c:ser>
          <c:idx val="6"/>
          <c:order val="6"/>
          <c:tx>
            <c:v>0.7</c:v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first_part_vega!$AP$5:$AP$21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first_part_vega!$AX$5:$AX$21</c:f>
              <c:numCache>
                <c:formatCode>General</c:formatCode>
                <c:ptCount val="17"/>
                <c:pt idx="0">
                  <c:v>3.4375360039163326E-9</c:v>
                </c:pt>
                <c:pt idx="1">
                  <c:v>7.1926239310787059E-7</c:v>
                </c:pt>
                <c:pt idx="2">
                  <c:v>4.478025638717822E-5</c:v>
                </c:pt>
                <c:pt idx="3">
                  <c:v>1.0355649356059843E-3</c:v>
                </c:pt>
                <c:pt idx="4">
                  <c:v>1.0564824233400874E-2</c:v>
                </c:pt>
                <c:pt idx="5">
                  <c:v>5.4448949916165584E-2</c:v>
                </c:pt>
                <c:pt idx="6">
                  <c:v>0.15796405593882865</c:v>
                </c:pt>
                <c:pt idx="7">
                  <c:v>0.28155342127741206</c:v>
                </c:pt>
                <c:pt idx="8">
                  <c:v>0.3311608714611029</c:v>
                </c:pt>
                <c:pt idx="9">
                  <c:v>0.27264617640732552</c:v>
                </c:pt>
                <c:pt idx="10">
                  <c:v>0.16502382731650939</c:v>
                </c:pt>
                <c:pt idx="11">
                  <c:v>7.6514510849957487E-2</c:v>
                </c:pt>
                <c:pt idx="12">
                  <c:v>2.8136724172845171E-2</c:v>
                </c:pt>
                <c:pt idx="13">
                  <c:v>8.4518593867206771E-3</c:v>
                </c:pt>
                <c:pt idx="14">
                  <c:v>2.1268370180966031E-3</c:v>
                </c:pt>
                <c:pt idx="15">
                  <c:v>4.5817559828766953E-4</c:v>
                </c:pt>
                <c:pt idx="16">
                  <c:v>8.6094036586961643E-5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73-4DBC-8221-C4FEE36DA2F3}"/>
            </c:ext>
          </c:extLst>
        </c:ser>
        <c:ser>
          <c:idx val="7"/>
          <c:order val="7"/>
          <c:tx>
            <c:v>0.8</c:v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first_part_vega!$AP$5:$AP$21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first_part_vega!$AY$5:$AY$21</c:f>
              <c:numCache>
                <c:formatCode>General</c:formatCode>
                <c:ptCount val="17"/>
                <c:pt idx="0">
                  <c:v>3.7721952577593385E-8</c:v>
                </c:pt>
                <c:pt idx="1">
                  <c:v>4.026999901175424E-6</c:v>
                </c:pt>
                <c:pt idx="2">
                  <c:v>1.4889989640669957E-4</c:v>
                </c:pt>
                <c:pt idx="3">
                  <c:v>2.3152671506101981E-3</c:v>
                </c:pt>
                <c:pt idx="4">
                  <c:v>1.759740529856035E-2</c:v>
                </c:pt>
                <c:pt idx="5">
                  <c:v>7.3606201526075665E-2</c:v>
                </c:pt>
                <c:pt idx="6">
                  <c:v>0.18625614252560363</c:v>
                </c:pt>
                <c:pt idx="7">
                  <c:v>0.30780115974298611</c:v>
                </c:pt>
                <c:pt idx="8">
                  <c:v>0.35362780796997573</c:v>
                </c:pt>
                <c:pt idx="9">
                  <c:v>0.29739757516778265</c:v>
                </c:pt>
                <c:pt idx="10">
                  <c:v>0.19110786021475312</c:v>
                </c:pt>
                <c:pt idx="11">
                  <c:v>9.727348704819927E-2</c:v>
                </c:pt>
                <c:pt idx="12">
                  <c:v>4.042758351391075E-2</c:v>
                </c:pt>
                <c:pt idx="13">
                  <c:v>1.4077924238848249E-2</c:v>
                </c:pt>
                <c:pt idx="14">
                  <c:v>4.1991195969349748E-3</c:v>
                </c:pt>
                <c:pt idx="15">
                  <c:v>1.0933755800638383E-3</c:v>
                </c:pt>
                <c:pt idx="16">
                  <c:v>2.5262754622349385E-4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E73-4DBC-8221-C4FEE36DA2F3}"/>
            </c:ext>
          </c:extLst>
        </c:ser>
        <c:ser>
          <c:idx val="8"/>
          <c:order val="8"/>
          <c:tx>
            <c:v>0.9</c:v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first_part_vega!$AP$5:$AP$21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first_part_vega!$AZ$5:$AZ$21</c:f>
              <c:numCache>
                <c:formatCode>General</c:formatCode>
                <c:ptCount val="17"/>
                <c:pt idx="0">
                  <c:v>2.4471925152833756E-7</c:v>
                </c:pt>
                <c:pt idx="1">
                  <c:v>1.5479180979646812E-5</c:v>
                </c:pt>
                <c:pt idx="2">
                  <c:v>3.8164553510493981E-4</c:v>
                </c:pt>
                <c:pt idx="3">
                  <c:v>4.3580320477808058E-3</c:v>
                </c:pt>
                <c:pt idx="4">
                  <c:v>2.6345645732472476E-2</c:v>
                </c:pt>
                <c:pt idx="5">
                  <c:v>9.368286121950696E-2</c:v>
                </c:pt>
                <c:pt idx="6">
                  <c:v>0.21314624132838875</c:v>
                </c:pt>
                <c:pt idx="7">
                  <c:v>0.33211834114491318</c:v>
                </c:pt>
                <c:pt idx="8">
                  <c:v>0.37465720501521849</c:v>
                </c:pt>
                <c:pt idx="9">
                  <c:v>0.32033505994229872</c:v>
                </c:pt>
                <c:pt idx="10">
                  <c:v>0.21565675444124369</c:v>
                </c:pt>
                <c:pt idx="11">
                  <c:v>0.11803032678147582</c:v>
                </c:pt>
                <c:pt idx="12">
                  <c:v>5.3953369730765095E-2</c:v>
                </c:pt>
                <c:pt idx="13">
                  <c:v>2.107651658597795E-2</c:v>
                </c:pt>
                <c:pt idx="14">
                  <c:v>7.1754270940931394E-3</c:v>
                </c:pt>
                <c:pt idx="15">
                  <c:v>2.1651121661498732E-3</c:v>
                </c:pt>
                <c:pt idx="16">
                  <c:v>5.8750695962988023E-4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E73-4DBC-8221-C4FEE36DA2F3}"/>
            </c:ext>
          </c:extLst>
        </c:ser>
        <c:ser>
          <c:idx val="9"/>
          <c:order val="9"/>
          <c:tx>
            <c:v>1</c:v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first_part_vega!$AP$5:$AP$21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first_part_vega!$BA$5:$BA$21</c:f>
              <c:numCache>
                <c:formatCode>General</c:formatCode>
                <c:ptCount val="17"/>
                <c:pt idx="0">
                  <c:v>1.0981137573304838E-6</c:v>
                </c:pt>
                <c:pt idx="1">
                  <c:v>4.569630507815192E-5</c:v>
                </c:pt>
                <c:pt idx="2">
                  <c:v>8.1469084911896749E-4</c:v>
                </c:pt>
                <c:pt idx="3">
                  <c:v>7.267112565693663E-3</c:v>
                </c:pt>
                <c:pt idx="4">
                  <c:v>3.6579438640896043E-2</c:v>
                </c:pt>
                <c:pt idx="5">
                  <c:v>0.11422910084499065</c:v>
                </c:pt>
                <c:pt idx="6">
                  <c:v>0.23869941692283714</c:v>
                </c:pt>
                <c:pt idx="7">
                  <c:v>0.35483868952949421</c:v>
                </c:pt>
                <c:pt idx="8">
                  <c:v>0.39447933090788895</c:v>
                </c:pt>
                <c:pt idx="9">
                  <c:v>0.34177330202865708</c:v>
                </c:pt>
                <c:pt idx="10">
                  <c:v>0.23882000168449918</c:v>
                </c:pt>
                <c:pt idx="11">
                  <c:v>0.13852014243074298</c:v>
                </c:pt>
                <c:pt idx="12">
                  <c:v>6.8329969593104806E-2</c:v>
                </c:pt>
                <c:pt idx="13">
                  <c:v>2.9263550912716783E-2</c:v>
                </c:pt>
                <c:pt idx="14">
                  <c:v>1.1074379087941755E-2</c:v>
                </c:pt>
                <c:pt idx="15">
                  <c:v>3.7598389688949115E-3</c:v>
                </c:pt>
                <c:pt idx="16">
                  <c:v>1.1602695242521601E-3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E73-4DBC-8221-C4FEE36DA2F3}"/>
            </c:ext>
          </c:extLst>
        </c:ser>
        <c:ser>
          <c:idx val="10"/>
          <c:order val="10"/>
          <c:tx>
            <c:v>2</c:v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first_part_vega!$AP$5:$AP$21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first_part_vega!$BB$5:$BB$21</c:f>
              <c:numCache>
                <c:formatCode>General</c:formatCode>
                <c:ptCount val="17"/>
                <c:pt idx="0">
                  <c:v>1.0457482945948283E-3</c:v>
                </c:pt>
                <c:pt idx="1">
                  <c:v>6.612314700451225E-3</c:v>
                </c:pt>
                <c:pt idx="2">
                  <c:v>2.740710858581228E-2</c:v>
                </c:pt>
                <c:pt idx="3">
                  <c:v>8.0455722498671708E-2</c:v>
                </c:pt>
                <c:pt idx="4">
                  <c:v>0.1776181461109162</c:v>
                </c:pt>
                <c:pt idx="5">
                  <c:v>0.30915406339357621</c:v>
                </c:pt>
                <c:pt idx="6">
                  <c:v>0.44056131835135998</c:v>
                </c:pt>
                <c:pt idx="7">
                  <c:v>0.52993901401176291</c:v>
                </c:pt>
                <c:pt idx="8">
                  <c:v>0.55163706332541196</c:v>
                </c:pt>
                <c:pt idx="9">
                  <c:v>0.5072394859703554</c:v>
                </c:pt>
                <c:pt idx="10">
                  <c:v>0.41911044907526829</c:v>
                </c:pt>
                <c:pt idx="11">
                  <c:v>0.31566273567519076</c:v>
                </c:pt>
                <c:pt idx="12">
                  <c:v>0.21935705841356859</c:v>
                </c:pt>
                <c:pt idx="13">
                  <c:v>0.14209451688873281</c:v>
                </c:pt>
                <c:pt idx="14">
                  <c:v>8.6559585117731042E-2</c:v>
                </c:pt>
                <c:pt idx="15">
                  <c:v>4.9962307922047984E-2</c:v>
                </c:pt>
                <c:pt idx="16">
                  <c:v>2.7503549451983314E-2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E73-4DBC-8221-C4FEE36DA2F3}"/>
            </c:ext>
          </c:extLst>
        </c:ser>
        <c:ser>
          <c:idx val="11"/>
          <c:order val="11"/>
          <c:tx>
            <c:v>3</c:v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first_part_vega!$AP$5:$AP$21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first_part_vega!$BC$5:$BC$21</c:f>
              <c:numCache>
                <c:formatCode>General</c:formatCode>
                <c:ptCount val="17"/>
                <c:pt idx="0">
                  <c:v>1.1142189253647152E-2</c:v>
                </c:pt>
                <c:pt idx="1">
                  <c:v>3.7594797189649538E-2</c:v>
                </c:pt>
                <c:pt idx="2">
                  <c:v>9.581572046112885E-2</c:v>
                </c:pt>
                <c:pt idx="3">
                  <c:v>0.19419529853530501</c:v>
                </c:pt>
                <c:pt idx="4">
                  <c:v>0.32572732040617636</c:v>
                </c:pt>
                <c:pt idx="5">
                  <c:v>0.46657820462206062</c:v>
                </c:pt>
                <c:pt idx="6">
                  <c:v>0.58525004130384151</c:v>
                </c:pt>
                <c:pt idx="7">
                  <c:v>0.65600571654605966</c:v>
                </c:pt>
                <c:pt idx="8">
                  <c:v>0.66805659306916709</c:v>
                </c:pt>
                <c:pt idx="9">
                  <c:v>0.62659671715556564</c:v>
                </c:pt>
                <c:pt idx="10">
                  <c:v>0.54747527123167761</c:v>
                </c:pt>
                <c:pt idx="11">
                  <c:v>0.4498594691960292</c:v>
                </c:pt>
                <c:pt idx="12">
                  <c:v>0.35044120413266605</c:v>
                </c:pt>
                <c:pt idx="13">
                  <c:v>0.26058185632494107</c:v>
                </c:pt>
                <c:pt idx="14">
                  <c:v>0.18603608061799032</c:v>
                </c:pt>
                <c:pt idx="15">
                  <c:v>0.12815935968047906</c:v>
                </c:pt>
                <c:pt idx="16">
                  <c:v>8.5562234911034277E-2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E73-4DBC-8221-C4FEE36DA2F3}"/>
            </c:ext>
          </c:extLst>
        </c:ser>
        <c:ser>
          <c:idx val="12"/>
          <c:order val="12"/>
          <c:tx>
            <c:v>4</c:v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first_part_vega!$AP$5:$AP$21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first_part_vega!$BD$5:$BD$21</c:f>
              <c:numCache>
                <c:formatCode>General</c:formatCode>
                <c:ptCount val="17"/>
                <c:pt idx="0">
                  <c:v>3.7735130894815956E-2</c:v>
                </c:pt>
                <c:pt idx="1">
                  <c:v>9.3007615269544958E-2</c:v>
                </c:pt>
                <c:pt idx="2">
                  <c:v>0.18587765767931</c:v>
                </c:pt>
                <c:pt idx="3">
                  <c:v>0.31302804195460354</c:v>
                </c:pt>
                <c:pt idx="4">
                  <c:v>0.45765821306048554</c:v>
                </c:pt>
                <c:pt idx="5">
                  <c:v>0.5947067105196463</c:v>
                </c:pt>
                <c:pt idx="6">
                  <c:v>0.69986237314498334</c:v>
                </c:pt>
                <c:pt idx="7">
                  <c:v>0.75727241342456986</c:v>
                </c:pt>
                <c:pt idx="8">
                  <c:v>0.76277563092104828</c:v>
                </c:pt>
                <c:pt idx="9">
                  <c:v>0.72256894624086909</c:v>
                </c:pt>
                <c:pt idx="10">
                  <c:v>0.64921143972907125</c:v>
                </c:pt>
                <c:pt idx="11">
                  <c:v>0.55719510030463637</c:v>
                </c:pt>
                <c:pt idx="12">
                  <c:v>0.45956885215668852</c:v>
                </c:pt>
                <c:pt idx="13">
                  <c:v>0.36612657044838837</c:v>
                </c:pt>
                <c:pt idx="14">
                  <c:v>0.28297093897443343</c:v>
                </c:pt>
                <c:pt idx="15">
                  <c:v>0.21296483325512211</c:v>
                </c:pt>
                <c:pt idx="16">
                  <c:v>0.15657861761389585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E73-4DBC-8221-C4FEE36DA2F3}"/>
            </c:ext>
          </c:extLst>
        </c:ser>
        <c:ser>
          <c:idx val="13"/>
          <c:order val="13"/>
          <c:tx>
            <c:v>5</c:v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first_part_vega!$AP$5:$AP$21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first_part_vega!$BE$5:$BE$21</c:f>
              <c:numCache>
                <c:formatCode>General</c:formatCode>
                <c:ptCount val="17"/>
                <c:pt idx="0">
                  <c:v>8.0099557916829336E-2</c:v>
                </c:pt>
                <c:pt idx="1">
                  <c:v>0.16352043251983775</c:v>
                </c:pt>
                <c:pt idx="2">
                  <c:v>0.28243629412307231</c:v>
                </c:pt>
                <c:pt idx="3">
                  <c:v>0.42560725743199956</c:v>
                </c:pt>
                <c:pt idx="4">
                  <c:v>0.57302367456033576</c:v>
                </c:pt>
                <c:pt idx="5">
                  <c:v>0.70234247577560904</c:v>
                </c:pt>
                <c:pt idx="6">
                  <c:v>0.79548944334653171</c:v>
                </c:pt>
                <c:pt idx="7">
                  <c:v>0.84270952755154982</c:v>
                </c:pt>
                <c:pt idx="8">
                  <c:v>0.84326874401380636</c:v>
                </c:pt>
                <c:pt idx="9">
                  <c:v>0.80358729178703991</c:v>
                </c:pt>
                <c:pt idx="10">
                  <c:v>0.73420648836426439</c:v>
                </c:pt>
                <c:pt idx="11">
                  <c:v>0.6468217313827832</c:v>
                </c:pt>
                <c:pt idx="12">
                  <c:v>0.55209129543356328</c:v>
                </c:pt>
                <c:pt idx="13">
                  <c:v>0.45841893964826841</c:v>
                </c:pt>
                <c:pt idx="14">
                  <c:v>0.37157602890379682</c:v>
                </c:pt>
                <c:pt idx="15">
                  <c:v>0.29489098382107914</c:v>
                </c:pt>
                <c:pt idx="16">
                  <c:v>0.22973211747964489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E73-4DBC-8221-C4FEE36DA2F3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3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5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8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9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1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4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</c:bandFmts>
        <c:axId val="195485871"/>
        <c:axId val="195495023"/>
        <c:axId val="675346079"/>
      </c:surface3DChart>
      <c:catAx>
        <c:axId val="19548587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stock</a:t>
                </a:r>
                <a:r>
                  <a:rPr lang="en-US" baseline="0"/>
                  <a:t> price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495023"/>
        <c:crosses val="autoZero"/>
        <c:auto val="1"/>
        <c:lblAlgn val="ctr"/>
        <c:lblOffset val="100"/>
        <c:noMultiLvlLbl val="0"/>
      </c:catAx>
      <c:valAx>
        <c:axId val="1954950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vega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485871"/>
        <c:crosses val="autoZero"/>
        <c:crossBetween val="midCat"/>
      </c:valAx>
      <c:serAx>
        <c:axId val="675346079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maturity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495023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Vega</a:t>
            </a:r>
            <a:r>
              <a:rPr lang="en-US" baseline="0"/>
              <a:t> (Volatility = 0.2)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0"/>
      <c:rotY val="30"/>
      <c:depthPercent val="220"/>
      <c:rAngAx val="0"/>
      <c:perspective val="8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8.6502681185303271E-2"/>
          <c:y val="0.10534788551013079"/>
          <c:w val="0.85955174417736591"/>
          <c:h val="0.66986176133605713"/>
        </c:manualLayout>
      </c:layout>
      <c:surface3DChart>
        <c:wireframe val="0"/>
        <c:ser>
          <c:idx val="0"/>
          <c:order val="0"/>
          <c:tx>
            <c:v>0.1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first_part_vega!$G$5:$G$21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first_part_vega!$I$5:$I$21</c:f>
              <c:numCache>
                <c:formatCode>General</c:formatCode>
                <c:ptCount val="17"/>
                <c:pt idx="0">
                  <c:v>7.5719207361531463E-16</c:v>
                </c:pt>
                <c:pt idx="1">
                  <c:v>9.5374791219906036E-12</c:v>
                </c:pt>
                <c:pt idx="2">
                  <c:v>1.4305070674681116E-8</c:v>
                </c:pt>
                <c:pt idx="3">
                  <c:v>3.7701398975718424E-6</c:v>
                </c:pt>
                <c:pt idx="4">
                  <c:v>2.3609588828415681E-4</c:v>
                </c:pt>
                <c:pt idx="5">
                  <c:v>4.4558558892443629E-3</c:v>
                </c:pt>
                <c:pt idx="6">
                  <c:v>3.0644533309865177E-2</c:v>
                </c:pt>
                <c:pt idx="7">
                  <c:v>8.9541358039279748E-2</c:v>
                </c:pt>
                <c:pt idx="8">
                  <c:v>0.12601477970020519</c:v>
                </c:pt>
                <c:pt idx="9">
                  <c:v>9.4730567005775868E-2</c:v>
                </c:pt>
                <c:pt idx="10">
                  <c:v>4.1459744625109492E-2</c:v>
                </c:pt>
                <c:pt idx="11">
                  <c:v>1.1355073152064604E-2</c:v>
                </c:pt>
                <c:pt idx="12">
                  <c:v>2.0685250757256843E-3</c:v>
                </c:pt>
                <c:pt idx="13">
                  <c:v>2.6396322770578433E-4</c:v>
                </c:pt>
                <c:pt idx="14">
                  <c:v>2.4664615253611668E-5</c:v>
                </c:pt>
                <c:pt idx="15">
                  <c:v>1.7530109023145043E-6</c:v>
                </c:pt>
                <c:pt idx="16">
                  <c:v>9.7937749170318701E-8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E8-40BF-BC61-4062E15A8AB9}"/>
            </c:ext>
          </c:extLst>
        </c:ser>
        <c:ser>
          <c:idx val="1"/>
          <c:order val="1"/>
          <c:tx>
            <c:v>0.2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first_part_vega!$G$5:$G$21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first_part_vega!$J$5:$J$21</c:f>
              <c:numCache>
                <c:formatCode>General</c:formatCode>
                <c:ptCount val="17"/>
                <c:pt idx="0">
                  <c:v>1.29452098386633E-8</c:v>
                </c:pt>
                <c:pt idx="1">
                  <c:v>1.4674662728048759E-6</c:v>
                </c:pt>
                <c:pt idx="2">
                  <c:v>5.73613571054935E-5</c:v>
                </c:pt>
                <c:pt idx="3">
                  <c:v>9.3928751471449782E-4</c:v>
                </c:pt>
                <c:pt idx="4">
                  <c:v>7.4932050826936906E-3</c:v>
                </c:pt>
                <c:pt idx="5">
                  <c:v>3.2800471961839522E-2</c:v>
                </c:pt>
                <c:pt idx="6">
                  <c:v>8.6635119422354204E-2</c:v>
                </c:pt>
                <c:pt idx="7">
                  <c:v>0.14909546983266303</c:v>
                </c:pt>
                <c:pt idx="8">
                  <c:v>0.1780114349570453</c:v>
                </c:pt>
                <c:pt idx="9">
                  <c:v>0.15528549456541479</c:v>
                </c:pt>
                <c:pt idx="10">
                  <c:v>0.10332955422391689</c:v>
                </c:pt>
                <c:pt idx="11">
                  <c:v>5.4377515022381848E-2</c:v>
                </c:pt>
                <c:pt idx="12">
                  <c:v>2.3332711412433971E-2</c:v>
                </c:pt>
                <c:pt idx="13">
                  <c:v>8.3776579671249983E-3</c:v>
                </c:pt>
                <c:pt idx="14">
                  <c:v>2.573458981873061E-3</c:v>
                </c:pt>
                <c:pt idx="15">
                  <c:v>6.89320490541164E-4</c:v>
                </c:pt>
                <c:pt idx="16">
                  <c:v>1.6367344465552199E-4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0E8-40BF-BC61-4062E15A8AB9}"/>
            </c:ext>
          </c:extLst>
        </c:ser>
        <c:ser>
          <c:idx val="2"/>
          <c:order val="2"/>
          <c:tx>
            <c:v>0.3</c:v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first_part_vega!$G$5:$G$21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first_part_vega!$K$5:$K$21</c:f>
              <c:numCache>
                <c:formatCode>General</c:formatCode>
                <c:ptCount val="17"/>
                <c:pt idx="0">
                  <c:v>3.6360095554575554E-6</c:v>
                </c:pt>
                <c:pt idx="1">
                  <c:v>8.5735604439262291E-5</c:v>
                </c:pt>
                <c:pt idx="2">
                  <c:v>9.9359820227649877E-4</c:v>
                </c:pt>
                <c:pt idx="3">
                  <c:v>6.4440735249376045E-3</c:v>
                </c:pt>
                <c:pt idx="4">
                  <c:v>2.5866773497556832E-2</c:v>
                </c:pt>
                <c:pt idx="5">
                  <c:v>6.9568288790958291E-2</c:v>
                </c:pt>
                <c:pt idx="6">
                  <c:v>0.13356393635672964</c:v>
                </c:pt>
                <c:pt idx="7">
                  <c:v>0.19267540519079149</c:v>
                </c:pt>
                <c:pt idx="8">
                  <c:v>0.21777345900985232</c:v>
                </c:pt>
                <c:pt idx="9">
                  <c:v>0.19963011175668893</c:v>
                </c:pt>
                <c:pt idx="10">
                  <c:v>0.15274679608962338</c:v>
                </c:pt>
                <c:pt idx="11">
                  <c:v>9.9933417595958002E-2</c:v>
                </c:pt>
                <c:pt idx="12">
                  <c:v>5.7053408088958327E-2</c:v>
                </c:pt>
                <c:pt idx="13">
                  <c:v>2.89199319495635E-2</c:v>
                </c:pt>
                <c:pt idx="14">
                  <c:v>1.3209299733984308E-2</c:v>
                </c:pt>
                <c:pt idx="15">
                  <c:v>5.5061531676659165E-3</c:v>
                </c:pt>
                <c:pt idx="16">
                  <c:v>2.1177230646577411E-3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0E8-40BF-BC61-4062E15A8AB9}"/>
            </c:ext>
          </c:extLst>
        </c:ser>
        <c:ser>
          <c:idx val="3"/>
          <c:order val="3"/>
          <c:tx>
            <c:v>0.4</c:v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first_part_vega!$G$5:$G$21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first_part_vega!$L$5:$L$21</c:f>
              <c:numCache>
                <c:formatCode>General</c:formatCode>
                <c:ptCount val="17"/>
                <c:pt idx="0">
                  <c:v>6.3545564110513241E-5</c:v>
                </c:pt>
                <c:pt idx="1">
                  <c:v>6.8337646766849906E-4</c:v>
                </c:pt>
                <c:pt idx="2">
                  <c:v>4.3122978474392244E-3</c:v>
                </c:pt>
                <c:pt idx="3">
                  <c:v>1.7601258389828199E-2</c:v>
                </c:pt>
                <c:pt idx="4">
                  <c:v>5.0116628118720127E-2</c:v>
                </c:pt>
                <c:pt idx="5">
                  <c:v>0.10565235887329334</c:v>
                </c:pt>
                <c:pt idx="6">
                  <c:v>0.17293746502576174</c:v>
                </c:pt>
                <c:pt idx="7">
                  <c:v>0.22840702670307464</c:v>
                </c:pt>
                <c:pt idx="8">
                  <c:v>0.25118039341108511</c:v>
                </c:pt>
                <c:pt idx="9">
                  <c:v>0.23603472101352116</c:v>
                </c:pt>
                <c:pt idx="10">
                  <c:v>0.19366366629160028</c:v>
                </c:pt>
                <c:pt idx="11">
                  <c:v>0.14127284601816151</c:v>
                </c:pt>
                <c:pt idx="12">
                  <c:v>9.3034075502440555E-2</c:v>
                </c:pt>
                <c:pt idx="13">
                  <c:v>5.6032093638267749E-2</c:v>
                </c:pt>
                <c:pt idx="14">
                  <c:v>3.120781264579725E-2</c:v>
                </c:pt>
                <c:pt idx="15">
                  <c:v>1.6227966445448345E-2</c:v>
                </c:pt>
                <c:pt idx="16">
                  <c:v>7.9435914841497809E-3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0E8-40BF-BC61-4062E15A8AB9}"/>
            </c:ext>
          </c:extLst>
        </c:ser>
        <c:ser>
          <c:idx val="4"/>
          <c:order val="4"/>
          <c:tx>
            <c:v>0.5</c:v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first_part_vega!$G$5:$G$21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first_part_vega!$M$5:$M$21</c:f>
              <c:numCache>
                <c:formatCode>General</c:formatCode>
                <c:ptCount val="17"/>
                <c:pt idx="0">
                  <c:v>3.625261396739315E-4</c:v>
                </c:pt>
                <c:pt idx="1">
                  <c:v>2.4340934965576379E-3</c:v>
                </c:pt>
                <c:pt idx="2">
                  <c:v>1.066560447463694E-2</c:v>
                </c:pt>
                <c:pt idx="3">
                  <c:v>3.2972479768503968E-2</c:v>
                </c:pt>
                <c:pt idx="4">
                  <c:v>7.6401792301498697E-2</c:v>
                </c:pt>
                <c:pt idx="5">
                  <c:v>0.13916751647279249</c:v>
                </c:pt>
                <c:pt idx="6">
                  <c:v>0.2070079234545385</c:v>
                </c:pt>
                <c:pt idx="7">
                  <c:v>0.25930883920219033</c:v>
                </c:pt>
                <c:pt idx="8">
                  <c:v>0.28051246304186261</c:v>
                </c:pt>
                <c:pt idx="9">
                  <c:v>0.26754925856393441</c:v>
                </c:pt>
                <c:pt idx="10">
                  <c:v>0.22891366897286514</c:v>
                </c:pt>
                <c:pt idx="11">
                  <c:v>0.17825651843380044</c:v>
                </c:pt>
                <c:pt idx="12">
                  <c:v>0.12788990708238193</c:v>
                </c:pt>
                <c:pt idx="13">
                  <c:v>8.5419800594485507E-2</c:v>
                </c:pt>
                <c:pt idx="14">
                  <c:v>5.3588475727461456E-2</c:v>
                </c:pt>
                <c:pt idx="15">
                  <c:v>3.1819367439192572E-2</c:v>
                </c:pt>
                <c:pt idx="16">
                  <c:v>1.8000455519786449E-2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0E8-40BF-BC61-4062E15A8AB9}"/>
            </c:ext>
          </c:extLst>
        </c:ser>
        <c:ser>
          <c:idx val="5"/>
          <c:order val="5"/>
          <c:tx>
            <c:v>0.6</c:v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first_part_vega!$G$5:$G$21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first_part_vega!$N$5:$N$21</c:f>
              <c:numCache>
                <c:formatCode>General</c:formatCode>
                <c:ptCount val="17"/>
                <c:pt idx="0">
                  <c:v>1.1766116464443557E-3</c:v>
                </c:pt>
                <c:pt idx="1">
                  <c:v>5.7709392847973585E-3</c:v>
                </c:pt>
                <c:pt idx="2">
                  <c:v>1.9828706392671893E-2</c:v>
                </c:pt>
                <c:pt idx="3">
                  <c:v>5.0934802908825044E-2</c:v>
                </c:pt>
                <c:pt idx="4">
                  <c:v>0.10287482444006046</c:v>
                </c:pt>
                <c:pt idx="5">
                  <c:v>0.16999445472389768</c:v>
                </c:pt>
                <c:pt idx="6">
                  <c:v>0.23723384471393918</c:v>
                </c:pt>
                <c:pt idx="7">
                  <c:v>0.28686682039024308</c:v>
                </c:pt>
                <c:pt idx="8">
                  <c:v>0.30694050496199521</c:v>
                </c:pt>
                <c:pt idx="9">
                  <c:v>0.29567419013929419</c:v>
                </c:pt>
                <c:pt idx="10">
                  <c:v>0.26014283512817954</c:v>
                </c:pt>
                <c:pt idx="11">
                  <c:v>0.21158960540408664</c:v>
                </c:pt>
                <c:pt idx="12">
                  <c:v>0.16072749659884919</c:v>
                </c:pt>
                <c:pt idx="13">
                  <c:v>0.11501755031066588</c:v>
                </c:pt>
                <c:pt idx="14">
                  <c:v>7.8115019427058494E-2</c:v>
                </c:pt>
                <c:pt idx="15">
                  <c:v>5.0671947233936809E-2</c:v>
                </c:pt>
                <c:pt idx="16">
                  <c:v>3.1568381504252209E-2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0E8-40BF-BC61-4062E15A8AB9}"/>
            </c:ext>
          </c:extLst>
        </c:ser>
        <c:ser>
          <c:idx val="6"/>
          <c:order val="6"/>
          <c:tx>
            <c:v>0.7</c:v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first_part_vega!$G$5:$G$21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first_part_vega!$O$5:$O$21</c:f>
              <c:numCache>
                <c:formatCode>General</c:formatCode>
                <c:ptCount val="17"/>
                <c:pt idx="0">
                  <c:v>2.7599282724645072E-3</c:v>
                </c:pt>
                <c:pt idx="1">
                  <c:v>1.0816670734477618E-2</c:v>
                </c:pt>
                <c:pt idx="2">
                  <c:v>3.1240118425491601E-2</c:v>
                </c:pt>
                <c:pt idx="3">
                  <c:v>7.0302629740001565E-2</c:v>
                </c:pt>
                <c:pt idx="4">
                  <c:v>0.12872223646374945</c:v>
                </c:pt>
                <c:pt idx="5">
                  <c:v>0.19840779785263229</c:v>
                </c:pt>
                <c:pt idx="6">
                  <c:v>0.26455122246358709</c:v>
                </c:pt>
                <c:pt idx="7">
                  <c:v>0.31193622839956398</c:v>
                </c:pt>
                <c:pt idx="8">
                  <c:v>0.3311608714611029</c:v>
                </c:pt>
                <c:pt idx="9">
                  <c:v>0.32127364650068396</c:v>
                </c:pt>
                <c:pt idx="10">
                  <c:v>0.28836210247206262</c:v>
                </c:pt>
                <c:pt idx="11">
                  <c:v>0.24195071188978154</c:v>
                </c:pt>
                <c:pt idx="12">
                  <c:v>0.19144349454685666</c:v>
                </c:pt>
                <c:pt idx="13">
                  <c:v>0.14391583547437295</c:v>
                </c:pt>
                <c:pt idx="14">
                  <c:v>0.10344072895213412</c:v>
                </c:pt>
                <c:pt idx="15">
                  <c:v>7.147635788231986E-2</c:v>
                </c:pt>
                <c:pt idx="16">
                  <c:v>4.7705729750376964E-2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0E8-40BF-BC61-4062E15A8AB9}"/>
            </c:ext>
          </c:extLst>
        </c:ser>
        <c:ser>
          <c:idx val="7"/>
          <c:order val="7"/>
          <c:tx>
            <c:v>0.8</c:v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first_part_vega!$G$5:$G$21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first_part_vega!$P$5:$P$21</c:f>
              <c:numCache>
                <c:formatCode>General</c:formatCode>
                <c:ptCount val="17"/>
                <c:pt idx="0">
                  <c:v>5.2767323580423285E-3</c:v>
                </c:pt>
                <c:pt idx="1">
                  <c:v>1.7478240873614232E-2</c:v>
                </c:pt>
                <c:pt idx="2">
                  <c:v>4.431443031965894E-2</c:v>
                </c:pt>
                <c:pt idx="3">
                  <c:v>9.0304222542602286E-2</c:v>
                </c:pt>
                <c:pt idx="4">
                  <c:v>0.15361396923011619</c:v>
                </c:pt>
                <c:pt idx="5">
                  <c:v>0.22473489195639601</c:v>
                </c:pt>
                <c:pt idx="6">
                  <c:v>0.28958655791598931</c:v>
                </c:pt>
                <c:pt idx="7">
                  <c:v>0.33506087760385844</c:v>
                </c:pt>
                <c:pt idx="8">
                  <c:v>0.35362780796997573</c:v>
                </c:pt>
                <c:pt idx="9">
                  <c:v>0.34489758203526322</c:v>
                </c:pt>
                <c:pt idx="10">
                  <c:v>0.31423293448931333</c:v>
                </c:pt>
                <c:pt idx="11">
                  <c:v>0.2698796374360215</c:v>
                </c:pt>
                <c:pt idx="12">
                  <c:v>0.2201771367549985</c:v>
                </c:pt>
                <c:pt idx="13">
                  <c:v>0.17174563874605031</c:v>
                </c:pt>
                <c:pt idx="14">
                  <c:v>0.12880363658795957</c:v>
                </c:pt>
                <c:pt idx="15">
                  <c:v>9.3320554875542944E-2</c:v>
                </c:pt>
                <c:pt idx="16">
                  <c:v>6.5588544899120957E-2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0E8-40BF-BC61-4062E15A8AB9}"/>
            </c:ext>
          </c:extLst>
        </c:ser>
        <c:ser>
          <c:idx val="8"/>
          <c:order val="8"/>
          <c:tx>
            <c:v>0.9</c:v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first_part_vega!$G$5:$G$21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first_part_vega!$Q$5:$Q$21</c:f>
              <c:numCache>
                <c:formatCode>General</c:formatCode>
                <c:ptCount val="17"/>
                <c:pt idx="0">
                  <c:v>8.7942603690305717E-3</c:v>
                </c:pt>
                <c:pt idx="1">
                  <c:v>2.5556717355709923E-2</c:v>
                </c:pt>
                <c:pt idx="2">
                  <c:v>5.8553435054060327E-2</c:v>
                </c:pt>
                <c:pt idx="3">
                  <c:v>0.11045773801093518</c:v>
                </c:pt>
                <c:pt idx="4">
                  <c:v>0.17744408367129644</c:v>
                </c:pt>
                <c:pt idx="5">
                  <c:v>0.2492715420838269</c:v>
                </c:pt>
                <c:pt idx="6">
                  <c:v>0.31277780487504986</c:v>
                </c:pt>
                <c:pt idx="7">
                  <c:v>0.35661132714949467</c:v>
                </c:pt>
                <c:pt idx="8">
                  <c:v>0.37465720501521849</c:v>
                </c:pt>
                <c:pt idx="9">
                  <c:v>0.36692108772311305</c:v>
                </c:pt>
                <c:pt idx="10">
                  <c:v>0.33821167077407699</c:v>
                </c:pt>
                <c:pt idx="11">
                  <c:v>0.29579147918734411</c:v>
                </c:pt>
                <c:pt idx="12">
                  <c:v>0.24712869597243459</c:v>
                </c:pt>
                <c:pt idx="13">
                  <c:v>0.19838851664708951</c:v>
                </c:pt>
                <c:pt idx="14">
                  <c:v>0.15378580943041786</c:v>
                </c:pt>
                <c:pt idx="15">
                  <c:v>0.11560345928134991</c:v>
                </c:pt>
                <c:pt idx="16">
                  <c:v>8.4581782621465387E-2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0E8-40BF-BC61-4062E15A8AB9}"/>
            </c:ext>
          </c:extLst>
        </c:ser>
        <c:ser>
          <c:idx val="9"/>
          <c:order val="9"/>
          <c:tx>
            <c:v>1</c:v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first_part_vega!$G$5:$G$21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first_part_vega!$R$5:$R$21</c:f>
              <c:numCache>
                <c:formatCode>General</c:formatCode>
                <c:ptCount val="17"/>
                <c:pt idx="0">
                  <c:v>1.3304138019690321E-2</c:v>
                </c:pt>
                <c:pt idx="1">
                  <c:v>3.4820176623168372E-2</c:v>
                </c:pt>
                <c:pt idx="2">
                  <c:v>7.3566173019582473E-2</c:v>
                </c:pt>
                <c:pt idx="3">
                  <c:v>0.13046879019121693</c:v>
                </c:pt>
                <c:pt idx="4">
                  <c:v>0.20021019742744608</c:v>
                </c:pt>
                <c:pt idx="5">
                  <c:v>0.27226666793458271</c:v>
                </c:pt>
                <c:pt idx="6">
                  <c:v>0.33444289202725919</c:v>
                </c:pt>
                <c:pt idx="7">
                  <c:v>0.37685326590063856</c:v>
                </c:pt>
                <c:pt idx="8">
                  <c:v>0.39447933090788895</c:v>
                </c:pt>
                <c:pt idx="9">
                  <c:v>0.38761333572648299</c:v>
                </c:pt>
                <c:pt idx="10">
                  <c:v>0.36062690186445995</c:v>
                </c:pt>
                <c:pt idx="11">
                  <c:v>0.32000599329500923</c:v>
                </c:pt>
                <c:pt idx="12">
                  <c:v>0.27249840451049845</c:v>
                </c:pt>
                <c:pt idx="13">
                  <c:v>0.22384180561821135</c:v>
                </c:pt>
                <c:pt idx="14">
                  <c:v>0.17816680549913189</c:v>
                </c:pt>
                <c:pt idx="15">
                  <c:v>0.13793855243276579</c:v>
                </c:pt>
                <c:pt idx="16">
                  <c:v>0.1042211652111974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0E8-40BF-BC61-4062E15A8AB9}"/>
            </c:ext>
          </c:extLst>
        </c:ser>
        <c:ser>
          <c:idx val="10"/>
          <c:order val="10"/>
          <c:tx>
            <c:v>2</c:v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first_part_vega!$G$5:$G$21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first_part_vega!$S$5:$S$21</c:f>
              <c:numCache>
                <c:formatCode>General</c:formatCode>
                <c:ptCount val="17"/>
                <c:pt idx="0">
                  <c:v>9.5039378692490781E-2</c:v>
                </c:pt>
                <c:pt idx="1">
                  <c:v>0.15529982480581039</c:v>
                </c:pt>
                <c:pt idx="2">
                  <c:v>0.22783353493544931</c:v>
                </c:pt>
                <c:pt idx="3">
                  <c:v>0.30603936130050935</c:v>
                </c:pt>
                <c:pt idx="4">
                  <c:v>0.38218237653015336</c:v>
                </c:pt>
                <c:pt idx="5">
                  <c:v>0.44907193585775435</c:v>
                </c:pt>
                <c:pt idx="6">
                  <c:v>0.50128257699490841</c:v>
                </c:pt>
                <c:pt idx="7">
                  <c:v>0.53572622142458148</c:v>
                </c:pt>
                <c:pt idx="8">
                  <c:v>0.55163706332541196</c:v>
                </c:pt>
                <c:pt idx="9">
                  <c:v>0.5501604023542791</c:v>
                </c:pt>
                <c:pt idx="10">
                  <c:v>0.53375807389774854</c:v>
                </c:pt>
                <c:pt idx="11">
                  <c:v>0.50560061959578562</c:v>
                </c:pt>
                <c:pt idx="12">
                  <c:v>0.46905195347320522</c:v>
                </c:pt>
                <c:pt idx="13">
                  <c:v>0.42729288686192152</c:v>
                </c:pt>
                <c:pt idx="14">
                  <c:v>0.38308718744736653</c:v>
                </c:pt>
                <c:pt idx="15">
                  <c:v>0.33866932678137185</c:v>
                </c:pt>
                <c:pt idx="16">
                  <c:v>0.2957231189511369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0E8-40BF-BC61-4062E15A8AB9}"/>
            </c:ext>
          </c:extLst>
        </c:ser>
        <c:ser>
          <c:idx val="11"/>
          <c:order val="11"/>
          <c:tx>
            <c:v>3</c:v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first_part_vega!$G$5:$G$21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first_part_vega!$T$5:$T$21</c:f>
              <c:numCache>
                <c:formatCode>General</c:formatCode>
                <c:ptCount val="17"/>
                <c:pt idx="0">
                  <c:v>0.19822539521715424</c:v>
                </c:pt>
                <c:pt idx="1">
                  <c:v>0.27684353502761883</c:v>
                </c:pt>
                <c:pt idx="2">
                  <c:v>0.35965069029119617</c:v>
                </c:pt>
                <c:pt idx="3">
                  <c:v>0.44036986538728901</c:v>
                </c:pt>
                <c:pt idx="4">
                  <c:v>0.51343117209127109</c:v>
                </c:pt>
                <c:pt idx="5">
                  <c:v>0.574609960396536</c:v>
                </c:pt>
                <c:pt idx="6">
                  <c:v>0.6212783862055673</c:v>
                </c:pt>
                <c:pt idx="7">
                  <c:v>0.65235380338435678</c:v>
                </c:pt>
                <c:pt idx="8">
                  <c:v>0.66805659306916709</c:v>
                </c:pt>
                <c:pt idx="9">
                  <c:v>0.669580745803801</c:v>
                </c:pt>
                <c:pt idx="10">
                  <c:v>0.658754089959111</c:v>
                </c:pt>
                <c:pt idx="11">
                  <c:v>0.63773587385453712</c:v>
                </c:pt>
                <c:pt idx="12">
                  <c:v>0.60877484538879079</c:v>
                </c:pt>
                <c:pt idx="13">
                  <c:v>0.57403350128173736</c:v>
                </c:pt>
                <c:pt idx="14">
                  <c:v>0.53547351271025068</c:v>
                </c:pt>
                <c:pt idx="15">
                  <c:v>0.49479201943433782</c:v>
                </c:pt>
                <c:pt idx="16">
                  <c:v>0.45339683503257289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0E8-40BF-BC61-4062E15A8AB9}"/>
            </c:ext>
          </c:extLst>
        </c:ser>
        <c:ser>
          <c:idx val="12"/>
          <c:order val="12"/>
          <c:tx>
            <c:v>4</c:v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first_part_vega!$G$5:$G$21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first_part_vega!$U$5:$U$21</c:f>
              <c:numCache>
                <c:formatCode>General</c:formatCode>
                <c:ptCount val="17"/>
                <c:pt idx="0">
                  <c:v>0.29702348640212861</c:v>
                </c:pt>
                <c:pt idx="1">
                  <c:v>0.38350386340459214</c:v>
                </c:pt>
                <c:pt idx="2">
                  <c:v>0.46883083785060742</c:v>
                </c:pt>
                <c:pt idx="3">
                  <c:v>0.54807676647351533</c:v>
                </c:pt>
                <c:pt idx="4">
                  <c:v>0.61743560179207324</c:v>
                </c:pt>
                <c:pt idx="5">
                  <c:v>0.67438113704922509</c:v>
                </c:pt>
                <c:pt idx="6">
                  <c:v>0.71761533320686943</c:v>
                </c:pt>
                <c:pt idx="7">
                  <c:v>0.7468905995563202</c:v>
                </c:pt>
                <c:pt idx="8">
                  <c:v>0.76277563092104816</c:v>
                </c:pt>
                <c:pt idx="9">
                  <c:v>0.76641397953105828</c:v>
                </c:pt>
                <c:pt idx="10">
                  <c:v>0.75930525448770614</c:v>
                </c:pt>
                <c:pt idx="11">
                  <c:v>0.74312371276717004</c:v>
                </c:pt>
                <c:pt idx="12">
                  <c:v>0.71957857026067118</c:v>
                </c:pt>
                <c:pt idx="13">
                  <c:v>0.69031398866778315</c:v>
                </c:pt>
                <c:pt idx="14">
                  <c:v>0.6568433742701324</c:v>
                </c:pt>
                <c:pt idx="15">
                  <c:v>0.62051137062691963</c:v>
                </c:pt>
                <c:pt idx="16">
                  <c:v>0.58247693709726134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0E8-40BF-BC61-4062E15A8AB9}"/>
            </c:ext>
          </c:extLst>
        </c:ser>
        <c:ser>
          <c:idx val="13"/>
          <c:order val="13"/>
          <c:tx>
            <c:v>5</c:v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first_part_vega!$G$5:$G$21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first_part_vega!$V$5:$V$21</c:f>
              <c:numCache>
                <c:formatCode>General</c:formatCode>
                <c:ptCount val="17"/>
                <c:pt idx="0">
                  <c:v>0.3865349347186785</c:v>
                </c:pt>
                <c:pt idx="1">
                  <c:v>0.47611297617669923</c:v>
                </c:pt>
                <c:pt idx="2">
                  <c:v>0.56119836056730876</c:v>
                </c:pt>
                <c:pt idx="3">
                  <c:v>0.63807941266216028</c:v>
                </c:pt>
                <c:pt idx="4">
                  <c:v>0.70416816821210715</c:v>
                </c:pt>
                <c:pt idx="5">
                  <c:v>0.75795571731518341</c:v>
                </c:pt>
                <c:pt idx="6">
                  <c:v>0.79886620400360531</c:v>
                </c:pt>
                <c:pt idx="7">
                  <c:v>0.82706631007195031</c:v>
                </c:pt>
                <c:pt idx="8">
                  <c:v>0.84326874401380636</c:v>
                </c:pt>
                <c:pt idx="9">
                  <c:v>0.84855257304543275</c:v>
                </c:pt>
                <c:pt idx="10">
                  <c:v>0.84421159741338536</c:v>
                </c:pt>
                <c:pt idx="11">
                  <c:v>0.83163420463033977</c:v>
                </c:pt>
                <c:pt idx="12">
                  <c:v>0.81221348325030684</c:v>
                </c:pt>
                <c:pt idx="13">
                  <c:v>0.78728394585688899</c:v>
                </c:pt>
                <c:pt idx="14">
                  <c:v>0.7580802493833807</c:v>
                </c:pt>
                <c:pt idx="15">
                  <c:v>0.72571322803396565</c:v>
                </c:pt>
                <c:pt idx="16">
                  <c:v>0.69115896371880403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0E8-40BF-BC61-4062E15A8AB9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3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5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8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9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1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4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</c:bandFmts>
        <c:axId val="1542296959"/>
        <c:axId val="1542294463"/>
        <c:axId val="1309554735"/>
      </c:surface3DChart>
      <c:catAx>
        <c:axId val="154229695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>
                    <a:solidFill>
                      <a:schemeClr val="bg1"/>
                    </a:solidFill>
                  </a:rPr>
                  <a:t>Stock Price</a:t>
                </a:r>
              </a:p>
            </c:rich>
          </c:tx>
          <c:layout>
            <c:manualLayout>
              <c:xMode val="edge"/>
              <c:yMode val="edge"/>
              <c:x val="0.30150518088679534"/>
              <c:y val="0.7755670785054307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2294463"/>
        <c:crosses val="autoZero"/>
        <c:auto val="1"/>
        <c:lblAlgn val="ctr"/>
        <c:lblOffset val="100"/>
        <c:noMultiLvlLbl val="0"/>
      </c:catAx>
      <c:valAx>
        <c:axId val="15422944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>
                    <a:solidFill>
                      <a:schemeClr val="bg1"/>
                    </a:solidFill>
                  </a:rPr>
                  <a:t>Vega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2296959"/>
        <c:crosses val="autoZero"/>
        <c:crossBetween val="midCat"/>
      </c:valAx>
      <c:serAx>
        <c:axId val="1309554735"/>
        <c:scaling>
          <c:orientation val="minMax"/>
        </c:scaling>
        <c:delete val="0"/>
        <c:axPos val="b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>
                    <a:solidFill>
                      <a:schemeClr val="bg1"/>
                    </a:solidFill>
                  </a:rPr>
                  <a:t>Maturity</a:t>
                </a:r>
              </a:p>
            </c:rich>
          </c:tx>
          <c:layout>
            <c:manualLayout>
              <c:xMode val="edge"/>
              <c:yMode val="edge"/>
              <c:x val="0.82733751649523279"/>
              <c:y val="0.61447291988230468"/>
            </c:manualLayout>
          </c:layout>
          <c:overlay val="0"/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2294463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Vega (Volatility = 0.3)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0"/>
      <c:rotY val="30"/>
      <c:depthPercent val="220"/>
      <c:rAngAx val="0"/>
      <c:perspective val="7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3271365319989208E-2"/>
          <c:y val="0.11691588785046729"/>
          <c:w val="0.8885822172345279"/>
          <c:h val="0.60142468172786812"/>
        </c:manualLayout>
      </c:layout>
      <c:surface3DChart>
        <c:wireframe val="0"/>
        <c:ser>
          <c:idx val="0"/>
          <c:order val="0"/>
          <c:tx>
            <c:v>0.1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val>
            <c:numRef>
              <c:f>first_part_vega!$AA$5:$AA$21</c:f>
              <c:numCache>
                <c:formatCode>General</c:formatCode>
                <c:ptCount val="17"/>
                <c:pt idx="0">
                  <c:v>5.2241467496489445E-8</c:v>
                </c:pt>
                <c:pt idx="1">
                  <c:v>3.5480919020595774E-6</c:v>
                </c:pt>
                <c:pt idx="2">
                  <c:v>9.343630931757354E-5</c:v>
                </c:pt>
                <c:pt idx="3">
                  <c:v>1.1344357018572753E-3</c:v>
                </c:pt>
                <c:pt idx="4">
                  <c:v>7.2629446543345496E-3</c:v>
                </c:pt>
                <c:pt idx="5">
                  <c:v>2.725633977693533E-2</c:v>
                </c:pt>
                <c:pt idx="6">
                  <c:v>6.5245486618251372E-2</c:v>
                </c:pt>
                <c:pt idx="7">
                  <c:v>0.10666888149822518</c:v>
                </c:pt>
                <c:pt idx="8">
                  <c:v>0.12594479093238517</c:v>
                </c:pt>
                <c:pt idx="9">
                  <c:v>0.11245674973430275</c:v>
                </c:pt>
                <c:pt idx="10">
                  <c:v>7.8904665626496825E-2</c:v>
                </c:pt>
                <c:pt idx="11">
                  <c:v>4.4925546239266936E-2</c:v>
                </c:pt>
                <c:pt idx="12">
                  <c:v>2.1327896525065605E-2</c:v>
                </c:pt>
                <c:pt idx="13">
                  <c:v>8.6394717581212612E-3</c:v>
                </c:pt>
                <c:pt idx="14">
                  <c:v>3.0456280025937246E-3</c:v>
                </c:pt>
                <c:pt idx="15">
                  <c:v>9.503394546450289E-4</c:v>
                </c:pt>
                <c:pt idx="16">
                  <c:v>2.6634878733576307E-4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65-4490-BA71-B603DEF98021}"/>
            </c:ext>
          </c:extLst>
        </c:ser>
        <c:ser>
          <c:idx val="1"/>
          <c:order val="1"/>
          <c:tx>
            <c:v>0.2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val>
            <c:numRef>
              <c:f>first_part_vega!$AB$5:$AB$21</c:f>
              <c:numCache>
                <c:formatCode>General</c:formatCode>
                <c:ptCount val="17"/>
                <c:pt idx="0">
                  <c:v>1.0369210092575669E-4</c:v>
                </c:pt>
                <c:pt idx="1">
                  <c:v>8.6795002193490315E-4</c:v>
                </c:pt>
                <c:pt idx="2">
                  <c:v>4.5186973977930974E-3</c:v>
                </c:pt>
                <c:pt idx="3">
                  <c:v>1.5957745936388483E-2</c:v>
                </c:pt>
                <c:pt idx="4">
                  <c:v>4.0887259297741153E-2</c:v>
                </c:pt>
                <c:pt idx="5">
                  <c:v>8.0146565468207587E-2</c:v>
                </c:pt>
                <c:pt idx="6">
                  <c:v>0.12538719707021431</c:v>
                </c:pt>
                <c:pt idx="7">
                  <c:v>0.16201774980597239</c:v>
                </c:pt>
                <c:pt idx="8">
                  <c:v>0.17781375431667518</c:v>
                </c:pt>
                <c:pt idx="9">
                  <c:v>0.16962433257069018</c:v>
                </c:pt>
                <c:pt idx="10">
                  <c:v>0.14337557290741065</c:v>
                </c:pt>
                <c:pt idx="11">
                  <c:v>0.10912500779394539</c:v>
                </c:pt>
                <c:pt idx="12">
                  <c:v>7.5813336945485366E-2</c:v>
                </c:pt>
                <c:pt idx="13">
                  <c:v>4.8636515735941716E-2</c:v>
                </c:pt>
                <c:pt idx="14">
                  <c:v>2.909841456749146E-2</c:v>
                </c:pt>
                <c:pt idx="15">
                  <c:v>1.6374094930515438E-2</c:v>
                </c:pt>
                <c:pt idx="16">
                  <c:v>8.7300030082944971E-3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65-4490-BA71-B603DEF98021}"/>
            </c:ext>
          </c:extLst>
        </c:ser>
        <c:ser>
          <c:idx val="2"/>
          <c:order val="2"/>
          <c:tx>
            <c:v>0.3</c:v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val>
            <c:numRef>
              <c:f>first_part_vega!$AC$5:$AC$21</c:f>
              <c:numCache>
                <c:formatCode>General</c:formatCode>
                <c:ptCount val="17"/>
                <c:pt idx="0">
                  <c:v>1.4202882759273422E-3</c:v>
                </c:pt>
                <c:pt idx="1">
                  <c:v>5.9162801509579999E-3</c:v>
                </c:pt>
                <c:pt idx="2">
                  <c:v>1.7943197870953598E-2</c:v>
                </c:pt>
                <c:pt idx="3">
                  <c:v>4.1984549048709421E-2</c:v>
                </c:pt>
                <c:pt idx="4">
                  <c:v>7.9274555446936956E-2</c:v>
                </c:pt>
                <c:pt idx="5">
                  <c:v>0.12514440458799733</c:v>
                </c:pt>
                <c:pt idx="6">
                  <c:v>0.16990578273325513</c:v>
                </c:pt>
                <c:pt idx="7">
                  <c:v>0.20298234899889017</c:v>
                </c:pt>
                <c:pt idx="8">
                  <c:v>0.21741080554000833</c:v>
                </c:pt>
                <c:pt idx="9">
                  <c:v>0.21201979956829659</c:v>
                </c:pt>
                <c:pt idx="10">
                  <c:v>0.19068654650481348</c:v>
                </c:pt>
                <c:pt idx="11">
                  <c:v>0.1598779807314763</c:v>
                </c:pt>
                <c:pt idx="12">
                  <c:v>0.12610496950196404</c:v>
                </c:pt>
                <c:pt idx="13">
                  <c:v>9.4299256777715626E-2</c:v>
                </c:pt>
                <c:pt idx="14">
                  <c:v>6.729573538434451E-2</c:v>
                </c:pt>
                <c:pt idx="15">
                  <c:v>4.6093272696781748E-2</c:v>
                </c:pt>
                <c:pt idx="16">
                  <c:v>3.0450166811718988E-2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065-4490-BA71-B603DEF98021}"/>
            </c:ext>
          </c:extLst>
        </c:ser>
        <c:ser>
          <c:idx val="3"/>
          <c:order val="3"/>
          <c:tx>
            <c:v>0.4</c:v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val>
            <c:numRef>
              <c:f>first_part_vega!$AD$5:$AD$21</c:f>
              <c:numCache>
                <c:formatCode>General</c:formatCode>
                <c:ptCount val="17"/>
                <c:pt idx="0">
                  <c:v>5.4799114620321266E-3</c:v>
                </c:pt>
                <c:pt idx="1">
                  <c:v>1.6103021116910757E-2</c:v>
                </c:pt>
                <c:pt idx="2">
                  <c:v>3.7275610547584395E-2</c:v>
                </c:pt>
                <c:pt idx="3">
                  <c:v>7.0995380577419692E-2</c:v>
                </c:pt>
                <c:pt idx="4">
                  <c:v>0.11507695143275126</c:v>
                </c:pt>
                <c:pt idx="5">
                  <c:v>0.16302579321220409</c:v>
                </c:pt>
                <c:pt idx="6">
                  <c:v>0.20618984345800193</c:v>
                </c:pt>
                <c:pt idx="7">
                  <c:v>0.23685782585692991</c:v>
                </c:pt>
                <c:pt idx="8">
                  <c:v>0.25062283449841155</c:v>
                </c:pt>
                <c:pt idx="9">
                  <c:v>0.24711674739236783</c:v>
                </c:pt>
                <c:pt idx="10">
                  <c:v>0.22925780102263246</c:v>
                </c:pt>
                <c:pt idx="11">
                  <c:v>0.20174485287319668</c:v>
                </c:pt>
                <c:pt idx="12">
                  <c:v>0.16955364143103457</c:v>
                </c:pt>
                <c:pt idx="13">
                  <c:v>0.13688718821788132</c:v>
                </c:pt>
                <c:pt idx="14">
                  <c:v>0.10669112068562892</c:v>
                </c:pt>
                <c:pt idx="15">
                  <c:v>8.062306246902104E-2</c:v>
                </c:pt>
                <c:pt idx="16">
                  <c:v>5.9286927376384899E-2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065-4490-BA71-B603DEF98021}"/>
            </c:ext>
          </c:extLst>
        </c:ser>
        <c:ser>
          <c:idx val="4"/>
          <c:order val="4"/>
          <c:tx>
            <c:v>0.5</c:v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val>
            <c:numRef>
              <c:f>first_part_vega!$AE$5:$AE$21</c:f>
              <c:numCache>
                <c:formatCode>General</c:formatCode>
                <c:ptCount val="17"/>
                <c:pt idx="0">
                  <c:v>1.2626797297023531E-2</c:v>
                </c:pt>
                <c:pt idx="1">
                  <c:v>3.0095667810257465E-2</c:v>
                </c:pt>
                <c:pt idx="2">
                  <c:v>5.9240833497693518E-2</c:v>
                </c:pt>
                <c:pt idx="3">
                  <c:v>9.9723128342838543E-2</c:v>
                </c:pt>
                <c:pt idx="4">
                  <c:v>0.14749677041710108</c:v>
                </c:pt>
                <c:pt idx="5">
                  <c:v>0.19581443166314164</c:v>
                </c:pt>
                <c:pt idx="6">
                  <c:v>0.23734723525071394</c:v>
                </c:pt>
                <c:pt idx="7">
                  <c:v>0.26630962333356745</c:v>
                </c:pt>
                <c:pt idx="8">
                  <c:v>0.27973434297828004</c:v>
                </c:pt>
                <c:pt idx="9">
                  <c:v>0.27765089504983587</c:v>
                </c:pt>
                <c:pt idx="10">
                  <c:v>0.26242669261937368</c:v>
                </c:pt>
                <c:pt idx="11">
                  <c:v>0.23773448946649214</c:v>
                </c:pt>
                <c:pt idx="12">
                  <c:v>0.20755515123786619</c:v>
                </c:pt>
                <c:pt idx="13">
                  <c:v>0.17545145159162673</c:v>
                </c:pt>
                <c:pt idx="14">
                  <c:v>0.1441763943815362</c:v>
                </c:pt>
                <c:pt idx="15">
                  <c:v>0.11556698455080515</c:v>
                </c:pt>
                <c:pt idx="16">
                  <c:v>9.0627906162675992E-2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065-4490-BA71-B603DEF98021}"/>
            </c:ext>
          </c:extLst>
        </c:ser>
        <c:ser>
          <c:idx val="5"/>
          <c:order val="5"/>
          <c:tx>
            <c:v>0.6</c:v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val>
            <c:numRef>
              <c:f>first_part_vega!$AF$5:$AF$21</c:f>
              <c:numCache>
                <c:formatCode>General</c:formatCode>
                <c:ptCount val="17"/>
                <c:pt idx="0">
                  <c:v>2.2388087034633054E-2</c:v>
                </c:pt>
                <c:pt idx="1">
                  <c:v>4.6410088796281238E-2</c:v>
                </c:pt>
                <c:pt idx="2">
                  <c:v>8.1996646326998268E-2</c:v>
                </c:pt>
                <c:pt idx="3">
                  <c:v>0.12712093999325988</c:v>
                </c:pt>
                <c:pt idx="4">
                  <c:v>0.17688429965289609</c:v>
                </c:pt>
                <c:pt idx="5">
                  <c:v>0.22487833277913319</c:v>
                </c:pt>
                <c:pt idx="6">
                  <c:v>0.26495540458839584</c:v>
                </c:pt>
                <c:pt idx="7">
                  <c:v>0.29266016170947762</c:v>
                </c:pt>
                <c:pt idx="8">
                  <c:v>0.30591907327736617</c:v>
                </c:pt>
                <c:pt idx="9">
                  <c:v>0.30498209522504149</c:v>
                </c:pt>
                <c:pt idx="10">
                  <c:v>0.29186001251802374</c:v>
                </c:pt>
                <c:pt idx="11">
                  <c:v>0.26956448745123346</c:v>
                </c:pt>
                <c:pt idx="12">
                  <c:v>0.24139509792774025</c:v>
                </c:pt>
                <c:pt idx="13">
                  <c:v>0.21040872318836001</c:v>
                </c:pt>
                <c:pt idx="14">
                  <c:v>0.17910817795815687</c:v>
                </c:pt>
                <c:pt idx="15">
                  <c:v>0.14932325285649345</c:v>
                </c:pt>
                <c:pt idx="16">
                  <c:v>0.12222910034137176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065-4490-BA71-B603DEF98021}"/>
            </c:ext>
          </c:extLst>
        </c:ser>
        <c:ser>
          <c:idx val="6"/>
          <c:order val="6"/>
          <c:tx>
            <c:v>0.7</c:v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val>
            <c:numRef>
              <c:f>first_part_vega!$AG$5:$AG$21</c:f>
              <c:numCache>
                <c:formatCode>General</c:formatCode>
                <c:ptCount val="17"/>
                <c:pt idx="0">
                  <c:v>3.4092800414934198E-2</c:v>
                </c:pt>
                <c:pt idx="1">
                  <c:v>6.3967797976228563E-2</c:v>
                </c:pt>
                <c:pt idx="2">
                  <c:v>0.10462155572124114</c:v>
                </c:pt>
                <c:pt idx="3">
                  <c:v>0.1529339134731435</c:v>
                </c:pt>
                <c:pt idx="4">
                  <c:v>0.20372161802542726</c:v>
                </c:pt>
                <c:pt idx="5">
                  <c:v>0.25111006208294911</c:v>
                </c:pt>
                <c:pt idx="6">
                  <c:v>0.28993012918382316</c:v>
                </c:pt>
                <c:pt idx="7">
                  <c:v>0.31667848744818328</c:v>
                </c:pt>
                <c:pt idx="8">
                  <c:v>0.32987552453324309</c:v>
                </c:pt>
                <c:pt idx="9">
                  <c:v>0.32990232912026402</c:v>
                </c:pt>
                <c:pt idx="10">
                  <c:v>0.31851990708534011</c:v>
                </c:pt>
                <c:pt idx="11">
                  <c:v>0.29828227300311033</c:v>
                </c:pt>
                <c:pt idx="12">
                  <c:v>0.27199931861420884</c:v>
                </c:pt>
                <c:pt idx="13">
                  <c:v>0.24233244905687776</c:v>
                </c:pt>
                <c:pt idx="14">
                  <c:v>0.21154470571896189</c:v>
                </c:pt>
                <c:pt idx="15">
                  <c:v>0.18138808755412689</c:v>
                </c:pt>
                <c:pt idx="16">
                  <c:v>0.15309296235130823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065-4490-BA71-B603DEF98021}"/>
            </c:ext>
          </c:extLst>
        </c:ser>
        <c:ser>
          <c:idx val="7"/>
          <c:order val="7"/>
          <c:tx>
            <c:v>0.8</c:v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val>
            <c:numRef>
              <c:f>first_part_vega!$AH$5:$AH$21</c:f>
              <c:numCache>
                <c:formatCode>General</c:formatCode>
                <c:ptCount val="17"/>
                <c:pt idx="0">
                  <c:v>4.7136291023201063E-2</c:v>
                </c:pt>
                <c:pt idx="1">
                  <c:v>8.2069467460122739E-2</c:v>
                </c:pt>
                <c:pt idx="2">
                  <c:v>0.12667719836424346</c:v>
                </c:pt>
                <c:pt idx="3">
                  <c:v>0.17718513961379675</c:v>
                </c:pt>
                <c:pt idx="4">
                  <c:v>0.22843174271570832</c:v>
                </c:pt>
                <c:pt idx="5">
                  <c:v>0.27511226709398245</c:v>
                </c:pt>
                <c:pt idx="6">
                  <c:v>0.3128543782986476</c:v>
                </c:pt>
                <c:pt idx="7">
                  <c:v>0.33885838808772822</c:v>
                </c:pt>
                <c:pt idx="8">
                  <c:v>0.35205961627525989</c:v>
                </c:pt>
                <c:pt idx="9">
                  <c:v>0.35292069317520947</c:v>
                </c:pt>
                <c:pt idx="10">
                  <c:v>0.34301770068622478</c:v>
                </c:pt>
                <c:pt idx="11">
                  <c:v>0.32457082698947876</c:v>
                </c:pt>
                <c:pt idx="12">
                  <c:v>0.30002386856514912</c:v>
                </c:pt>
                <c:pt idx="13">
                  <c:v>0.27172581972973997</c:v>
                </c:pt>
                <c:pt idx="14">
                  <c:v>0.24172728981926181</c:v>
                </c:pt>
                <c:pt idx="15">
                  <c:v>0.2116792144510537</c:v>
                </c:pt>
                <c:pt idx="16">
                  <c:v>0.18280966330758441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065-4490-BA71-B603DEF98021}"/>
            </c:ext>
          </c:extLst>
        </c:ser>
        <c:ser>
          <c:idx val="8"/>
          <c:order val="8"/>
          <c:tx>
            <c:v>0.9</c:v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val>
            <c:numRef>
              <c:f>first_part_vega!$AI$5:$AI$21</c:f>
              <c:numCache>
                <c:formatCode>General</c:formatCode>
                <c:ptCount val="17"/>
                <c:pt idx="0">
                  <c:v>6.1044245880699184E-2</c:v>
                </c:pt>
                <c:pt idx="1">
                  <c:v>0.10028004968425032</c:v>
                </c:pt>
                <c:pt idx="2">
                  <c:v>0.14797070949272112</c:v>
                </c:pt>
                <c:pt idx="3">
                  <c:v>0.19998950927794951</c:v>
                </c:pt>
                <c:pt idx="4">
                  <c:v>0.25135567501845724</c:v>
                </c:pt>
                <c:pt idx="5">
                  <c:v>0.29730845258588656</c:v>
                </c:pt>
                <c:pt idx="6">
                  <c:v>0.33412469483092277</c:v>
                </c:pt>
                <c:pt idx="7">
                  <c:v>0.35953924700853623</c:v>
                </c:pt>
                <c:pt idx="8">
                  <c:v>0.37278859440959367</c:v>
                </c:pt>
                <c:pt idx="9">
                  <c:v>0.37438741076876991</c:v>
                </c:pt>
                <c:pt idx="10">
                  <c:v>0.36576911327852024</c:v>
                </c:pt>
                <c:pt idx="11">
                  <c:v>0.34890050929444233</c:v>
                </c:pt>
                <c:pt idx="12">
                  <c:v>0.32594284085625297</c:v>
                </c:pt>
                <c:pt idx="13">
                  <c:v>0.29899446559453879</c:v>
                </c:pt>
                <c:pt idx="14">
                  <c:v>0.26992241961759361</c:v>
                </c:pt>
                <c:pt idx="15">
                  <c:v>0.24027301202528756</c:v>
                </c:pt>
                <c:pt idx="16">
                  <c:v>0.2112437392784553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065-4490-BA71-B603DEF98021}"/>
            </c:ext>
          </c:extLst>
        </c:ser>
        <c:ser>
          <c:idx val="9"/>
          <c:order val="9"/>
          <c:tx>
            <c:v>1</c:v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val>
            <c:numRef>
              <c:f>first_part_vega!$AJ$5:$AJ$21</c:f>
              <c:numCache>
                <c:formatCode>General</c:formatCode>
                <c:ptCount val="17"/>
                <c:pt idx="0">
                  <c:v>7.5465414056779437E-2</c:v>
                </c:pt>
                <c:pt idx="1">
                  <c:v>0.11833484483505809</c:v>
                </c:pt>
                <c:pt idx="2">
                  <c:v>0.16843384637940814</c:v>
                </c:pt>
                <c:pt idx="3">
                  <c:v>0.22148428421066527</c:v>
                </c:pt>
                <c:pt idx="4">
                  <c:v>0.27276349949898759</c:v>
                </c:pt>
                <c:pt idx="5">
                  <c:v>0.31800713357890908</c:v>
                </c:pt>
                <c:pt idx="6">
                  <c:v>0.35402457537592474</c:v>
                </c:pt>
                <c:pt idx="7">
                  <c:v>0.37896623822327197</c:v>
                </c:pt>
                <c:pt idx="8">
                  <c:v>0.39229385545573264</c:v>
                </c:pt>
                <c:pt idx="9">
                  <c:v>0.39455567305177863</c:v>
                </c:pt>
                <c:pt idx="10">
                  <c:v>0.38707149777283806</c:v>
                </c:pt>
                <c:pt idx="11">
                  <c:v>0.37160972039984985</c:v>
                </c:pt>
                <c:pt idx="12">
                  <c:v>0.3501077491813388</c:v>
                </c:pt>
                <c:pt idx="13">
                  <c:v>0.3244596596452714</c:v>
                </c:pt>
                <c:pt idx="14">
                  <c:v>0.29637484768584299</c:v>
                </c:pt>
                <c:pt idx="15">
                  <c:v>0.26729952054680567</c:v>
                </c:pt>
                <c:pt idx="16">
                  <c:v>0.23838743989858865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065-4490-BA71-B603DEF98021}"/>
            </c:ext>
          </c:extLst>
        </c:ser>
        <c:ser>
          <c:idx val="10"/>
          <c:order val="10"/>
          <c:tx>
            <c:v>2</c:v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val>
            <c:numRef>
              <c:f>first_part_vega!$AK$5:$AK$21</c:f>
              <c:numCache>
                <c:formatCode>General</c:formatCode>
                <c:ptCount val="17"/>
                <c:pt idx="0">
                  <c:v>0.21665010977573695</c:v>
                </c:pt>
                <c:pt idx="1">
                  <c:v>0.27555008864451608</c:v>
                </c:pt>
                <c:pt idx="2">
                  <c:v>0.33351628785916165</c:v>
                </c:pt>
                <c:pt idx="3">
                  <c:v>0.38761449136581971</c:v>
                </c:pt>
                <c:pt idx="4">
                  <c:v>0.43558378451392826</c:v>
                </c:pt>
                <c:pt idx="5">
                  <c:v>0.47590089770706884</c:v>
                </c:pt>
                <c:pt idx="6">
                  <c:v>0.50774026590962573</c:v>
                </c:pt>
                <c:pt idx="7">
                  <c:v>0.53087335695806659</c:v>
                </c:pt>
                <c:pt idx="8">
                  <c:v>0.54554168852462226</c:v>
                </c:pt>
                <c:pt idx="9">
                  <c:v>0.55232725998867305</c:v>
                </c:pt>
                <c:pt idx="10">
                  <c:v>0.5520346837390272</c:v>
                </c:pt>
                <c:pt idx="11">
                  <c:v>0.5455921101145208</c:v>
                </c:pt>
                <c:pt idx="12">
                  <c:v>0.53397313281358616</c:v>
                </c:pt>
                <c:pt idx="13">
                  <c:v>0.51813885189910813</c:v>
                </c:pt>
                <c:pt idx="14">
                  <c:v>0.49899766616306857</c:v>
                </c:pt>
                <c:pt idx="15">
                  <c:v>0.47737971160509779</c:v>
                </c:pt>
                <c:pt idx="16">
                  <c:v>0.45402279742050045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065-4490-BA71-B603DEF98021}"/>
            </c:ext>
          </c:extLst>
        </c:ser>
        <c:ser>
          <c:idx val="11"/>
          <c:order val="11"/>
          <c:tx>
            <c:v>3</c:v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val>
            <c:numRef>
              <c:f>first_part_vega!$AL$5:$AL$21</c:f>
              <c:numCache>
                <c:formatCode>General</c:formatCode>
                <c:ptCount val="17"/>
                <c:pt idx="0">
                  <c:v>0.33222896128746121</c:v>
                </c:pt>
                <c:pt idx="1">
                  <c:v>0.39406825288577535</c:v>
                </c:pt>
                <c:pt idx="2">
                  <c:v>0.45187800131882511</c:v>
                </c:pt>
                <c:pt idx="3">
                  <c:v>0.50399623483227596</c:v>
                </c:pt>
                <c:pt idx="4">
                  <c:v>0.54934070118221501</c:v>
                </c:pt>
                <c:pt idx="5">
                  <c:v>0.58733335877732828</c:v>
                </c:pt>
                <c:pt idx="6">
                  <c:v>0.61780667302057179</c:v>
                </c:pt>
                <c:pt idx="7">
                  <c:v>0.6409084385653474</c:v>
                </c:pt>
                <c:pt idx="8">
                  <c:v>0.65701458882085051</c:v>
                </c:pt>
                <c:pt idx="9">
                  <c:v>0.66665447263519584</c:v>
                </c:pt>
                <c:pt idx="10">
                  <c:v>0.6704499236841015</c:v>
                </c:pt>
                <c:pt idx="11">
                  <c:v>0.66906761646336732</c:v>
                </c:pt>
                <c:pt idx="12">
                  <c:v>0.66318326233497227</c:v>
                </c:pt>
                <c:pt idx="13">
                  <c:v>0.65345582257987467</c:v>
                </c:pt>
                <c:pt idx="14">
                  <c:v>0.64050987256156355</c:v>
                </c:pt>
                <c:pt idx="15">
                  <c:v>0.62492438861032051</c:v>
                </c:pt>
                <c:pt idx="16">
                  <c:v>0.6072264500392125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065-4490-BA71-B603DEF98021}"/>
            </c:ext>
          </c:extLst>
        </c:ser>
        <c:ser>
          <c:idx val="12"/>
          <c:order val="12"/>
          <c:tx>
            <c:v>4</c:v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val>
            <c:numRef>
              <c:f>first_part_vega!$AM$5:$AM$21</c:f>
              <c:numCache>
                <c:formatCode>General</c:formatCode>
                <c:ptCount val="17"/>
                <c:pt idx="0">
                  <c:v>0.42567098596972325</c:v>
                </c:pt>
                <c:pt idx="1">
                  <c:v>0.4875893022971528</c:v>
                </c:pt>
                <c:pt idx="2">
                  <c:v>0.54421505040302276</c:v>
                </c:pt>
                <c:pt idx="3">
                  <c:v>0.59461821507388335</c:v>
                </c:pt>
                <c:pt idx="4">
                  <c:v>0.63829888800540957</c:v>
                </c:pt>
                <c:pt idx="5">
                  <c:v>0.67509674458565583</c:v>
                </c:pt>
                <c:pt idx="6">
                  <c:v>0.70510754644860263</c:v>
                </c:pt>
                <c:pt idx="7">
                  <c:v>0.72861111689327818</c:v>
                </c:pt>
                <c:pt idx="8">
                  <c:v>0.74601201361465708</c:v>
                </c:pt>
                <c:pt idx="9">
                  <c:v>0.75779237344430039</c:v>
                </c:pt>
                <c:pt idx="10">
                  <c:v>0.76447556683034001</c:v>
                </c:pt>
                <c:pt idx="11">
                  <c:v>0.76659899934282549</c:v>
                </c:pt>
                <c:pt idx="12">
                  <c:v>0.76469439302491615</c:v>
                </c:pt>
                <c:pt idx="13">
                  <c:v>0.75927402432728763</c:v>
                </c:pt>
                <c:pt idx="14">
                  <c:v>0.7508216007760149</c:v>
                </c:pt>
                <c:pt idx="15">
                  <c:v>0.73978667680739474</c:v>
                </c:pt>
                <c:pt idx="16">
                  <c:v>0.72658171509209246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065-4490-BA71-B603DEF98021}"/>
            </c:ext>
          </c:extLst>
        </c:ser>
        <c:ser>
          <c:idx val="13"/>
          <c:order val="13"/>
          <c:tx>
            <c:v>5</c:v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val>
            <c:numRef>
              <c:f>first_part_vega!$AN$5:$AN$21</c:f>
              <c:numCache>
                <c:formatCode>General</c:formatCode>
                <c:ptCount val="17"/>
                <c:pt idx="0">
                  <c:v>0.50316444779050262</c:v>
                </c:pt>
                <c:pt idx="1">
                  <c:v>0.56441397997533316</c:v>
                </c:pt>
                <c:pt idx="2">
                  <c:v>0.61983217876086938</c:v>
                </c:pt>
                <c:pt idx="3">
                  <c:v>0.66892699193410787</c:v>
                </c:pt>
                <c:pt idx="4">
                  <c:v>0.71152052988955772</c:v>
                </c:pt>
                <c:pt idx="5">
                  <c:v>0.74766798153008274</c:v>
                </c:pt>
                <c:pt idx="6">
                  <c:v>0.77759056969031726</c:v>
                </c:pt>
                <c:pt idx="7">
                  <c:v>0.80162201705931713</c:v>
                </c:pt>
                <c:pt idx="8">
                  <c:v>0.8201669558401079</c:v>
                </c:pt>
                <c:pt idx="9">
                  <c:v>0.83366938178088823</c:v>
                </c:pt>
                <c:pt idx="10">
                  <c:v>0.84258928010075784</c:v>
                </c:pt>
                <c:pt idx="11">
                  <c:v>0.84738574187741256</c:v>
                </c:pt>
                <c:pt idx="12">
                  <c:v>0.84850513852620746</c:v>
                </c:pt>
                <c:pt idx="13">
                  <c:v>0.84637317449963978</c:v>
                </c:pt>
                <c:pt idx="14">
                  <c:v>0.84138986871529853</c:v>
                </c:pt>
                <c:pt idx="15">
                  <c:v>0.83392671372802984</c:v>
                </c:pt>
                <c:pt idx="16">
                  <c:v>0.82432542675759601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065-4490-BA71-B603DEF98021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3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5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8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9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1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4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</c:bandFmts>
        <c:axId val="2031627664"/>
        <c:axId val="2031627248"/>
        <c:axId val="2031054256"/>
      </c:surface3DChart>
      <c:catAx>
        <c:axId val="20316276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Stock price</a:t>
                </a:r>
              </a:p>
            </c:rich>
          </c:tx>
          <c:layout>
            <c:manualLayout>
              <c:xMode val="edge"/>
              <c:yMode val="edge"/>
              <c:x val="0.22656422474059906"/>
              <c:y val="0.6891409718644983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1627248"/>
        <c:crosses val="autoZero"/>
        <c:auto val="1"/>
        <c:lblAlgn val="ctr"/>
        <c:lblOffset val="100"/>
        <c:noMultiLvlLbl val="0"/>
      </c:catAx>
      <c:valAx>
        <c:axId val="2031627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Vega</a:t>
                </a:r>
              </a:p>
            </c:rich>
          </c:tx>
          <c:layout>
            <c:manualLayout>
              <c:xMode val="edge"/>
              <c:yMode val="edge"/>
              <c:x val="8.1736913434886066E-2"/>
              <c:y val="0.3525226285966590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1627664"/>
        <c:crosses val="autoZero"/>
        <c:crossBetween val="midCat"/>
      </c:valAx>
      <c:serAx>
        <c:axId val="2031054256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Maturity</a:t>
                </a:r>
              </a:p>
            </c:rich>
          </c:tx>
          <c:layout>
            <c:manualLayout>
              <c:xMode val="edge"/>
              <c:yMode val="edge"/>
              <c:x val="0.81728006107881379"/>
              <c:y val="0.59998233865626605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1627248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Implied Volatility of market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20"/>
      <c:rotY val="0"/>
      <c:rAngAx val="0"/>
      <c:perspective val="8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secontPart_new!$E$2</c:f>
              <c:strCache>
                <c:ptCount val="1"/>
                <c:pt idx="0">
                  <c:v>0.095890411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secontPart_new!$D$3:$D$13</c:f>
              <c:numCache>
                <c:formatCode>General</c:formatCode>
                <c:ptCount val="1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</c:numCache>
            </c:numRef>
          </c:cat>
          <c:val>
            <c:numRef>
              <c:f>secontPart_new!$E$3:$E$13</c:f>
              <c:numCache>
                <c:formatCode>General</c:formatCode>
                <c:ptCount val="11"/>
                <c:pt idx="0">
                  <c:v>0.34079999999999999</c:v>
                </c:pt>
                <c:pt idx="1">
                  <c:v>0.3251</c:v>
                </c:pt>
                <c:pt idx="2">
                  <c:v>0.31180000000000002</c:v>
                </c:pt>
                <c:pt idx="3">
                  <c:v>0.29649999999999999</c:v>
                </c:pt>
                <c:pt idx="4">
                  <c:v>0.28410000000000002</c:v>
                </c:pt>
                <c:pt idx="5">
                  <c:v>0.27200000000000002</c:v>
                </c:pt>
                <c:pt idx="6">
                  <c:v>0.26140000000000002</c:v>
                </c:pt>
                <c:pt idx="7">
                  <c:v>0.2581</c:v>
                </c:pt>
                <c:pt idx="8">
                  <c:v>0.26100000000000001</c:v>
                </c:pt>
                <c:pt idx="9">
                  <c:v>0.2681</c:v>
                </c:pt>
                <c:pt idx="10">
                  <c:v>0.28170000000000001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92-40BA-9DCE-50F41FA8CA45}"/>
            </c:ext>
          </c:extLst>
        </c:ser>
        <c:ser>
          <c:idx val="1"/>
          <c:order val="1"/>
          <c:tx>
            <c:strRef>
              <c:f>secontPart_new!$F$2</c:f>
              <c:strCache>
                <c:ptCount val="1"/>
                <c:pt idx="0">
                  <c:v>0.191780822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secontPart_new!$D$3:$D$13</c:f>
              <c:numCache>
                <c:formatCode>General</c:formatCode>
                <c:ptCount val="1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</c:numCache>
            </c:numRef>
          </c:cat>
          <c:val>
            <c:numRef>
              <c:f>secontPart_new!$F$3:$F$13</c:f>
              <c:numCache>
                <c:formatCode>General</c:formatCode>
                <c:ptCount val="11"/>
                <c:pt idx="0">
                  <c:v>0.33479999999999999</c:v>
                </c:pt>
                <c:pt idx="1">
                  <c:v>0.32200000000000001</c:v>
                </c:pt>
                <c:pt idx="2">
                  <c:v>0.30980000000000002</c:v>
                </c:pt>
                <c:pt idx="3">
                  <c:v>0.29930000000000001</c:v>
                </c:pt>
                <c:pt idx="4">
                  <c:v>0.28689999999999999</c:v>
                </c:pt>
                <c:pt idx="5">
                  <c:v>0.27800000000000002</c:v>
                </c:pt>
                <c:pt idx="6">
                  <c:v>0.27029999999999998</c:v>
                </c:pt>
                <c:pt idx="7">
                  <c:v>0.26369999999999999</c:v>
                </c:pt>
                <c:pt idx="8">
                  <c:v>0.26029999999999998</c:v>
                </c:pt>
                <c:pt idx="9">
                  <c:v>0.25979999999999998</c:v>
                </c:pt>
                <c:pt idx="10">
                  <c:v>0.26050000000000001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92-40BA-9DCE-50F41FA8CA45}"/>
            </c:ext>
          </c:extLst>
        </c:ser>
        <c:ser>
          <c:idx val="2"/>
          <c:order val="2"/>
          <c:tx>
            <c:strRef>
              <c:f>secontPart_new!$G$2</c:f>
              <c:strCache>
                <c:ptCount val="1"/>
                <c:pt idx="0">
                  <c:v>0.268493151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secontPart_new!$D$3:$D$13</c:f>
              <c:numCache>
                <c:formatCode>General</c:formatCode>
                <c:ptCount val="1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</c:numCache>
            </c:numRef>
          </c:cat>
          <c:val>
            <c:numRef>
              <c:f>secontPart_new!$G$3:$G$13</c:f>
              <c:numCache>
                <c:formatCode>General</c:formatCode>
                <c:ptCount val="11"/>
                <c:pt idx="0">
                  <c:v>0.33160000000000001</c:v>
                </c:pt>
                <c:pt idx="1">
                  <c:v>0.32500000000000001</c:v>
                </c:pt>
                <c:pt idx="2">
                  <c:v>0.31069999999999998</c:v>
                </c:pt>
                <c:pt idx="3">
                  <c:v>0.29820000000000002</c:v>
                </c:pt>
                <c:pt idx="4">
                  <c:v>0.28889999999999999</c:v>
                </c:pt>
                <c:pt idx="5">
                  <c:v>0.27879999999999999</c:v>
                </c:pt>
                <c:pt idx="6">
                  <c:v>0.27189999999999998</c:v>
                </c:pt>
                <c:pt idx="7">
                  <c:v>0.2656</c:v>
                </c:pt>
                <c:pt idx="8">
                  <c:v>0.26140000000000002</c:v>
                </c:pt>
                <c:pt idx="9">
                  <c:v>0.2581</c:v>
                </c:pt>
                <c:pt idx="10">
                  <c:v>0.25619999999999998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92-40BA-9DCE-50F41FA8CA45}"/>
            </c:ext>
          </c:extLst>
        </c:ser>
        <c:ser>
          <c:idx val="3"/>
          <c:order val="3"/>
          <c:tx>
            <c:strRef>
              <c:f>secontPart_new!$H$2</c:f>
              <c:strCache>
                <c:ptCount val="1"/>
                <c:pt idx="0">
                  <c:v>0.364383562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secontPart_new!$D$3:$D$13</c:f>
              <c:numCache>
                <c:formatCode>General</c:formatCode>
                <c:ptCount val="1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</c:numCache>
            </c:numRef>
          </c:cat>
          <c:val>
            <c:numRef>
              <c:f>secontPart_new!$H$3:$H$13</c:f>
              <c:numCache>
                <c:formatCode>General</c:formatCode>
                <c:ptCount val="11"/>
                <c:pt idx="0">
                  <c:v>0.34539999999999998</c:v>
                </c:pt>
                <c:pt idx="1">
                  <c:v>0.33339999999999997</c:v>
                </c:pt>
                <c:pt idx="2">
                  <c:v>0.32200000000000001</c:v>
                </c:pt>
                <c:pt idx="3">
                  <c:v>0.30930000000000002</c:v>
                </c:pt>
                <c:pt idx="4">
                  <c:v>0.30320000000000003</c:v>
                </c:pt>
                <c:pt idx="5">
                  <c:v>0.29449999999999998</c:v>
                </c:pt>
                <c:pt idx="6">
                  <c:v>0.2853</c:v>
                </c:pt>
                <c:pt idx="7">
                  <c:v>0.28079999999999999</c:v>
                </c:pt>
                <c:pt idx="8">
                  <c:v>0.27660000000000001</c:v>
                </c:pt>
                <c:pt idx="9">
                  <c:v>0.27179999999999999</c:v>
                </c:pt>
                <c:pt idx="10">
                  <c:v>0.26979999999999998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92-40BA-9DCE-50F41FA8CA45}"/>
            </c:ext>
          </c:extLst>
        </c:ser>
        <c:ser>
          <c:idx val="4"/>
          <c:order val="4"/>
          <c:tx>
            <c:strRef>
              <c:f>secontPart_new!$I$2</c:f>
              <c:strCache>
                <c:ptCount val="1"/>
                <c:pt idx="0">
                  <c:v>0.44109589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secontPart_new!$D$3:$D$13</c:f>
              <c:numCache>
                <c:formatCode>General</c:formatCode>
                <c:ptCount val="1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</c:numCache>
            </c:numRef>
          </c:cat>
          <c:val>
            <c:numRef>
              <c:f>secontPart_new!$I$3:$I$13</c:f>
              <c:numCache>
                <c:formatCode>General</c:formatCode>
                <c:ptCount val="11"/>
                <c:pt idx="0">
                  <c:v>0.3533</c:v>
                </c:pt>
                <c:pt idx="1">
                  <c:v>0.34160000000000001</c:v>
                </c:pt>
                <c:pt idx="2">
                  <c:v>0.32979999999999998</c:v>
                </c:pt>
                <c:pt idx="3">
                  <c:v>0.31969999999999998</c:v>
                </c:pt>
                <c:pt idx="4">
                  <c:v>0.31180000000000002</c:v>
                </c:pt>
                <c:pt idx="5">
                  <c:v>0.3024</c:v>
                </c:pt>
                <c:pt idx="6">
                  <c:v>0.2969</c:v>
                </c:pt>
                <c:pt idx="7">
                  <c:v>0.28839999999999999</c:v>
                </c:pt>
                <c:pt idx="8">
                  <c:v>0.28299999999999997</c:v>
                </c:pt>
                <c:pt idx="9">
                  <c:v>0.28010000000000002</c:v>
                </c:pt>
                <c:pt idx="10">
                  <c:v>0.27689999999999998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92-40BA-9DCE-50F41FA8CA45}"/>
            </c:ext>
          </c:extLst>
        </c:ser>
        <c:ser>
          <c:idx val="5"/>
          <c:order val="5"/>
          <c:tx>
            <c:strRef>
              <c:f>secontPart_new!$J$2</c:f>
              <c:strCache>
                <c:ptCount val="1"/>
                <c:pt idx="0">
                  <c:v>0.536986301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secontPart_new!$D$3:$D$13</c:f>
              <c:numCache>
                <c:formatCode>General</c:formatCode>
                <c:ptCount val="1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</c:numCache>
            </c:numRef>
          </c:cat>
          <c:val>
            <c:numRef>
              <c:f>secontPart_new!$J$3:$J$13</c:f>
              <c:numCache>
                <c:formatCode>General</c:formatCode>
                <c:ptCount val="11"/>
                <c:pt idx="0">
                  <c:v>0.35199999999999998</c:v>
                </c:pt>
                <c:pt idx="1">
                  <c:v>0.3427</c:v>
                </c:pt>
                <c:pt idx="2">
                  <c:v>0.33119999999999999</c:v>
                </c:pt>
                <c:pt idx="3">
                  <c:v>0.32179999999999997</c:v>
                </c:pt>
                <c:pt idx="4">
                  <c:v>0.31390000000000001</c:v>
                </c:pt>
                <c:pt idx="5">
                  <c:v>0.30620000000000003</c:v>
                </c:pt>
                <c:pt idx="6">
                  <c:v>0.30049999999999999</c:v>
                </c:pt>
                <c:pt idx="7">
                  <c:v>0.29389999999999999</c:v>
                </c:pt>
                <c:pt idx="8">
                  <c:v>0.28860000000000002</c:v>
                </c:pt>
                <c:pt idx="9">
                  <c:v>0.28360000000000002</c:v>
                </c:pt>
                <c:pt idx="10">
                  <c:v>0.27960000000000002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E92-40BA-9DCE-50F41FA8CA45}"/>
            </c:ext>
          </c:extLst>
        </c:ser>
        <c:ser>
          <c:idx val="6"/>
          <c:order val="6"/>
          <c:tx>
            <c:strRef>
              <c:f>secontPart_new!$K$2</c:f>
              <c:strCache>
                <c:ptCount val="1"/>
                <c:pt idx="0">
                  <c:v>0.61369863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secontPart_new!$D$3:$D$13</c:f>
              <c:numCache>
                <c:formatCode>General</c:formatCode>
                <c:ptCount val="1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</c:numCache>
            </c:numRef>
          </c:cat>
          <c:val>
            <c:numRef>
              <c:f>secontPart_new!$K$3:$K$13</c:f>
              <c:numCache>
                <c:formatCode>General</c:formatCode>
                <c:ptCount val="11"/>
                <c:pt idx="0">
                  <c:v>0.35160000000000002</c:v>
                </c:pt>
                <c:pt idx="1">
                  <c:v>0.34250000000000003</c:v>
                </c:pt>
                <c:pt idx="2">
                  <c:v>0.33579999999999999</c:v>
                </c:pt>
                <c:pt idx="3">
                  <c:v>0.32500000000000001</c:v>
                </c:pt>
                <c:pt idx="4">
                  <c:v>0.318</c:v>
                </c:pt>
                <c:pt idx="5">
                  <c:v>0.31059999999999999</c:v>
                </c:pt>
                <c:pt idx="6">
                  <c:v>0.30459999999999998</c:v>
                </c:pt>
                <c:pt idx="7">
                  <c:v>0.29899999999999999</c:v>
                </c:pt>
                <c:pt idx="8">
                  <c:v>0.29509999999999997</c:v>
                </c:pt>
                <c:pt idx="9">
                  <c:v>0.2898</c:v>
                </c:pt>
                <c:pt idx="10">
                  <c:v>0.28570000000000001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E92-40BA-9DCE-50F41FA8CA45}"/>
            </c:ext>
          </c:extLst>
        </c:ser>
        <c:ser>
          <c:idx val="7"/>
          <c:order val="7"/>
          <c:tx>
            <c:strRef>
              <c:f>secontPart_new!$L$2</c:f>
              <c:strCache>
                <c:ptCount val="1"/>
                <c:pt idx="0">
                  <c:v>0.78630137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secontPart_new!$D$3:$D$13</c:f>
              <c:numCache>
                <c:formatCode>General</c:formatCode>
                <c:ptCount val="1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</c:numCache>
            </c:numRef>
          </c:cat>
          <c:val>
            <c:numRef>
              <c:f>secontPart_new!$L$3:$L$13</c:f>
              <c:numCache>
                <c:formatCode>General</c:formatCode>
                <c:ptCount val="11"/>
                <c:pt idx="0">
                  <c:v>0.3523</c:v>
                </c:pt>
                <c:pt idx="1">
                  <c:v>0.34200000000000003</c:v>
                </c:pt>
                <c:pt idx="2">
                  <c:v>0.33429999999999999</c:v>
                </c:pt>
                <c:pt idx="3">
                  <c:v>0.32690000000000002</c:v>
                </c:pt>
                <c:pt idx="4">
                  <c:v>0.32069999999999999</c:v>
                </c:pt>
                <c:pt idx="5">
                  <c:v>0.31459999999999999</c:v>
                </c:pt>
                <c:pt idx="6">
                  <c:v>0.30940000000000001</c:v>
                </c:pt>
                <c:pt idx="7">
                  <c:v>0.3034</c:v>
                </c:pt>
                <c:pt idx="8">
                  <c:v>0.29930000000000001</c:v>
                </c:pt>
                <c:pt idx="9">
                  <c:v>0.29449999999999998</c:v>
                </c:pt>
                <c:pt idx="10">
                  <c:v>0.29020000000000001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E92-40BA-9DCE-50F41FA8CA45}"/>
            </c:ext>
          </c:extLst>
        </c:ser>
        <c:ser>
          <c:idx val="8"/>
          <c:order val="8"/>
          <c:tx>
            <c:strRef>
              <c:f>secontPart_new!$M$2</c:f>
              <c:strCache>
                <c:ptCount val="1"/>
                <c:pt idx="0">
                  <c:v>0.939726027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secontPart_new!$D$3:$D$13</c:f>
              <c:numCache>
                <c:formatCode>General</c:formatCode>
                <c:ptCount val="1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</c:numCache>
            </c:numRef>
          </c:cat>
          <c:val>
            <c:numRef>
              <c:f>secontPart_new!$M$3:$M$13</c:f>
              <c:numCache>
                <c:formatCode>General</c:formatCode>
                <c:ptCount val="11"/>
                <c:pt idx="0">
                  <c:v>0.35499999999999998</c:v>
                </c:pt>
                <c:pt idx="1">
                  <c:v>0.34660000000000002</c:v>
                </c:pt>
                <c:pt idx="2">
                  <c:v>0.33979999999999999</c:v>
                </c:pt>
                <c:pt idx="3">
                  <c:v>0.33279999999999998</c:v>
                </c:pt>
                <c:pt idx="4">
                  <c:v>0.32719999999999999</c:v>
                </c:pt>
                <c:pt idx="5">
                  <c:v>0.32119999999999999</c:v>
                </c:pt>
                <c:pt idx="6">
                  <c:v>0.31640000000000001</c:v>
                </c:pt>
                <c:pt idx="7">
                  <c:v>0.31130000000000002</c:v>
                </c:pt>
                <c:pt idx="8">
                  <c:v>0.30659999999999998</c:v>
                </c:pt>
                <c:pt idx="9">
                  <c:v>0.30249999999999999</c:v>
                </c:pt>
                <c:pt idx="10">
                  <c:v>0.29899999999999999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E92-40BA-9DCE-50F41FA8CA45}"/>
            </c:ext>
          </c:extLst>
        </c:ser>
        <c:ser>
          <c:idx val="9"/>
          <c:order val="9"/>
          <c:tx>
            <c:strRef>
              <c:f>secontPart_new!$N$2</c:f>
              <c:strCache>
                <c:ptCount val="1"/>
                <c:pt idx="0">
                  <c:v>1.189041096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secontPart_new!$D$3:$D$13</c:f>
              <c:numCache>
                <c:formatCode>General</c:formatCode>
                <c:ptCount val="1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</c:numCache>
            </c:numRef>
          </c:cat>
          <c:val>
            <c:numRef>
              <c:f>secontPart_new!$N$3:$N$13</c:f>
              <c:numCache>
                <c:formatCode>General</c:formatCode>
                <c:ptCount val="11"/>
                <c:pt idx="0">
                  <c:v>0.35870000000000002</c:v>
                </c:pt>
                <c:pt idx="1">
                  <c:v>0.35089999999999999</c:v>
                </c:pt>
                <c:pt idx="2">
                  <c:v>0.3463</c:v>
                </c:pt>
                <c:pt idx="3">
                  <c:v>0.33960000000000001</c:v>
                </c:pt>
                <c:pt idx="4">
                  <c:v>0.33510000000000001</c:v>
                </c:pt>
                <c:pt idx="5">
                  <c:v>0.32929999999999998</c:v>
                </c:pt>
                <c:pt idx="6">
                  <c:v>0.32419999999999999</c:v>
                </c:pt>
                <c:pt idx="7">
                  <c:v>0.32050000000000001</c:v>
                </c:pt>
                <c:pt idx="8">
                  <c:v>0.31630000000000003</c:v>
                </c:pt>
                <c:pt idx="9">
                  <c:v>0.31280000000000002</c:v>
                </c:pt>
                <c:pt idx="10">
                  <c:v>0.31019999999999998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E92-40BA-9DCE-50F41FA8CA45}"/>
            </c:ext>
          </c:extLst>
        </c:ser>
        <c:ser>
          <c:idx val="10"/>
          <c:order val="10"/>
          <c:tx>
            <c:strRef>
              <c:f>secontPart_new!$O$2</c:f>
              <c:strCache>
                <c:ptCount val="1"/>
                <c:pt idx="0">
                  <c:v>1.438356164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secontPart_new!$D$3:$D$13</c:f>
              <c:numCache>
                <c:formatCode>General</c:formatCode>
                <c:ptCount val="1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</c:numCache>
            </c:numRef>
          </c:cat>
          <c:val>
            <c:numRef>
              <c:f>secontPart_new!$O$3:$O$13</c:f>
              <c:numCache>
                <c:formatCode>General</c:formatCode>
                <c:ptCount val="11"/>
                <c:pt idx="0">
                  <c:v>0.35870000000000002</c:v>
                </c:pt>
                <c:pt idx="1">
                  <c:v>0.35089999999999999</c:v>
                </c:pt>
                <c:pt idx="2">
                  <c:v>0.3463</c:v>
                </c:pt>
                <c:pt idx="3">
                  <c:v>0.33960000000000001</c:v>
                </c:pt>
                <c:pt idx="4">
                  <c:v>0.33510000000000001</c:v>
                </c:pt>
                <c:pt idx="5">
                  <c:v>0.32929999999999998</c:v>
                </c:pt>
                <c:pt idx="6">
                  <c:v>0.32419999999999999</c:v>
                </c:pt>
                <c:pt idx="7">
                  <c:v>0.32050000000000001</c:v>
                </c:pt>
                <c:pt idx="8">
                  <c:v>0.31630000000000003</c:v>
                </c:pt>
                <c:pt idx="9">
                  <c:v>0.31280000000000002</c:v>
                </c:pt>
                <c:pt idx="10">
                  <c:v>0.31019999999999998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E92-40BA-9DCE-50F41FA8CA45}"/>
            </c:ext>
          </c:extLst>
        </c:ser>
        <c:ser>
          <c:idx val="11"/>
          <c:order val="11"/>
          <c:tx>
            <c:strRef>
              <c:f>secontPart_new!$P$2</c:f>
              <c:strCache>
                <c:ptCount val="1"/>
                <c:pt idx="0">
                  <c:v>1.783561644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secontPart_new!$D$3:$D$13</c:f>
              <c:numCache>
                <c:formatCode>General</c:formatCode>
                <c:ptCount val="1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</c:numCache>
            </c:numRef>
          </c:cat>
          <c:val>
            <c:numRef>
              <c:f>secontPart_new!$P$3:$P$13</c:f>
              <c:numCache>
                <c:formatCode>General</c:formatCode>
                <c:ptCount val="11"/>
                <c:pt idx="0">
                  <c:v>0.36799999999999999</c:v>
                </c:pt>
                <c:pt idx="1">
                  <c:v>0.36149999999999999</c:v>
                </c:pt>
                <c:pt idx="2">
                  <c:v>0.35670000000000002</c:v>
                </c:pt>
                <c:pt idx="3">
                  <c:v>0.3518</c:v>
                </c:pt>
                <c:pt idx="4">
                  <c:v>0.3473</c:v>
                </c:pt>
                <c:pt idx="5">
                  <c:v>0.34320000000000001</c:v>
                </c:pt>
                <c:pt idx="6">
                  <c:v>0.33910000000000001</c:v>
                </c:pt>
                <c:pt idx="7">
                  <c:v>0.33479999999999999</c:v>
                </c:pt>
                <c:pt idx="8">
                  <c:v>0.32769999999999999</c:v>
                </c:pt>
                <c:pt idx="9">
                  <c:v>0.32819999999999999</c:v>
                </c:pt>
                <c:pt idx="10">
                  <c:v>0.32540000000000002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E92-40BA-9DCE-50F41FA8CA45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3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5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8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9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1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4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</c:bandFmts>
        <c:axId val="877135984"/>
        <c:axId val="877134736"/>
        <c:axId val="814662896"/>
      </c:surface3DChart>
      <c:catAx>
        <c:axId val="8771359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Strikes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7134736"/>
        <c:crosses val="autoZero"/>
        <c:auto val="1"/>
        <c:lblAlgn val="ctr"/>
        <c:lblOffset val="100"/>
        <c:noMultiLvlLbl val="0"/>
      </c:catAx>
      <c:valAx>
        <c:axId val="877134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Implied Volatility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7135984"/>
        <c:crosses val="autoZero"/>
        <c:crossBetween val="midCat"/>
      </c:valAx>
      <c:serAx>
        <c:axId val="814662896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Maturity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7134736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Vega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0"/>
      <c:rotY val="3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7.8978856886700921E-2"/>
          <c:y val="0.11218524707610114"/>
          <c:w val="0.90222648730708233"/>
          <c:h val="0.64205238950994159"/>
        </c:manualLayout>
      </c:layout>
      <c:surface3DChart>
        <c:wireframe val="0"/>
        <c:ser>
          <c:idx val="0"/>
          <c:order val="0"/>
          <c:tx>
            <c:strRef>
              <c:f>secontPart_new!$AI$17</c:f>
              <c:strCache>
                <c:ptCount val="1"/>
                <c:pt idx="0">
                  <c:v>0.095890411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secontPart_new!$AH$18:$AH$28</c:f>
              <c:numCache>
                <c:formatCode>General</c:formatCode>
                <c:ptCount val="1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</c:numCache>
            </c:numRef>
          </c:cat>
          <c:val>
            <c:numRef>
              <c:f>secontPart_new!$AJ$18:$AJ$28</c:f>
              <c:numCache>
                <c:formatCode>General</c:formatCode>
                <c:ptCount val="11"/>
                <c:pt idx="0">
                  <c:v>9.5897522967533386E-2</c:v>
                </c:pt>
                <c:pt idx="1">
                  <c:v>0.12969866155086354</c:v>
                </c:pt>
                <c:pt idx="2">
                  <c:v>0.16547487939842292</c:v>
                </c:pt>
                <c:pt idx="3">
                  <c:v>0.19497459905035025</c:v>
                </c:pt>
                <c:pt idx="4">
                  <c:v>0.2097403444166496</c:v>
                </c:pt>
                <c:pt idx="5">
                  <c:v>0.20177267224180997</c:v>
                </c:pt>
                <c:pt idx="6">
                  <c:v>0.17036158052942071</c:v>
                </c:pt>
                <c:pt idx="7">
                  <c:v>0.12746556661172917</c:v>
                </c:pt>
                <c:pt idx="8">
                  <c:v>8.8180146066814957E-2</c:v>
                </c:pt>
                <c:pt idx="9">
                  <c:v>5.9019980821863438E-2</c:v>
                </c:pt>
                <c:pt idx="10">
                  <c:v>4.1372936763000481E-2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B9-4085-85F3-49ABCD0148EB}"/>
            </c:ext>
          </c:extLst>
        </c:ser>
        <c:ser>
          <c:idx val="1"/>
          <c:order val="1"/>
          <c:tx>
            <c:strRef>
              <c:f>secontPart_new!$AK$17</c:f>
              <c:strCache>
                <c:ptCount val="1"/>
                <c:pt idx="0">
                  <c:v>0.191780822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secontPart_new!$AH$18:$AH$28</c:f>
              <c:numCache>
                <c:formatCode>General</c:formatCode>
                <c:ptCount val="1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</c:numCache>
            </c:numRef>
          </c:cat>
          <c:val>
            <c:numRef>
              <c:f>secontPart_new!$AL$18:$AL$28</c:f>
              <c:numCache>
                <c:formatCode>General</c:formatCode>
                <c:ptCount val="11"/>
                <c:pt idx="0">
                  <c:v>0.19043207006123472</c:v>
                </c:pt>
                <c:pt idx="1">
                  <c:v>0.22554632512640241</c:v>
                </c:pt>
                <c:pt idx="2">
                  <c:v>0.25789252294649667</c:v>
                </c:pt>
                <c:pt idx="3">
                  <c:v>0.28307547212602818</c:v>
                </c:pt>
                <c:pt idx="4">
                  <c:v>0.29616440841661373</c:v>
                </c:pt>
                <c:pt idx="5">
                  <c:v>0.29349863499901091</c:v>
                </c:pt>
                <c:pt idx="6">
                  <c:v>0.27394241632059241</c:v>
                </c:pt>
                <c:pt idx="7">
                  <c:v>0.24000049345295951</c:v>
                </c:pt>
                <c:pt idx="8">
                  <c:v>0.19862047106401229</c:v>
                </c:pt>
                <c:pt idx="9">
                  <c:v>0.15730729958369433</c:v>
                </c:pt>
                <c:pt idx="10">
                  <c:v>0.12003221916088741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B9-4085-85F3-49ABCD0148EB}"/>
            </c:ext>
          </c:extLst>
        </c:ser>
        <c:ser>
          <c:idx val="2"/>
          <c:order val="2"/>
          <c:tx>
            <c:strRef>
              <c:f>secontPart_new!$AM$17</c:f>
              <c:strCache>
                <c:ptCount val="1"/>
                <c:pt idx="0">
                  <c:v>0.268493151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secontPart_new!$AH$18:$AH$28</c:f>
              <c:numCache>
                <c:formatCode>General</c:formatCode>
                <c:ptCount val="1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</c:numCache>
            </c:numRef>
          </c:cat>
          <c:val>
            <c:numRef>
              <c:f>secontPart_new!$AN$18:$AN$28</c:f>
              <c:numCache>
                <c:formatCode>General</c:formatCode>
                <c:ptCount val="11"/>
                <c:pt idx="0">
                  <c:v>0.24860719117886843</c:v>
                </c:pt>
                <c:pt idx="1">
                  <c:v>0.2843956247828171</c:v>
                </c:pt>
                <c:pt idx="2">
                  <c:v>0.31386139555542836</c:v>
                </c:pt>
                <c:pt idx="3">
                  <c:v>0.33705029609677983</c:v>
                </c:pt>
                <c:pt idx="4">
                  <c:v>0.34999476066410329</c:v>
                </c:pt>
                <c:pt idx="5">
                  <c:v>0.34960995406458145</c:v>
                </c:pt>
                <c:pt idx="6">
                  <c:v>0.33480050043733389</c:v>
                </c:pt>
                <c:pt idx="7">
                  <c:v>0.30669683039738338</c:v>
                </c:pt>
                <c:pt idx="8">
                  <c:v>0.26931110904793371</c:v>
                </c:pt>
                <c:pt idx="9">
                  <c:v>0.22698515337237929</c:v>
                </c:pt>
                <c:pt idx="10">
                  <c:v>0.18480834279237821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B9-4085-85F3-49ABCD0148EB}"/>
            </c:ext>
          </c:extLst>
        </c:ser>
        <c:ser>
          <c:idx val="3"/>
          <c:order val="3"/>
          <c:tx>
            <c:strRef>
              <c:f>secontPart_new!$AO$17</c:f>
              <c:strCache>
                <c:ptCount val="1"/>
                <c:pt idx="0">
                  <c:v>0.364383562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secontPart_new!$AH$18:$AH$28</c:f>
              <c:numCache>
                <c:formatCode>General</c:formatCode>
                <c:ptCount val="1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</c:numCache>
            </c:numRef>
          </c:cat>
          <c:val>
            <c:numRef>
              <c:f>secontPart_new!$AP$18:$AP$28</c:f>
              <c:numCache>
                <c:formatCode>General</c:formatCode>
                <c:ptCount val="11"/>
                <c:pt idx="0">
                  <c:v>0.31462309023344154</c:v>
                </c:pt>
                <c:pt idx="1">
                  <c:v>0.34574425636694961</c:v>
                </c:pt>
                <c:pt idx="2">
                  <c:v>0.37303343081380103</c:v>
                </c:pt>
                <c:pt idx="3">
                  <c:v>0.39412200370216849</c:v>
                </c:pt>
                <c:pt idx="4">
                  <c:v>0.40684285664645969</c:v>
                </c:pt>
                <c:pt idx="5">
                  <c:v>0.40912511619679154</c:v>
                </c:pt>
                <c:pt idx="6">
                  <c:v>0.39987164457023783</c:v>
                </c:pt>
                <c:pt idx="7">
                  <c:v>0.38001903137318788</c:v>
                </c:pt>
                <c:pt idx="8">
                  <c:v>0.35106304129217947</c:v>
                </c:pt>
                <c:pt idx="9">
                  <c:v>0.31461034075919669</c:v>
                </c:pt>
                <c:pt idx="10">
                  <c:v>0.2760223239543641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B9-4085-85F3-49ABCD0148EB}"/>
            </c:ext>
          </c:extLst>
        </c:ser>
        <c:ser>
          <c:idx val="4"/>
          <c:order val="4"/>
          <c:tx>
            <c:strRef>
              <c:f>secontPart_new!$AQ$17</c:f>
              <c:strCache>
                <c:ptCount val="1"/>
                <c:pt idx="0">
                  <c:v>0.44109589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secontPart_new!$AH$18:$AH$28</c:f>
              <c:numCache>
                <c:formatCode>General</c:formatCode>
                <c:ptCount val="1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</c:numCache>
            </c:numRef>
          </c:cat>
          <c:val>
            <c:numRef>
              <c:f>secontPart_new!$AR$18:$AR$28</c:f>
              <c:numCache>
                <c:formatCode>General</c:formatCode>
                <c:ptCount val="11"/>
                <c:pt idx="0">
                  <c:v>0.35855534179393306</c:v>
                </c:pt>
                <c:pt idx="1">
                  <c:v>0.38805411392429839</c:v>
                </c:pt>
                <c:pt idx="2">
                  <c:v>0.41372132390756666</c:v>
                </c:pt>
                <c:pt idx="3">
                  <c:v>0.43395168278974627</c:v>
                </c:pt>
                <c:pt idx="4">
                  <c:v>0.44673217475284327</c:v>
                </c:pt>
                <c:pt idx="5">
                  <c:v>0.4506216036149287</c:v>
                </c:pt>
                <c:pt idx="6">
                  <c:v>0.44486763582895161</c:v>
                </c:pt>
                <c:pt idx="7">
                  <c:v>0.42892665989991718</c:v>
                </c:pt>
                <c:pt idx="8">
                  <c:v>0.40430355569036941</c:v>
                </c:pt>
                <c:pt idx="9">
                  <c:v>0.37361917766945735</c:v>
                </c:pt>
                <c:pt idx="10">
                  <c:v>0.3378170650916672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B9-4085-85F3-49ABCD0148EB}"/>
            </c:ext>
          </c:extLst>
        </c:ser>
        <c:ser>
          <c:idx val="5"/>
          <c:order val="5"/>
          <c:tx>
            <c:strRef>
              <c:f>secontPart_new!$AS$17</c:f>
              <c:strCache>
                <c:ptCount val="1"/>
                <c:pt idx="0">
                  <c:v>0.536986301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secontPart_new!$AH$18:$AH$28</c:f>
              <c:numCache>
                <c:formatCode>General</c:formatCode>
                <c:ptCount val="1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</c:numCache>
            </c:numRef>
          </c:cat>
          <c:val>
            <c:numRef>
              <c:f>secontPart_new!$AT$18:$AT$28</c:f>
              <c:numCache>
                <c:formatCode>General</c:formatCode>
                <c:ptCount val="11"/>
                <c:pt idx="0">
                  <c:v>0.40392897846605913</c:v>
                </c:pt>
                <c:pt idx="1">
                  <c:v>0.43328584261126846</c:v>
                </c:pt>
                <c:pt idx="2">
                  <c:v>0.45835320629002479</c:v>
                </c:pt>
                <c:pt idx="3">
                  <c:v>0.47841036144580762</c:v>
                </c:pt>
                <c:pt idx="4">
                  <c:v>0.49173758635194925</c:v>
                </c:pt>
                <c:pt idx="5">
                  <c:v>0.49716358001728833</c:v>
                </c:pt>
                <c:pt idx="6">
                  <c:v>0.49404109861619594</c:v>
                </c:pt>
                <c:pt idx="7">
                  <c:v>0.48214259679799637</c:v>
                </c:pt>
                <c:pt idx="8">
                  <c:v>0.46208943023615723</c:v>
                </c:pt>
                <c:pt idx="9">
                  <c:v>0.43472822009039153</c:v>
                </c:pt>
                <c:pt idx="10">
                  <c:v>0.40194719225133996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B9-4085-85F3-49ABCD0148EB}"/>
            </c:ext>
          </c:extLst>
        </c:ser>
        <c:ser>
          <c:idx val="6"/>
          <c:order val="6"/>
          <c:tx>
            <c:strRef>
              <c:f>secontPart_new!$AU$17</c:f>
              <c:strCache>
                <c:ptCount val="1"/>
                <c:pt idx="0">
                  <c:v>0.61369863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secontPart_new!$AH$18:$AH$28</c:f>
              <c:numCache>
                <c:formatCode>General</c:formatCode>
                <c:ptCount val="1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</c:numCache>
            </c:numRef>
          </c:cat>
          <c:val>
            <c:numRef>
              <c:f>secontPart_new!$AV$18:$AV$28</c:f>
              <c:numCache>
                <c:formatCode>General</c:formatCode>
                <c:ptCount val="11"/>
                <c:pt idx="0">
                  <c:v>0.43664951120988987</c:v>
                </c:pt>
                <c:pt idx="1">
                  <c:v>0.46568284915904895</c:v>
                </c:pt>
                <c:pt idx="2">
                  <c:v>0.49095214242083207</c:v>
                </c:pt>
                <c:pt idx="3">
                  <c:v>0.51077747304827459</c:v>
                </c:pt>
                <c:pt idx="4">
                  <c:v>0.52452962316506058</c:v>
                </c:pt>
                <c:pt idx="5">
                  <c:v>0.53110250719951657</c:v>
                </c:pt>
                <c:pt idx="6">
                  <c:v>0.52989180250972268</c:v>
                </c:pt>
                <c:pt idx="7">
                  <c:v>0.52077974375810787</c:v>
                </c:pt>
                <c:pt idx="8">
                  <c:v>0.5044442883419914</c:v>
                </c:pt>
                <c:pt idx="9">
                  <c:v>0.48077277205020225</c:v>
                </c:pt>
                <c:pt idx="10">
                  <c:v>0.4516104258167849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B9-4085-85F3-49ABCD0148EB}"/>
            </c:ext>
          </c:extLst>
        </c:ser>
        <c:ser>
          <c:idx val="7"/>
          <c:order val="7"/>
          <c:tx>
            <c:strRef>
              <c:f>secontPart_new!$AW$17</c:f>
              <c:strCache>
                <c:ptCount val="1"/>
                <c:pt idx="0">
                  <c:v>0.78630137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secontPart_new!$AH$18:$AH$28</c:f>
              <c:numCache>
                <c:formatCode>General</c:formatCode>
                <c:ptCount val="1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</c:numCache>
            </c:numRef>
          </c:cat>
          <c:val>
            <c:numRef>
              <c:f>secontPart_new!$AX$18:$AX$28</c:f>
              <c:numCache>
                <c:formatCode>General</c:formatCode>
                <c:ptCount val="11"/>
                <c:pt idx="0">
                  <c:v>0.50193261622784768</c:v>
                </c:pt>
                <c:pt idx="1">
                  <c:v>0.53022939954178716</c:v>
                </c:pt>
                <c:pt idx="2">
                  <c:v>0.55533644374598135</c:v>
                </c:pt>
                <c:pt idx="3">
                  <c:v>0.57578528092328607</c:v>
                </c:pt>
                <c:pt idx="4">
                  <c:v>0.59071962131840439</c:v>
                </c:pt>
                <c:pt idx="5">
                  <c:v>0.59946737658388749</c:v>
                </c:pt>
                <c:pt idx="6">
                  <c:v>0.60158950363173225</c:v>
                </c:pt>
                <c:pt idx="7">
                  <c:v>0.5968591751065303</c:v>
                </c:pt>
                <c:pt idx="8">
                  <c:v>0.58558440655212718</c:v>
                </c:pt>
                <c:pt idx="9">
                  <c:v>0.56779453706214977</c:v>
                </c:pt>
                <c:pt idx="10">
                  <c:v>0.54428182893128751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B9-4085-85F3-49ABCD0148EB}"/>
            </c:ext>
          </c:extLst>
        </c:ser>
        <c:ser>
          <c:idx val="8"/>
          <c:order val="8"/>
          <c:tx>
            <c:strRef>
              <c:f>secontPart_new!$AY$17</c:f>
              <c:strCache>
                <c:ptCount val="1"/>
                <c:pt idx="0">
                  <c:v>0.939726027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secontPart_new!$AH$18:$AH$28</c:f>
              <c:numCache>
                <c:formatCode>General</c:formatCode>
                <c:ptCount val="1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</c:numCache>
            </c:numRef>
          </c:cat>
          <c:val>
            <c:numRef>
              <c:f>secontPart_new!$AZ$18:$AZ$28</c:f>
              <c:numCache>
                <c:formatCode>General</c:formatCode>
                <c:ptCount val="11"/>
                <c:pt idx="0">
                  <c:v>0.55192418530440068</c:v>
                </c:pt>
                <c:pt idx="1">
                  <c:v>0.58022642941043767</c:v>
                </c:pt>
                <c:pt idx="2">
                  <c:v>0.60527832484598099</c:v>
                </c:pt>
                <c:pt idx="3">
                  <c:v>0.62609898595455926</c:v>
                </c:pt>
                <c:pt idx="4">
                  <c:v>0.64205820256569923</c:v>
                </c:pt>
                <c:pt idx="5">
                  <c:v>0.65265827854623948</c:v>
                </c:pt>
                <c:pt idx="6">
                  <c:v>0.65748623058712585</c:v>
                </c:pt>
                <c:pt idx="7">
                  <c:v>0.65641731394705349</c:v>
                </c:pt>
                <c:pt idx="8">
                  <c:v>0.649424563585699</c:v>
                </c:pt>
                <c:pt idx="9">
                  <c:v>0.63678701979250019</c:v>
                </c:pt>
                <c:pt idx="10">
                  <c:v>0.61903247323580879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B9-4085-85F3-49ABCD0148EB}"/>
            </c:ext>
          </c:extLst>
        </c:ser>
        <c:ser>
          <c:idx val="9"/>
          <c:order val="9"/>
          <c:tx>
            <c:strRef>
              <c:f>secontPart_new!$BA$17</c:f>
              <c:strCache>
                <c:ptCount val="1"/>
                <c:pt idx="0">
                  <c:v>1.189041096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secontPart_new!$AH$18:$AH$28</c:f>
              <c:numCache>
                <c:formatCode>General</c:formatCode>
                <c:ptCount val="1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</c:numCache>
            </c:numRef>
          </c:cat>
          <c:val>
            <c:numRef>
              <c:f>secontPart_new!$BB$18:$BB$28</c:f>
              <c:numCache>
                <c:formatCode>General</c:formatCode>
                <c:ptCount val="11"/>
                <c:pt idx="0">
                  <c:v>0.62483173542070258</c:v>
                </c:pt>
                <c:pt idx="1">
                  <c:v>0.65294147199822905</c:v>
                </c:pt>
                <c:pt idx="2">
                  <c:v>0.6781286877309135</c:v>
                </c:pt>
                <c:pt idx="3">
                  <c:v>0.69945420493149191</c:v>
                </c:pt>
                <c:pt idx="4">
                  <c:v>0.7165696203260854</c:v>
                </c:pt>
                <c:pt idx="5">
                  <c:v>0.7292320443002297</c:v>
                </c:pt>
                <c:pt idx="6">
                  <c:v>0.73706395926982016</c:v>
                </c:pt>
                <c:pt idx="7">
                  <c:v>0.73990829702721095</c:v>
                </c:pt>
                <c:pt idx="8">
                  <c:v>0.73783116283358974</c:v>
                </c:pt>
                <c:pt idx="9">
                  <c:v>0.73096337261281563</c:v>
                </c:pt>
                <c:pt idx="10">
                  <c:v>0.71975398008231539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B9-4085-85F3-49ABCD0148EB}"/>
            </c:ext>
          </c:extLst>
        </c:ser>
        <c:ser>
          <c:idx val="10"/>
          <c:order val="10"/>
          <c:tx>
            <c:strRef>
              <c:f>secontPart_new!$BC$17</c:f>
              <c:strCache>
                <c:ptCount val="1"/>
                <c:pt idx="0">
                  <c:v>1.438356164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secontPart_new!$AH$18:$AH$28</c:f>
              <c:numCache>
                <c:formatCode>General</c:formatCode>
                <c:ptCount val="1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</c:numCache>
            </c:numRef>
          </c:cat>
          <c:val>
            <c:numRef>
              <c:f>secontPart_new!$BD$18:$BD$28</c:f>
              <c:numCache>
                <c:formatCode>General</c:formatCode>
                <c:ptCount val="11"/>
                <c:pt idx="0">
                  <c:v>0.68566841677779988</c:v>
                </c:pt>
                <c:pt idx="1">
                  <c:v>0.71419692163256532</c:v>
                </c:pt>
                <c:pt idx="2">
                  <c:v>0.74008359697493609</c:v>
                </c:pt>
                <c:pt idx="3">
                  <c:v>0.76254446202850834</c:v>
                </c:pt>
                <c:pt idx="4">
                  <c:v>0.7812273216503608</c:v>
                </c:pt>
                <c:pt idx="5">
                  <c:v>0.7959795802548868</c:v>
                </c:pt>
                <c:pt idx="6">
                  <c:v>0.80640698722915605</c:v>
                </c:pt>
                <c:pt idx="7">
                  <c:v>0.81229593694508784</c:v>
                </c:pt>
                <c:pt idx="8">
                  <c:v>0.8137332827277739</c:v>
                </c:pt>
                <c:pt idx="9">
                  <c:v>0.81072117763380136</c:v>
                </c:pt>
                <c:pt idx="10">
                  <c:v>0.80357326983912758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B9-4085-85F3-49ABCD0148EB}"/>
            </c:ext>
          </c:extLst>
        </c:ser>
        <c:ser>
          <c:idx val="11"/>
          <c:order val="11"/>
          <c:tx>
            <c:strRef>
              <c:f>secontPart_new!$BE$17</c:f>
              <c:strCache>
                <c:ptCount val="1"/>
                <c:pt idx="0">
                  <c:v>1.783561644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secontPart_new!$AH$18:$AH$28</c:f>
              <c:numCache>
                <c:formatCode>General</c:formatCode>
                <c:ptCount val="1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</c:numCache>
            </c:numRef>
          </c:cat>
          <c:val>
            <c:numRef>
              <c:f>secontPart_new!$BF$18:$BF$28</c:f>
              <c:numCache>
                <c:formatCode>General</c:formatCode>
                <c:ptCount val="11"/>
                <c:pt idx="0">
                  <c:v>0.75968088317181848</c:v>
                </c:pt>
                <c:pt idx="1">
                  <c:v>0.7883319215848098</c:v>
                </c:pt>
                <c:pt idx="2">
                  <c:v>0.81450737144060081</c:v>
                </c:pt>
                <c:pt idx="3">
                  <c:v>0.8377800324089828</c:v>
                </c:pt>
                <c:pt idx="4">
                  <c:v>0.85790557566026993</c:v>
                </c:pt>
                <c:pt idx="5">
                  <c:v>0.87466758244960885</c:v>
                </c:pt>
                <c:pt idx="6">
                  <c:v>0.88796649820262019</c:v>
                </c:pt>
                <c:pt idx="7">
                  <c:v>0.89772210038002165</c:v>
                </c:pt>
                <c:pt idx="8">
                  <c:v>0.90401920717710915</c:v>
                </c:pt>
                <c:pt idx="9">
                  <c:v>0.90616355172101926</c:v>
                </c:pt>
                <c:pt idx="10">
                  <c:v>0.90504481863781272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0B9-4085-85F3-49ABCD0148EB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3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5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8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9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1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4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</c:bandFmts>
        <c:axId val="782483296"/>
        <c:axId val="782463744"/>
        <c:axId val="877935328"/>
      </c:surface3DChart>
      <c:catAx>
        <c:axId val="7824832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Strikes</a:t>
                </a:r>
              </a:p>
            </c:rich>
          </c:tx>
          <c:layout>
            <c:manualLayout>
              <c:xMode val="edge"/>
              <c:yMode val="edge"/>
              <c:x val="0.33950601671150299"/>
              <c:y val="0.6973623346319500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2463744"/>
        <c:crosses val="autoZero"/>
        <c:auto val="1"/>
        <c:lblAlgn val="ctr"/>
        <c:lblOffset val="100"/>
        <c:noMultiLvlLbl val="0"/>
      </c:catAx>
      <c:valAx>
        <c:axId val="782463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Vega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2483296"/>
        <c:crosses val="autoZero"/>
        <c:crossBetween val="midCat"/>
      </c:valAx>
      <c:serAx>
        <c:axId val="877935328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Mturity</a:t>
                </a:r>
              </a:p>
            </c:rich>
          </c:tx>
          <c:layout>
            <c:manualLayout>
              <c:xMode val="edge"/>
              <c:yMode val="edge"/>
              <c:x val="0.87526160492637917"/>
              <c:y val="0.62354746593911015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2463744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Rho</a:t>
            </a:r>
          </a:p>
        </c:rich>
      </c:tx>
      <c:layout>
        <c:manualLayout>
          <c:xMode val="edge"/>
          <c:yMode val="edge"/>
          <c:x val="0.46676816406583743"/>
          <c:y val="4.9960498537701875E-2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0"/>
      <c:rotY val="4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7.8612539503990567E-2"/>
          <c:y val="0.13827365807090963"/>
          <c:w val="0.90267997750281215"/>
          <c:h val="0.51898886883157158"/>
        </c:manualLayout>
      </c:layout>
      <c:surface3DChart>
        <c:wireframe val="0"/>
        <c:ser>
          <c:idx val="0"/>
          <c:order val="0"/>
          <c:tx>
            <c:strRef>
              <c:f>secontPart_new!$AI$111</c:f>
              <c:strCache>
                <c:ptCount val="1"/>
                <c:pt idx="0">
                  <c:v>0.095890411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secontPart_new!$AH$61:$AH$71</c:f>
              <c:numCache>
                <c:formatCode>General</c:formatCode>
                <c:ptCount val="1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</c:numCache>
            </c:numRef>
          </c:cat>
          <c:val>
            <c:numRef>
              <c:f>secontPart_new!$AJ$61:$AJ$71</c:f>
              <c:numCache>
                <c:formatCode>General</c:formatCode>
                <c:ptCount val="11"/>
                <c:pt idx="0">
                  <c:v>0.12564088558139205</c:v>
                </c:pt>
                <c:pt idx="1">
                  <c:v>0.12043079238661053</c:v>
                </c:pt>
                <c:pt idx="2">
                  <c:v>0.11097110338942393</c:v>
                </c:pt>
                <c:pt idx="3">
                  <c:v>9.7376389791577214E-2</c:v>
                </c:pt>
                <c:pt idx="4">
                  <c:v>7.9645936872914408E-2</c:v>
                </c:pt>
                <c:pt idx="5">
                  <c:v>5.9693082792060946E-2</c:v>
                </c:pt>
                <c:pt idx="6">
                  <c:v>4.0196668960230442E-2</c:v>
                </c:pt>
                <c:pt idx="7">
                  <c:v>2.4834121242424404E-2</c:v>
                </c:pt>
                <c:pt idx="8">
                  <c:v>1.4736835299368653E-2</c:v>
                </c:pt>
                <c:pt idx="9">
                  <c:v>8.743962528739815E-3</c:v>
                </c:pt>
                <c:pt idx="10">
                  <c:v>5.6285205272944899E-3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D4-4F88-BE69-32521A000CDF}"/>
            </c:ext>
          </c:extLst>
        </c:ser>
        <c:ser>
          <c:idx val="1"/>
          <c:order val="1"/>
          <c:tx>
            <c:strRef>
              <c:f>secontPart_new!$AK$111</c:f>
              <c:strCache>
                <c:ptCount val="1"/>
                <c:pt idx="0">
                  <c:v>0.191780822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secontPart_new!$AH$61:$AH$71</c:f>
              <c:numCache>
                <c:formatCode>General</c:formatCode>
                <c:ptCount val="1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</c:numCache>
            </c:numRef>
          </c:cat>
          <c:val>
            <c:numRef>
              <c:f>secontPart_new!$AL$61:$AL$71</c:f>
              <c:numCache>
                <c:formatCode>General</c:formatCode>
                <c:ptCount val="11"/>
                <c:pt idx="0">
                  <c:v>0.22603163653919367</c:v>
                </c:pt>
                <c:pt idx="1">
                  <c:v>0.21549113011401386</c:v>
                </c:pt>
                <c:pt idx="2">
                  <c:v>0.20037103779262597</c:v>
                </c:pt>
                <c:pt idx="3">
                  <c:v>0.180552061405202</c:v>
                </c:pt>
                <c:pt idx="4">
                  <c:v>0.1570389067419706</c:v>
                </c:pt>
                <c:pt idx="5">
                  <c:v>0.13065723406328877</c:v>
                </c:pt>
                <c:pt idx="6">
                  <c:v>0.10368588931801698</c:v>
                </c:pt>
                <c:pt idx="7">
                  <c:v>7.8229490448680203E-2</c:v>
                </c:pt>
                <c:pt idx="8">
                  <c:v>5.6685429728600779E-2</c:v>
                </c:pt>
                <c:pt idx="9">
                  <c:v>4.0007176550634627E-2</c:v>
                </c:pt>
                <c:pt idx="10">
                  <c:v>2.7590427008685418E-2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D4-4F88-BE69-32521A000CDF}"/>
            </c:ext>
          </c:extLst>
        </c:ser>
        <c:ser>
          <c:idx val="2"/>
          <c:order val="2"/>
          <c:tx>
            <c:strRef>
              <c:f>secontPart_new!$AM$111</c:f>
              <c:strCache>
                <c:ptCount val="1"/>
                <c:pt idx="0">
                  <c:v>0.268493151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secontPart_new!$AH$61:$AH$71</c:f>
              <c:numCache>
                <c:formatCode>General</c:formatCode>
                <c:ptCount val="1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</c:numCache>
            </c:numRef>
          </c:cat>
          <c:val>
            <c:numRef>
              <c:f>secontPart_new!$AN$61:$AN$71</c:f>
              <c:numCache>
                <c:formatCode>General</c:formatCode>
                <c:ptCount val="11"/>
                <c:pt idx="0">
                  <c:v>0.29951247680306298</c:v>
                </c:pt>
                <c:pt idx="1">
                  <c:v>0.28451248532711787</c:v>
                </c:pt>
                <c:pt idx="2">
                  <c:v>0.26729470320914334</c:v>
                </c:pt>
                <c:pt idx="3">
                  <c:v>0.24487561681819267</c:v>
                </c:pt>
                <c:pt idx="4">
                  <c:v>0.21784455949223969</c:v>
                </c:pt>
                <c:pt idx="5">
                  <c:v>0.18785264753682865</c:v>
                </c:pt>
                <c:pt idx="6">
                  <c:v>0.15664258237189096</c:v>
                </c:pt>
                <c:pt idx="7">
                  <c:v>0.1260822874569911</c:v>
                </c:pt>
                <c:pt idx="8">
                  <c:v>9.8364761385191415E-2</c:v>
                </c:pt>
                <c:pt idx="9">
                  <c:v>7.4397603163975229E-2</c:v>
                </c:pt>
                <c:pt idx="10">
                  <c:v>5.4944880837291793E-2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3D4-4F88-BE69-32521A000CDF}"/>
            </c:ext>
          </c:extLst>
        </c:ser>
        <c:ser>
          <c:idx val="3"/>
          <c:order val="3"/>
          <c:tx>
            <c:strRef>
              <c:f>secontPart_new!$AO$111</c:f>
              <c:strCache>
                <c:ptCount val="1"/>
                <c:pt idx="0">
                  <c:v>0.364383562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secontPart_new!$AH$61:$AH$71</c:f>
              <c:numCache>
                <c:formatCode>General</c:formatCode>
                <c:ptCount val="1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</c:numCache>
            </c:numRef>
          </c:cat>
          <c:val>
            <c:numRef>
              <c:f>secontPart_new!$AP$61:$AP$71</c:f>
              <c:numCache>
                <c:formatCode>General</c:formatCode>
                <c:ptCount val="11"/>
                <c:pt idx="0">
                  <c:v>0.3798332846733084</c:v>
                </c:pt>
                <c:pt idx="1">
                  <c:v>0.36473798395470131</c:v>
                </c:pt>
                <c:pt idx="2">
                  <c:v>0.34498474811109681</c:v>
                </c:pt>
                <c:pt idx="3">
                  <c:v>0.32110084701649189</c:v>
                </c:pt>
                <c:pt idx="4">
                  <c:v>0.29209315328754137</c:v>
                </c:pt>
                <c:pt idx="5">
                  <c:v>0.26069420514425506</c:v>
                </c:pt>
                <c:pt idx="6">
                  <c:v>0.2271304265297969</c:v>
                </c:pt>
                <c:pt idx="7">
                  <c:v>0.19393490607724245</c:v>
                </c:pt>
                <c:pt idx="8">
                  <c:v>0.16206768762364648</c:v>
                </c:pt>
                <c:pt idx="9">
                  <c:v>0.13205102153976614</c:v>
                </c:pt>
                <c:pt idx="10">
                  <c:v>0.10636865033386818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3D4-4F88-BE69-32521A000CDF}"/>
            </c:ext>
          </c:extLst>
        </c:ser>
        <c:ser>
          <c:idx val="4"/>
          <c:order val="4"/>
          <c:tx>
            <c:strRef>
              <c:f>secontPart_new!$AQ$111</c:f>
              <c:strCache>
                <c:ptCount val="1"/>
                <c:pt idx="0">
                  <c:v>0.44109589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secontPart_new!$AH$61:$AH$71</c:f>
              <c:numCache>
                <c:formatCode>General</c:formatCode>
                <c:ptCount val="1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</c:numCache>
            </c:numRef>
          </c:cat>
          <c:val>
            <c:numRef>
              <c:f>secontPart_new!$AR$61:$AR$71</c:f>
              <c:numCache>
                <c:formatCode>General</c:formatCode>
                <c:ptCount val="11"/>
                <c:pt idx="0">
                  <c:v>0.44128966451405227</c:v>
                </c:pt>
                <c:pt idx="1">
                  <c:v>0.42536116646868799</c:v>
                </c:pt>
                <c:pt idx="2">
                  <c:v>0.40510016830660389</c:v>
                </c:pt>
                <c:pt idx="3">
                  <c:v>0.37999247904988853</c:v>
                </c:pt>
                <c:pt idx="4">
                  <c:v>0.35070169156069197</c:v>
                </c:pt>
                <c:pt idx="5">
                  <c:v>0.3185243889131581</c:v>
                </c:pt>
                <c:pt idx="6">
                  <c:v>0.28437383923471948</c:v>
                </c:pt>
                <c:pt idx="7">
                  <c:v>0.24869454269546229</c:v>
                </c:pt>
                <c:pt idx="8">
                  <c:v>0.21386726074103621</c:v>
                </c:pt>
                <c:pt idx="9">
                  <c:v>0.18163404348798518</c:v>
                </c:pt>
                <c:pt idx="10">
                  <c:v>0.15161697148083036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3D4-4F88-BE69-32521A000CDF}"/>
            </c:ext>
          </c:extLst>
        </c:ser>
        <c:ser>
          <c:idx val="5"/>
          <c:order val="5"/>
          <c:tx>
            <c:strRef>
              <c:f>secontPart_new!$AS$111</c:f>
              <c:strCache>
                <c:ptCount val="1"/>
                <c:pt idx="0">
                  <c:v>0.536986301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secontPart_new!$AH$61:$AH$71</c:f>
              <c:numCache>
                <c:formatCode>General</c:formatCode>
                <c:ptCount val="1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</c:numCache>
            </c:numRef>
          </c:cat>
          <c:val>
            <c:numRef>
              <c:f>secontPart_new!$AT$61:$AT$71</c:f>
              <c:numCache>
                <c:formatCode>General</c:formatCode>
                <c:ptCount val="11"/>
                <c:pt idx="0">
                  <c:v>0.52016618694146888</c:v>
                </c:pt>
                <c:pt idx="1">
                  <c:v>0.50219926615325783</c:v>
                </c:pt>
                <c:pt idx="2">
                  <c:v>0.48095284238657232</c:v>
                </c:pt>
                <c:pt idx="3">
                  <c:v>0.454534404968783</c:v>
                </c:pt>
                <c:pt idx="4">
                  <c:v>0.42392777124977565</c:v>
                </c:pt>
                <c:pt idx="5">
                  <c:v>0.39019701214926356</c:v>
                </c:pt>
                <c:pt idx="6">
                  <c:v>0.35427128267896191</c:v>
                </c:pt>
                <c:pt idx="7">
                  <c:v>0.31696839396014148</c:v>
                </c:pt>
                <c:pt idx="8">
                  <c:v>0.27964760421616486</c:v>
                </c:pt>
                <c:pt idx="9">
                  <c:v>0.24308402740548474</c:v>
                </c:pt>
                <c:pt idx="10">
                  <c:v>0.20859976006455291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3D4-4F88-BE69-32521A000CDF}"/>
            </c:ext>
          </c:extLst>
        </c:ser>
        <c:ser>
          <c:idx val="6"/>
          <c:order val="6"/>
          <c:tx>
            <c:strRef>
              <c:f>secontPart_new!$AU$111</c:f>
              <c:strCache>
                <c:ptCount val="1"/>
                <c:pt idx="0">
                  <c:v>0.61369863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secontPart_new!$AH$61:$AH$71</c:f>
              <c:numCache>
                <c:formatCode>General</c:formatCode>
                <c:ptCount val="1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</c:numCache>
            </c:numRef>
          </c:cat>
          <c:val>
            <c:numRef>
              <c:f>secontPart_new!$AV$61:$AV$71</c:f>
              <c:numCache>
                <c:formatCode>General</c:formatCode>
                <c:ptCount val="11"/>
                <c:pt idx="0">
                  <c:v>0.58151573846390514</c:v>
                </c:pt>
                <c:pt idx="1">
                  <c:v>0.56292878712944627</c:v>
                </c:pt>
                <c:pt idx="2">
                  <c:v>0.53900006269926426</c:v>
                </c:pt>
                <c:pt idx="3">
                  <c:v>0.51287622150922563</c:v>
                </c:pt>
                <c:pt idx="4">
                  <c:v>0.48158014466737858</c:v>
                </c:pt>
                <c:pt idx="5">
                  <c:v>0.44731611145852418</c:v>
                </c:pt>
                <c:pt idx="6">
                  <c:v>0.41061057478257107</c:v>
                </c:pt>
                <c:pt idx="7">
                  <c:v>0.37251299485227835</c:v>
                </c:pt>
                <c:pt idx="8">
                  <c:v>0.33447979966562752</c:v>
                </c:pt>
                <c:pt idx="9">
                  <c:v>0.29616770998879538</c:v>
                </c:pt>
                <c:pt idx="10">
                  <c:v>0.25949014269474602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3D4-4F88-BE69-32521A000CDF}"/>
            </c:ext>
          </c:extLst>
        </c:ser>
        <c:ser>
          <c:idx val="7"/>
          <c:order val="7"/>
          <c:tx>
            <c:strRef>
              <c:f>secontPart_new!$AW$111</c:f>
              <c:strCache>
                <c:ptCount val="1"/>
                <c:pt idx="0">
                  <c:v>0.78630137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secontPart_new!$AH$61:$AH$71</c:f>
              <c:numCache>
                <c:formatCode>General</c:formatCode>
                <c:ptCount val="1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</c:numCache>
            </c:numRef>
          </c:cat>
          <c:val>
            <c:numRef>
              <c:f>secontPart_new!$AX$61:$AX$71</c:f>
              <c:numCache>
                <c:formatCode>General</c:formatCode>
                <c:ptCount val="11"/>
                <c:pt idx="0">
                  <c:v>0.71438594215661855</c:v>
                </c:pt>
                <c:pt idx="1">
                  <c:v>0.69625974417196046</c:v>
                </c:pt>
                <c:pt idx="2">
                  <c:v>0.67194890017609077</c:v>
                </c:pt>
                <c:pt idx="3">
                  <c:v>0.64343286061122784</c:v>
                </c:pt>
                <c:pt idx="4">
                  <c:v>0.61076647199213641</c:v>
                </c:pt>
                <c:pt idx="5">
                  <c:v>0.57501797607445659</c:v>
                </c:pt>
                <c:pt idx="6">
                  <c:v>0.53670778654338491</c:v>
                </c:pt>
                <c:pt idx="7">
                  <c:v>0.4964688440648804</c:v>
                </c:pt>
                <c:pt idx="8">
                  <c:v>0.45551234438571103</c:v>
                </c:pt>
                <c:pt idx="9">
                  <c:v>0.41393518978342031</c:v>
                </c:pt>
                <c:pt idx="10">
                  <c:v>0.37284206418794735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3D4-4F88-BE69-32521A000CDF}"/>
            </c:ext>
          </c:extLst>
        </c:ser>
        <c:ser>
          <c:idx val="8"/>
          <c:order val="8"/>
          <c:tx>
            <c:strRef>
              <c:f>secontPart_new!$AY$111</c:f>
              <c:strCache>
                <c:ptCount val="1"/>
                <c:pt idx="0">
                  <c:v>0.939726027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secontPart_new!$AH$61:$AH$71</c:f>
              <c:numCache>
                <c:formatCode>General</c:formatCode>
                <c:ptCount val="1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</c:numCache>
            </c:numRef>
          </c:cat>
          <c:val>
            <c:numRef>
              <c:f>secontPart_new!$AZ$61:$AZ$71</c:f>
              <c:numCache>
                <c:formatCode>General</c:formatCode>
                <c:ptCount val="11"/>
                <c:pt idx="0">
                  <c:v>0.82715734859084999</c:v>
                </c:pt>
                <c:pt idx="1">
                  <c:v>0.80823185606166914</c:v>
                </c:pt>
                <c:pt idx="2">
                  <c:v>0.78382838303222879</c:v>
                </c:pt>
                <c:pt idx="3">
                  <c:v>0.75564357492547096</c:v>
                </c:pt>
                <c:pt idx="4">
                  <c:v>0.72311480953939244</c:v>
                </c:pt>
                <c:pt idx="5">
                  <c:v>0.68765413207166159</c:v>
                </c:pt>
                <c:pt idx="6">
                  <c:v>0.64930999308880755</c:v>
                </c:pt>
                <c:pt idx="7">
                  <c:v>0.6089828022304834</c:v>
                </c:pt>
                <c:pt idx="8">
                  <c:v>0.56718675093218618</c:v>
                </c:pt>
                <c:pt idx="9">
                  <c:v>0.52473927379529428</c:v>
                </c:pt>
                <c:pt idx="10">
                  <c:v>0.48245888150232735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3D4-4F88-BE69-32521A000CDF}"/>
            </c:ext>
          </c:extLst>
        </c:ser>
        <c:ser>
          <c:idx val="9"/>
          <c:order val="9"/>
          <c:tx>
            <c:strRef>
              <c:f>secontPart_new!$BA$111</c:f>
              <c:strCache>
                <c:ptCount val="1"/>
                <c:pt idx="0">
                  <c:v>1.189041096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secontPart_new!$AH$61:$AH$71</c:f>
              <c:numCache>
                <c:formatCode>General</c:formatCode>
                <c:ptCount val="1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</c:numCache>
            </c:numRef>
          </c:cat>
          <c:val>
            <c:numRef>
              <c:f>secontPart_new!$BB$61:$BB$71</c:f>
              <c:numCache>
                <c:formatCode>General</c:formatCode>
                <c:ptCount val="11"/>
                <c:pt idx="0">
                  <c:v>1.0008119118316698</c:v>
                </c:pt>
                <c:pt idx="1">
                  <c:v>0.98256087567334127</c:v>
                </c:pt>
                <c:pt idx="2">
                  <c:v>0.95711926463192476</c:v>
                </c:pt>
                <c:pt idx="3">
                  <c:v>0.9298588402629997</c:v>
                </c:pt>
                <c:pt idx="4">
                  <c:v>0.89749141552075629</c:v>
                </c:pt>
                <c:pt idx="5">
                  <c:v>0.86281938695164595</c:v>
                </c:pt>
                <c:pt idx="6">
                  <c:v>0.82497180769725353</c:v>
                </c:pt>
                <c:pt idx="7">
                  <c:v>0.78466257903566761</c:v>
                </c:pt>
                <c:pt idx="8">
                  <c:v>0.74274983832229102</c:v>
                </c:pt>
                <c:pt idx="9">
                  <c:v>0.69977889376469704</c:v>
                </c:pt>
                <c:pt idx="10">
                  <c:v>0.65667612202974224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3D4-4F88-BE69-32521A000CDF}"/>
            </c:ext>
          </c:extLst>
        </c:ser>
        <c:ser>
          <c:idx val="10"/>
          <c:order val="10"/>
          <c:tx>
            <c:strRef>
              <c:f>secontPart_new!$BC$111</c:f>
              <c:strCache>
                <c:ptCount val="1"/>
                <c:pt idx="0">
                  <c:v>1.438356164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secontPart_new!$AH$61:$AH$71</c:f>
              <c:numCache>
                <c:formatCode>General</c:formatCode>
                <c:ptCount val="1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</c:numCache>
            </c:numRef>
          </c:cat>
          <c:val>
            <c:numRef>
              <c:f>secontPart_new!$BD$61:$BD$71</c:f>
              <c:numCache>
                <c:formatCode>General</c:formatCode>
                <c:ptCount val="11"/>
                <c:pt idx="0">
                  <c:v>1.1717622800656284</c:v>
                </c:pt>
                <c:pt idx="1">
                  <c:v>1.1553411715382014</c:v>
                </c:pt>
                <c:pt idx="2">
                  <c:v>1.1308460381145098</c:v>
                </c:pt>
                <c:pt idx="3">
                  <c:v>1.1048305463612265</c:v>
                </c:pt>
                <c:pt idx="4">
                  <c:v>1.0730076293462163</c:v>
                </c:pt>
                <c:pt idx="5">
                  <c:v>1.0388838692057381</c:v>
                </c:pt>
                <c:pt idx="6">
                  <c:v>1.0011139138830065</c:v>
                </c:pt>
                <c:pt idx="7">
                  <c:v>0.96026013372185004</c:v>
                </c:pt>
                <c:pt idx="8">
                  <c:v>0.91748295537507418</c:v>
                </c:pt>
                <c:pt idx="9">
                  <c:v>0.87309375161042679</c:v>
                </c:pt>
                <c:pt idx="10">
                  <c:v>0.82800560442784532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3D4-4F88-BE69-32521A000CDF}"/>
            </c:ext>
          </c:extLst>
        </c:ser>
        <c:ser>
          <c:idx val="11"/>
          <c:order val="11"/>
          <c:tx>
            <c:strRef>
              <c:f>secontPart_new!$BE$111</c:f>
              <c:strCache>
                <c:ptCount val="1"/>
                <c:pt idx="0">
                  <c:v>1.783561644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secontPart_new!$AH$61:$AH$71</c:f>
              <c:numCache>
                <c:formatCode>General</c:formatCode>
                <c:ptCount val="1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</c:numCache>
            </c:numRef>
          </c:cat>
          <c:val>
            <c:numRef>
              <c:f>secontPart_new!$BF$61:$BF$71</c:f>
              <c:numCache>
                <c:formatCode>General</c:formatCode>
                <c:ptCount val="11"/>
                <c:pt idx="0">
                  <c:v>1.3825803590800825</c:v>
                </c:pt>
                <c:pt idx="1">
                  <c:v>1.3684330920177401</c:v>
                </c:pt>
                <c:pt idx="2">
                  <c:v>1.3477709650141978</c:v>
                </c:pt>
                <c:pt idx="3">
                  <c:v>1.3236514548405636</c:v>
                </c:pt>
                <c:pt idx="4">
                  <c:v>1.2956294489390723</c:v>
                </c:pt>
                <c:pt idx="5">
                  <c:v>1.2640852283229627</c:v>
                </c:pt>
                <c:pt idx="6">
                  <c:v>1.2297314110000606</c:v>
                </c:pt>
                <c:pt idx="7">
                  <c:v>1.1928823818026484</c:v>
                </c:pt>
                <c:pt idx="8">
                  <c:v>1.1543054833730761</c:v>
                </c:pt>
                <c:pt idx="9">
                  <c:v>1.1119581215219452</c:v>
                </c:pt>
                <c:pt idx="10">
                  <c:v>1.0691856817405341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3D4-4F88-BE69-32521A000CDF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3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5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8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9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1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4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</c:bandFmts>
        <c:axId val="1011280976"/>
        <c:axId val="1011274320"/>
        <c:axId val="1015541408"/>
      </c:surface3DChart>
      <c:catAx>
        <c:axId val="10112809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Strike</a:t>
                </a:r>
              </a:p>
            </c:rich>
          </c:tx>
          <c:layout>
            <c:manualLayout>
              <c:xMode val="edge"/>
              <c:yMode val="edge"/>
              <c:x val="0.27765989058164647"/>
              <c:y val="0.7385586438931628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1274320"/>
        <c:crosses val="autoZero"/>
        <c:auto val="1"/>
        <c:lblAlgn val="ctr"/>
        <c:lblOffset val="100"/>
        <c:noMultiLvlLbl val="0"/>
      </c:catAx>
      <c:valAx>
        <c:axId val="1011274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Rho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1280976"/>
        <c:crosses val="autoZero"/>
        <c:crossBetween val="midCat"/>
      </c:valAx>
      <c:serAx>
        <c:axId val="1015541408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Maturity</a:t>
                </a:r>
              </a:p>
            </c:rich>
          </c:tx>
          <c:layout>
            <c:manualLayout>
              <c:xMode val="edge"/>
              <c:yMode val="edge"/>
              <c:x val="0.82518613744710478"/>
              <c:y val="0.73076035349598678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1274320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Theta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5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1383396727441195"/>
          <c:y val="0.14106000327621129"/>
          <c:w val="0.86216083843173341"/>
          <c:h val="0.68548118580866646"/>
        </c:manualLayout>
      </c:layout>
      <c:surface3DChart>
        <c:wireframe val="0"/>
        <c:ser>
          <c:idx val="0"/>
          <c:order val="0"/>
          <c:tx>
            <c:strRef>
              <c:f>secontPart_new!$AI$111</c:f>
              <c:strCache>
                <c:ptCount val="1"/>
                <c:pt idx="0">
                  <c:v>0.095890411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secontPart_new!$AH$112:$AH$122</c:f>
              <c:numCache>
                <c:formatCode>General</c:formatCode>
                <c:ptCount val="1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</c:numCache>
            </c:numRef>
          </c:cat>
          <c:val>
            <c:numRef>
              <c:f>secontPart_new!$AJ$112:$AJ$122</c:f>
              <c:numCache>
                <c:formatCode>General</c:formatCode>
                <c:ptCount val="11"/>
                <c:pt idx="0">
                  <c:v>-4.3235926092857417E-2</c:v>
                </c:pt>
                <c:pt idx="1">
                  <c:v>-5.6926463560672588E-2</c:v>
                </c:pt>
                <c:pt idx="2">
                  <c:v>-7.065788004073148E-2</c:v>
                </c:pt>
                <c:pt idx="3">
                  <c:v>-7.9909877550728439E-2</c:v>
                </c:pt>
                <c:pt idx="4">
                  <c:v>-8.2936037605474688E-2</c:v>
                </c:pt>
                <c:pt idx="5">
                  <c:v>-7.6762797805214958E-2</c:v>
                </c:pt>
                <c:pt idx="6">
                  <c:v>-6.2513323119438233E-2</c:v>
                </c:pt>
                <c:pt idx="7">
                  <c:v>-4.6315962076521472E-2</c:v>
                </c:pt>
                <c:pt idx="8">
                  <c:v>-3.2473645927268993E-2</c:v>
                </c:pt>
                <c:pt idx="9">
                  <c:v>-2.2364378557583966E-2</c:v>
                </c:pt>
                <c:pt idx="10">
                  <c:v>-1.6494986525843747E-2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FF-4577-A5DF-4127F3AD2D01}"/>
            </c:ext>
          </c:extLst>
        </c:ser>
        <c:ser>
          <c:idx val="1"/>
          <c:order val="1"/>
          <c:tx>
            <c:strRef>
              <c:f>secontPart_new!$AK$111</c:f>
              <c:strCache>
                <c:ptCount val="1"/>
                <c:pt idx="0">
                  <c:v>0.191780822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secontPart_new!$AH$112:$AH$122</c:f>
              <c:numCache>
                <c:formatCode>General</c:formatCode>
                <c:ptCount val="1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</c:numCache>
            </c:numRef>
          </c:cat>
          <c:val>
            <c:numRef>
              <c:f>secontPart_new!$AL$112:$AL$122</c:f>
              <c:numCache>
                <c:formatCode>General</c:formatCode>
                <c:ptCount val="11"/>
                <c:pt idx="0">
                  <c:v>-4.2383453168295705E-2</c:v>
                </c:pt>
                <c:pt idx="1">
                  <c:v>-4.8865859380322965E-2</c:v>
                </c:pt>
                <c:pt idx="2">
                  <c:v>-5.4269320239876899E-2</c:v>
                </c:pt>
                <c:pt idx="3">
                  <c:v>-5.7995695570430661E-2</c:v>
                </c:pt>
                <c:pt idx="4">
                  <c:v>-5.8499164280209993E-2</c:v>
                </c:pt>
                <c:pt idx="5">
                  <c:v>-5.645553498203678E-2</c:v>
                </c:pt>
                <c:pt idx="6">
                  <c:v>-5.1442258036951155E-2</c:v>
                </c:pt>
                <c:pt idx="7">
                  <c:v>-4.411316476236566E-2</c:v>
                </c:pt>
                <c:pt idx="8">
                  <c:v>-3.6137486946463807E-2</c:v>
                </c:pt>
                <c:pt idx="9">
                  <c:v>-2.86329543582662E-2</c:v>
                </c:pt>
                <c:pt idx="10">
                  <c:v>-2.1949207058345237E-2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FF-4577-A5DF-4127F3AD2D01}"/>
            </c:ext>
          </c:extLst>
        </c:ser>
        <c:ser>
          <c:idx val="2"/>
          <c:order val="2"/>
          <c:tx>
            <c:strRef>
              <c:f>secontPart_new!$AM$111</c:f>
              <c:strCache>
                <c:ptCount val="1"/>
                <c:pt idx="0">
                  <c:v>0.268493151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secontPart_new!$AH$112:$AH$122</c:f>
              <c:numCache>
                <c:formatCode>General</c:formatCode>
                <c:ptCount val="1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</c:numCache>
            </c:numRef>
          </c:cat>
          <c:val>
            <c:numRef>
              <c:f>secontPart_new!$AN$112:$AN$122</c:f>
              <c:numCache>
                <c:formatCode>General</c:formatCode>
                <c:ptCount val="11"/>
                <c:pt idx="0">
                  <c:v>-3.9088502834708279E-2</c:v>
                </c:pt>
                <c:pt idx="1">
                  <c:v>-4.4334493290694908E-2</c:v>
                </c:pt>
                <c:pt idx="2">
                  <c:v>-4.7101327574909549E-2</c:v>
                </c:pt>
                <c:pt idx="3">
                  <c:v>-4.8850129184016822E-2</c:v>
                </c:pt>
                <c:pt idx="4">
                  <c:v>-4.9427050835970369E-2</c:v>
                </c:pt>
                <c:pt idx="5">
                  <c:v>-4.7866350605115855E-2</c:v>
                </c:pt>
                <c:pt idx="6">
                  <c:v>-4.489081451071858E-2</c:v>
                </c:pt>
                <c:pt idx="7">
                  <c:v>-4.0309556475975207E-2</c:v>
                </c:pt>
                <c:pt idx="8">
                  <c:v>-3.4941328937510091E-2</c:v>
                </c:pt>
                <c:pt idx="9">
                  <c:v>-2.9152062763857463E-2</c:v>
                </c:pt>
                <c:pt idx="10">
                  <c:v>-2.3611925171830767E-2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FF-4577-A5DF-4127F3AD2D01}"/>
            </c:ext>
          </c:extLst>
        </c:ser>
        <c:ser>
          <c:idx val="3"/>
          <c:order val="3"/>
          <c:tx>
            <c:strRef>
              <c:f>secontPart_new!$AO$111</c:f>
              <c:strCache>
                <c:ptCount val="1"/>
                <c:pt idx="0">
                  <c:v>0.364383562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secontPart_new!$AH$112:$AH$122</c:f>
              <c:numCache>
                <c:formatCode>General</c:formatCode>
                <c:ptCount val="1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</c:numCache>
            </c:numRef>
          </c:cat>
          <c:val>
            <c:numRef>
              <c:f>secontPart_new!$AP$112:$AP$122</c:f>
              <c:numCache>
                <c:formatCode>General</c:formatCode>
                <c:ptCount val="11"/>
                <c:pt idx="0">
                  <c:v>-3.7700064643760044E-2</c:v>
                </c:pt>
                <c:pt idx="1">
                  <c:v>-4.0306718940314214E-2</c:v>
                </c:pt>
                <c:pt idx="2">
                  <c:v>-4.2292388556777118E-2</c:v>
                </c:pt>
                <c:pt idx="3">
                  <c:v>-4.3161805312781333E-2</c:v>
                </c:pt>
                <c:pt idx="4">
                  <c:v>-4.3948818560892611E-2</c:v>
                </c:pt>
                <c:pt idx="5">
                  <c:v>-4.3131540533733283E-2</c:v>
                </c:pt>
                <c:pt idx="6">
                  <c:v>-4.1002702851108963E-2</c:v>
                </c:pt>
                <c:pt idx="7">
                  <c:v>-3.8506119804466728E-2</c:v>
                </c:pt>
                <c:pt idx="8">
                  <c:v>-3.5159684787870717E-2</c:v>
                </c:pt>
                <c:pt idx="9">
                  <c:v>-3.1050652257234017E-2</c:v>
                </c:pt>
                <c:pt idx="10">
                  <c:v>-2.7113407619932552E-2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5FF-4577-A5DF-4127F3AD2D01}"/>
            </c:ext>
          </c:extLst>
        </c:ser>
        <c:ser>
          <c:idx val="4"/>
          <c:order val="4"/>
          <c:tx>
            <c:strRef>
              <c:f>secontPart_new!$AQ$111</c:f>
              <c:strCache>
                <c:ptCount val="1"/>
                <c:pt idx="0">
                  <c:v>0.44109589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secontPart_new!$AH$112:$AH$122</c:f>
              <c:numCache>
                <c:formatCode>General</c:formatCode>
                <c:ptCount val="1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</c:numCache>
            </c:numRef>
          </c:cat>
          <c:val>
            <c:numRef>
              <c:f>secontPart_new!$AR$112:$AR$122</c:f>
              <c:numCache>
                <c:formatCode>General</c:formatCode>
                <c:ptCount val="11"/>
                <c:pt idx="0">
                  <c:v>-3.5952679285505149E-2</c:v>
                </c:pt>
                <c:pt idx="1">
                  <c:v>-3.7901586818430449E-2</c:v>
                </c:pt>
                <c:pt idx="2">
                  <c:v>-3.9263983903835148E-2</c:v>
                </c:pt>
                <c:pt idx="3">
                  <c:v>-4.0167647286075588E-2</c:v>
                </c:pt>
                <c:pt idx="4">
                  <c:v>-4.0565440232172144E-2</c:v>
                </c:pt>
                <c:pt idx="5">
                  <c:v>-3.987363841646388E-2</c:v>
                </c:pt>
                <c:pt idx="6">
                  <c:v>-3.8835604226233451E-2</c:v>
                </c:pt>
                <c:pt idx="7">
                  <c:v>-3.6507450346494524E-2</c:v>
                </c:pt>
                <c:pt idx="8">
                  <c:v>-3.3891453487854432E-2</c:v>
                </c:pt>
                <c:pt idx="9">
                  <c:v>-3.1105653825154581E-2</c:v>
                </c:pt>
                <c:pt idx="10">
                  <c:v>-2.7886064921043535E-2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5FF-4577-A5DF-4127F3AD2D01}"/>
            </c:ext>
          </c:extLst>
        </c:ser>
        <c:ser>
          <c:idx val="5"/>
          <c:order val="5"/>
          <c:tx>
            <c:strRef>
              <c:f>secontPart_new!$AS$111</c:f>
              <c:strCache>
                <c:ptCount val="1"/>
                <c:pt idx="0">
                  <c:v>0.536986301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secontPart_new!$AH$112:$AH$122</c:f>
              <c:numCache>
                <c:formatCode>General</c:formatCode>
                <c:ptCount val="1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</c:numCache>
            </c:numRef>
          </c:cat>
          <c:val>
            <c:numRef>
              <c:f>secontPart_new!$AT$112:$AT$122</c:f>
              <c:numCache>
                <c:formatCode>General</c:formatCode>
                <c:ptCount val="11"/>
                <c:pt idx="0">
                  <c:v>-3.2640519748057303E-2</c:v>
                </c:pt>
                <c:pt idx="1">
                  <c:v>-3.4374103209570323E-2</c:v>
                </c:pt>
                <c:pt idx="2">
                  <c:v>-3.5369216171756548E-2</c:v>
                </c:pt>
                <c:pt idx="3">
                  <c:v>-3.6101027899436484E-2</c:v>
                </c:pt>
                <c:pt idx="4">
                  <c:v>-3.6417710559251533E-2</c:v>
                </c:pt>
                <c:pt idx="5">
                  <c:v>-3.6111067803897993E-2</c:v>
                </c:pt>
                <c:pt idx="6">
                  <c:v>-3.5399541944654174E-2</c:v>
                </c:pt>
                <c:pt idx="7">
                  <c:v>-3.3936020501394513E-2</c:v>
                </c:pt>
                <c:pt idx="8">
                  <c:v>-3.2068272295080955E-2</c:v>
                </c:pt>
                <c:pt idx="9">
                  <c:v>-2.975457902056099E-2</c:v>
                </c:pt>
                <c:pt idx="10">
                  <c:v>-2.7213514958750112E-2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5FF-4577-A5DF-4127F3AD2D01}"/>
            </c:ext>
          </c:extLst>
        </c:ser>
        <c:ser>
          <c:idx val="6"/>
          <c:order val="6"/>
          <c:tx>
            <c:strRef>
              <c:f>secontPart_new!$AU$111</c:f>
              <c:strCache>
                <c:ptCount val="1"/>
                <c:pt idx="0">
                  <c:v>0.61369863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secontPart_new!$AH$112:$AH$122</c:f>
              <c:numCache>
                <c:formatCode>General</c:formatCode>
                <c:ptCount val="1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</c:numCache>
            </c:numRef>
          </c:cat>
          <c:val>
            <c:numRef>
              <c:f>secontPart_new!$AV$112:$AV$122</c:f>
              <c:numCache>
                <c:formatCode>General</c:formatCode>
                <c:ptCount val="11"/>
                <c:pt idx="0">
                  <c:v>-3.040193658633095E-2</c:v>
                </c:pt>
                <c:pt idx="1">
                  <c:v>-3.1858225633727158E-2</c:v>
                </c:pt>
                <c:pt idx="2">
                  <c:v>-3.3214982341568902E-2</c:v>
                </c:pt>
                <c:pt idx="3">
                  <c:v>-3.3643389846992049E-2</c:v>
                </c:pt>
                <c:pt idx="4">
                  <c:v>-3.4029585354843558E-2</c:v>
                </c:pt>
                <c:pt idx="5">
                  <c:v>-3.384674123261508E-2</c:v>
                </c:pt>
                <c:pt idx="6">
                  <c:v>-3.3297228866020712E-2</c:v>
                </c:pt>
                <c:pt idx="7">
                  <c:v>-3.2280075793982593E-2</c:v>
                </c:pt>
                <c:pt idx="8">
                  <c:v>-3.1003625295762737E-2</c:v>
                </c:pt>
                <c:pt idx="9">
                  <c:v>-2.9130385275420185E-2</c:v>
                </c:pt>
                <c:pt idx="10">
                  <c:v>-2.7074558557552825E-2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5FF-4577-A5DF-4127F3AD2D01}"/>
            </c:ext>
          </c:extLst>
        </c:ser>
        <c:ser>
          <c:idx val="7"/>
          <c:order val="7"/>
          <c:tx>
            <c:strRef>
              <c:f>secontPart_new!$AW$111</c:f>
              <c:strCache>
                <c:ptCount val="1"/>
                <c:pt idx="0">
                  <c:v>0.78630137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secontPart_new!$AH$112:$AH$122</c:f>
              <c:numCache>
                <c:formatCode>General</c:formatCode>
                <c:ptCount val="1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</c:numCache>
            </c:numRef>
          </c:cat>
          <c:val>
            <c:numRef>
              <c:f>secontPart_new!$AX$112:$AX$122</c:f>
              <c:numCache>
                <c:formatCode>General</c:formatCode>
                <c:ptCount val="11"/>
                <c:pt idx="0">
                  <c:v>-2.6493272989447703E-2</c:v>
                </c:pt>
                <c:pt idx="1">
                  <c:v>-2.7388014969665812E-2</c:v>
                </c:pt>
                <c:pt idx="2">
                  <c:v>-2.8285766442930065E-2</c:v>
                </c:pt>
                <c:pt idx="3">
                  <c:v>-2.8906594926413603E-2</c:v>
                </c:pt>
                <c:pt idx="4">
                  <c:v>-2.9316305551205585E-2</c:v>
                </c:pt>
                <c:pt idx="5">
                  <c:v>-2.9383838615211166E-2</c:v>
                </c:pt>
                <c:pt idx="6">
                  <c:v>-2.9186473741206052E-2</c:v>
                </c:pt>
                <c:pt idx="7">
                  <c:v>-2.8550567585746176E-2</c:v>
                </c:pt>
                <c:pt idx="8">
                  <c:v>-2.7783638300417066E-2</c:v>
                </c:pt>
                <c:pt idx="9">
                  <c:v>-2.6632257801953562E-2</c:v>
                </c:pt>
                <c:pt idx="10">
                  <c:v>-2.5266285254078071E-2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5FF-4577-A5DF-4127F3AD2D01}"/>
            </c:ext>
          </c:extLst>
        </c:ser>
        <c:ser>
          <c:idx val="8"/>
          <c:order val="8"/>
          <c:tx>
            <c:strRef>
              <c:f>secontPart_new!$AY$111</c:f>
              <c:strCache>
                <c:ptCount val="1"/>
                <c:pt idx="0">
                  <c:v>0.939726027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val>
            <c:numRef>
              <c:f>secontPart_new!$AZ$112:$AZ$122</c:f>
              <c:numCache>
                <c:formatCode>General</c:formatCode>
                <c:ptCount val="11"/>
                <c:pt idx="0">
                  <c:v>-2.3694781757864474E-2</c:v>
                </c:pt>
                <c:pt idx="1">
                  <c:v>-2.4560276200393309E-2</c:v>
                </c:pt>
                <c:pt idx="2">
                  <c:v>-2.536962044125091E-2</c:v>
                </c:pt>
                <c:pt idx="3">
                  <c:v>-2.5927900678357225E-2</c:v>
                </c:pt>
                <c:pt idx="4">
                  <c:v>-2.6369398188940876E-2</c:v>
                </c:pt>
                <c:pt idx="5">
                  <c:v>-2.6512795958395161E-2</c:v>
                </c:pt>
                <c:pt idx="6">
                  <c:v>-2.6504414633050411E-2</c:v>
                </c:pt>
                <c:pt idx="7">
                  <c:v>-2.6204386791861201E-2</c:v>
                </c:pt>
                <c:pt idx="8">
                  <c:v>-2.5688044532478003E-2</c:v>
                </c:pt>
                <c:pt idx="9">
                  <c:v>-2.4992392461125695E-2</c:v>
                </c:pt>
                <c:pt idx="10">
                  <c:v>-2.4142424005812794E-2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5FF-4577-A5DF-4127F3AD2D01}"/>
            </c:ext>
          </c:extLst>
        </c:ser>
        <c:ser>
          <c:idx val="9"/>
          <c:order val="9"/>
          <c:tx>
            <c:strRef>
              <c:f>secontPart_new!$BA$111</c:f>
              <c:strCache>
                <c:ptCount val="1"/>
                <c:pt idx="0">
                  <c:v>1.189041096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val>
            <c:numRef>
              <c:f>secontPart_new!$BB$112:$BB$122</c:f>
              <c:numCache>
                <c:formatCode>General</c:formatCode>
                <c:ptCount val="11"/>
                <c:pt idx="0">
                  <c:v>-2.0922963025911779E-2</c:v>
                </c:pt>
                <c:pt idx="1">
                  <c:v>-2.1587173553503168E-2</c:v>
                </c:pt>
                <c:pt idx="2">
                  <c:v>-2.2370537101455264E-2</c:v>
                </c:pt>
                <c:pt idx="3">
                  <c:v>-2.281486228670224E-2</c:v>
                </c:pt>
                <c:pt idx="4">
                  <c:v>-2.3271411035107006E-2</c:v>
                </c:pt>
                <c:pt idx="5">
                  <c:v>-2.3442672143376784E-2</c:v>
                </c:pt>
                <c:pt idx="6">
                  <c:v>-2.3491962355056004E-2</c:v>
                </c:pt>
                <c:pt idx="7">
                  <c:v>-2.3480080256107594E-2</c:v>
                </c:pt>
                <c:pt idx="8">
                  <c:v>-2.3251496928481084E-2</c:v>
                </c:pt>
                <c:pt idx="9">
                  <c:v>-2.2916797523921593E-2</c:v>
                </c:pt>
                <c:pt idx="10">
                  <c:v>-2.2508203616307381E-2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5FF-4577-A5DF-4127F3AD2D01}"/>
            </c:ext>
          </c:extLst>
        </c:ser>
        <c:ser>
          <c:idx val="10"/>
          <c:order val="10"/>
          <c:tx>
            <c:strRef>
              <c:f>secontPart_new!$BC$111</c:f>
              <c:strCache>
                <c:ptCount val="1"/>
                <c:pt idx="0">
                  <c:v>1.438356164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val>
            <c:numRef>
              <c:f>secontPart_new!$BD$112:$BD$122</c:f>
              <c:numCache>
                <c:formatCode>General</c:formatCode>
                <c:ptCount val="11"/>
                <c:pt idx="0">
                  <c:v>-1.8210267457896657E-2</c:v>
                </c:pt>
                <c:pt idx="1">
                  <c:v>-1.8727370973512642E-2</c:v>
                </c:pt>
                <c:pt idx="2">
                  <c:v>-1.9377237057201638E-2</c:v>
                </c:pt>
                <c:pt idx="3">
                  <c:v>-1.9747191400420454E-2</c:v>
                </c:pt>
                <c:pt idx="4">
                  <c:v>-2.0158225091746938E-2</c:v>
                </c:pt>
                <c:pt idx="5">
                  <c:v>-2.0341174312711992E-2</c:v>
                </c:pt>
                <c:pt idx="6">
                  <c:v>-2.0444562506860685E-2</c:v>
                </c:pt>
                <c:pt idx="7">
                  <c:v>-2.0521922197313362E-2</c:v>
                </c:pt>
                <c:pt idx="8">
                  <c:v>-2.043062881942348E-2</c:v>
                </c:pt>
                <c:pt idx="9">
                  <c:v>-2.026715132867795E-2</c:v>
                </c:pt>
                <c:pt idx="10">
                  <c:v>-2.0055840464849602E-2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5FF-4577-A5DF-4127F3AD2D01}"/>
            </c:ext>
          </c:extLst>
        </c:ser>
        <c:ser>
          <c:idx val="11"/>
          <c:order val="11"/>
          <c:tx>
            <c:strRef>
              <c:f>secontPart_new!$BE$111</c:f>
              <c:strCache>
                <c:ptCount val="1"/>
                <c:pt idx="0">
                  <c:v>1.783561644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val>
            <c:numRef>
              <c:f>secontPart_new!$BF$112:$BF$122</c:f>
              <c:numCache>
                <c:formatCode>General</c:formatCode>
                <c:ptCount val="11"/>
                <c:pt idx="0">
                  <c:v>-1.6061125637403827E-2</c:v>
                </c:pt>
                <c:pt idx="1">
                  <c:v>-1.6532728654873732E-2</c:v>
                </c:pt>
                <c:pt idx="2">
                  <c:v>-1.7040070319592645E-2</c:v>
                </c:pt>
                <c:pt idx="3">
                  <c:v>-1.7456752271855499E-2</c:v>
                </c:pt>
                <c:pt idx="4">
                  <c:v>-1.7813695294909573E-2</c:v>
                </c:pt>
                <c:pt idx="5">
                  <c:v>-1.8108824530385356E-2</c:v>
                </c:pt>
                <c:pt idx="6">
                  <c:v>-1.8314197617029827E-2</c:v>
                </c:pt>
                <c:pt idx="7">
                  <c:v>-1.8416001818874709E-2</c:v>
                </c:pt>
                <c:pt idx="8">
                  <c:v>-1.8235920886630678E-2</c:v>
                </c:pt>
                <c:pt idx="9">
                  <c:v>-1.8490414852410857E-2</c:v>
                </c:pt>
                <c:pt idx="10">
                  <c:v>-1.8434968868200723E-2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5FF-4577-A5DF-4127F3AD2D01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3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5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8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9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1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4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</c:bandFmts>
        <c:axId val="1012937536"/>
        <c:axId val="1012940032"/>
        <c:axId val="805166912"/>
      </c:surface3DChart>
      <c:catAx>
        <c:axId val="10129375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Strike</a:t>
                </a:r>
              </a:p>
            </c:rich>
          </c:tx>
          <c:layout>
            <c:manualLayout>
              <c:xMode val="edge"/>
              <c:yMode val="edge"/>
              <c:x val="0.29591100386670716"/>
              <c:y val="0.69595719458531613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2940032"/>
        <c:crosses val="autoZero"/>
        <c:auto val="1"/>
        <c:lblAlgn val="ctr"/>
        <c:lblOffset val="100"/>
        <c:noMultiLvlLbl val="0"/>
      </c:catAx>
      <c:valAx>
        <c:axId val="1012940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Theta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2937536"/>
        <c:crosses val="autoZero"/>
        <c:crossBetween val="midCat"/>
      </c:valAx>
      <c:serAx>
        <c:axId val="805166912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Maturity</a:t>
                </a:r>
              </a:p>
            </c:rich>
          </c:tx>
          <c:layout>
            <c:manualLayout>
              <c:xMode val="edge"/>
              <c:yMode val="edge"/>
              <c:x val="0.68235743148474959"/>
              <c:y val="0.68176805266888996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2940032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Gamma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6.8293036584860398E-2"/>
          <c:y val="0.1359243830578282"/>
          <c:w val="0.88910114655121053"/>
          <c:h val="0.55553982203127805"/>
        </c:manualLayout>
      </c:layout>
      <c:surface3DChart>
        <c:wireframe val="0"/>
        <c:ser>
          <c:idx val="0"/>
          <c:order val="0"/>
          <c:tx>
            <c:strRef>
              <c:f>secontPart_new!$AI$152</c:f>
              <c:strCache>
                <c:ptCount val="1"/>
                <c:pt idx="0">
                  <c:v>0.095890411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secontPart_new!$AH$153:$AH$163</c:f>
              <c:numCache>
                <c:formatCode>General</c:formatCode>
                <c:ptCount val="1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</c:numCache>
            </c:numRef>
          </c:cat>
          <c:val>
            <c:numRef>
              <c:f>secontPart_new!$AJ$153:$AJ$163</c:f>
              <c:numCache>
                <c:formatCode>General</c:formatCode>
                <c:ptCount val="11"/>
                <c:pt idx="0">
                  <c:v>1.0143201690397664E-2</c:v>
                </c:pt>
                <c:pt idx="1">
                  <c:v>1.4380890605434134E-2</c:v>
                </c:pt>
                <c:pt idx="2">
                  <c:v>1.9130363410698886E-2</c:v>
                </c:pt>
                <c:pt idx="3">
                  <c:v>2.3703943103381159E-2</c:v>
                </c:pt>
                <c:pt idx="4">
                  <c:v>2.6612029789191645E-2</c:v>
                </c:pt>
                <c:pt idx="5">
                  <c:v>2.6739956691397608E-2</c:v>
                </c:pt>
                <c:pt idx="6">
                  <c:v>2.3492721764216472E-2</c:v>
                </c:pt>
                <c:pt idx="7">
                  <c:v>1.7802136803266411E-2</c:v>
                </c:pt>
                <c:pt idx="8">
                  <c:v>1.2178605547747757E-2</c:v>
                </c:pt>
                <c:pt idx="9">
                  <c:v>7.9354125114015107E-3</c:v>
                </c:pt>
                <c:pt idx="10">
                  <c:v>5.2941563162479527E-3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3C-438F-ACF8-6C98A65D5F8D}"/>
            </c:ext>
          </c:extLst>
        </c:ser>
        <c:ser>
          <c:idx val="1"/>
          <c:order val="1"/>
          <c:tx>
            <c:strRef>
              <c:f>secontPart_new!$AK$152</c:f>
              <c:strCache>
                <c:ptCount val="1"/>
                <c:pt idx="0">
                  <c:v>0.191780822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secontPart_new!$AH$153:$AH$163</c:f>
              <c:numCache>
                <c:formatCode>General</c:formatCode>
                <c:ptCount val="1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</c:numCache>
            </c:numRef>
          </c:cat>
          <c:val>
            <c:numRef>
              <c:f>secontPart_new!$AL$153:$AL$163</c:f>
              <c:numCache>
                <c:formatCode>General</c:formatCode>
                <c:ptCount val="11"/>
                <c:pt idx="0">
                  <c:v>1.0251605872546825E-2</c:v>
                </c:pt>
                <c:pt idx="1">
                  <c:v>1.2624586021963424E-2</c:v>
                </c:pt>
                <c:pt idx="2">
                  <c:v>1.500356968021606E-2</c:v>
                </c:pt>
                <c:pt idx="3">
                  <c:v>1.7046404338287521E-2</c:v>
                </c:pt>
                <c:pt idx="4">
                  <c:v>1.8605424352017029E-2</c:v>
                </c:pt>
                <c:pt idx="5">
                  <c:v>1.9028237000506581E-2</c:v>
                </c:pt>
                <c:pt idx="6">
                  <c:v>1.8266296320525562E-2</c:v>
                </c:pt>
                <c:pt idx="7">
                  <c:v>1.6403603644060093E-2</c:v>
                </c:pt>
                <c:pt idx="8">
                  <c:v>1.3752672518499365E-2</c:v>
                </c:pt>
                <c:pt idx="9">
                  <c:v>1.0913071263892607E-2</c:v>
                </c:pt>
                <c:pt idx="10">
                  <c:v>8.3047654248034723E-3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3C-438F-ACF8-6C98A65D5F8D}"/>
            </c:ext>
          </c:extLst>
        </c:ser>
        <c:ser>
          <c:idx val="2"/>
          <c:order val="2"/>
          <c:tx>
            <c:strRef>
              <c:f>secontPart_new!$AM$152</c:f>
              <c:strCache>
                <c:ptCount val="1"/>
                <c:pt idx="0">
                  <c:v>0.268493151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secontPart_new!$AH$153:$AH$163</c:f>
              <c:numCache>
                <c:formatCode>General</c:formatCode>
                <c:ptCount val="1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</c:numCache>
            </c:numRef>
          </c:cat>
          <c:val>
            <c:numRef>
              <c:f>secontPart_new!$AN$153:$AN$163</c:f>
              <c:numCache>
                <c:formatCode>General</c:formatCode>
                <c:ptCount val="11"/>
                <c:pt idx="0">
                  <c:v>9.651801718775747E-3</c:v>
                </c:pt>
                <c:pt idx="1">
                  <c:v>1.126545601643297E-2</c:v>
                </c:pt>
                <c:pt idx="2">
                  <c:v>1.3004865791143948E-2</c:v>
                </c:pt>
                <c:pt idx="3">
                  <c:v>1.455111591540904E-2</c:v>
                </c:pt>
                <c:pt idx="4">
                  <c:v>1.5596359159395808E-2</c:v>
                </c:pt>
                <c:pt idx="5">
                  <c:v>1.6143594726649255E-2</c:v>
                </c:pt>
                <c:pt idx="6">
                  <c:v>1.5852074961319386E-2</c:v>
                </c:pt>
                <c:pt idx="7">
                  <c:v>1.4865873863330627E-2</c:v>
                </c:pt>
                <c:pt idx="8">
                  <c:v>1.326349297186053E-2</c:v>
                </c:pt>
                <c:pt idx="9">
                  <c:v>1.1321883291021819E-2</c:v>
                </c:pt>
                <c:pt idx="10">
                  <c:v>9.2864916745750894E-3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3C-438F-ACF8-6C98A65D5F8D}"/>
            </c:ext>
          </c:extLst>
        </c:ser>
        <c:ser>
          <c:idx val="3"/>
          <c:order val="3"/>
          <c:tx>
            <c:strRef>
              <c:f>secontPart_new!$AO$152</c:f>
              <c:strCache>
                <c:ptCount val="1"/>
                <c:pt idx="0">
                  <c:v>0.364383562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secontPart_new!$AH$153:$AH$163</c:f>
              <c:numCache>
                <c:formatCode>General</c:formatCode>
                <c:ptCount val="1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</c:numCache>
            </c:numRef>
          </c:cat>
          <c:val>
            <c:numRef>
              <c:f>secontPart_new!$AP$153:$AP$163</c:f>
              <c:numCache>
                <c:formatCode>General</c:formatCode>
                <c:ptCount val="11"/>
                <c:pt idx="0">
                  <c:v>8.6407595568663217E-3</c:v>
                </c:pt>
                <c:pt idx="1">
                  <c:v>9.8372348546865943E-3</c:v>
                </c:pt>
                <c:pt idx="2">
                  <c:v>1.0989439539603268E-2</c:v>
                </c:pt>
                <c:pt idx="3">
                  <c:v>1.2087442558401936E-2</c:v>
                </c:pt>
                <c:pt idx="4">
                  <c:v>1.2728615252732965E-2</c:v>
                </c:pt>
                <c:pt idx="5">
                  <c:v>1.3178151734077811E-2</c:v>
                </c:pt>
                <c:pt idx="6">
                  <c:v>1.329543338420971E-2</c:v>
                </c:pt>
                <c:pt idx="7">
                  <c:v>1.2837838394541126E-2</c:v>
                </c:pt>
                <c:pt idx="8">
                  <c:v>1.2039725803289492E-2</c:v>
                </c:pt>
                <c:pt idx="9">
                  <c:v>1.098012291861044E-2</c:v>
                </c:pt>
                <c:pt idx="10">
                  <c:v>9.7047851222578363E-3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3C-438F-ACF8-6C98A65D5F8D}"/>
            </c:ext>
          </c:extLst>
        </c:ser>
        <c:ser>
          <c:idx val="4"/>
          <c:order val="4"/>
          <c:tx>
            <c:strRef>
              <c:f>secontPart_new!$AQ$152</c:f>
              <c:strCache>
                <c:ptCount val="1"/>
                <c:pt idx="0">
                  <c:v>0.44109589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secontPart_new!$AH$153:$AH$163</c:f>
              <c:numCache>
                <c:formatCode>General</c:formatCode>
                <c:ptCount val="1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</c:numCache>
            </c:numRef>
          </c:cat>
          <c:val>
            <c:numRef>
              <c:f>secontPart_new!$AR$153:$AR$163</c:f>
              <c:numCache>
                <c:formatCode>General</c:formatCode>
                <c:ptCount val="11"/>
                <c:pt idx="0">
                  <c:v>7.9528352498825904E-3</c:v>
                </c:pt>
                <c:pt idx="1">
                  <c:v>8.9019234643480886E-3</c:v>
                </c:pt>
                <c:pt idx="2">
                  <c:v>9.8302979355441925E-3</c:v>
                </c:pt>
                <c:pt idx="3">
                  <c:v>1.0636730767174672E-2</c:v>
                </c:pt>
                <c:pt idx="4">
                  <c:v>1.1227434958501543E-2</c:v>
                </c:pt>
                <c:pt idx="5">
                  <c:v>1.1677224990795184E-2</c:v>
                </c:pt>
                <c:pt idx="6">
                  <c:v>1.1741674599039395E-2</c:v>
                </c:pt>
                <c:pt idx="7">
                  <c:v>1.1654595655284134E-2</c:v>
                </c:pt>
                <c:pt idx="8">
                  <c:v>1.1195166355727879E-2</c:v>
                </c:pt>
                <c:pt idx="9">
                  <c:v>1.045262759162977E-2</c:v>
                </c:pt>
                <c:pt idx="10">
                  <c:v>9.5602237095151546E-3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3C-438F-ACF8-6C98A65D5F8D}"/>
            </c:ext>
          </c:extLst>
        </c:ser>
        <c:ser>
          <c:idx val="5"/>
          <c:order val="5"/>
          <c:tx>
            <c:strRef>
              <c:f>secontPart_new!$AS$152</c:f>
              <c:strCache>
                <c:ptCount val="1"/>
                <c:pt idx="0">
                  <c:v>0.536986301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secontPart_new!$AH$153:$AH$163</c:f>
              <c:numCache>
                <c:formatCode>General</c:formatCode>
                <c:ptCount val="1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</c:numCache>
            </c:numRef>
          </c:cat>
          <c:val>
            <c:numRef>
              <c:f>secontPart_new!$AT$153:$AT$163</c:f>
              <c:numCache>
                <c:formatCode>General</c:formatCode>
                <c:ptCount val="11"/>
                <c:pt idx="0">
                  <c:v>7.3865489218654526E-3</c:v>
                </c:pt>
                <c:pt idx="1">
                  <c:v>8.138411127592296E-3</c:v>
                </c:pt>
                <c:pt idx="2">
                  <c:v>8.9081839488459602E-3</c:v>
                </c:pt>
                <c:pt idx="3">
                  <c:v>9.5695996262708648E-3</c:v>
                </c:pt>
                <c:pt idx="4">
                  <c:v>1.0083732594299543E-2</c:v>
                </c:pt>
                <c:pt idx="5">
                  <c:v>1.045137308459191E-2</c:v>
                </c:pt>
                <c:pt idx="6">
                  <c:v>1.0582732857655829E-2</c:v>
                </c:pt>
                <c:pt idx="7">
                  <c:v>1.0559786737080652E-2</c:v>
                </c:pt>
                <c:pt idx="8">
                  <c:v>1.0306446155502816E-2</c:v>
                </c:pt>
                <c:pt idx="9">
                  <c:v>9.8671297101380478E-3</c:v>
                </c:pt>
                <c:pt idx="10">
                  <c:v>9.2536072542963137E-3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3C-438F-ACF8-6C98A65D5F8D}"/>
            </c:ext>
          </c:extLst>
        </c:ser>
        <c:ser>
          <c:idx val="6"/>
          <c:order val="6"/>
          <c:tx>
            <c:strRef>
              <c:f>secontPart_new!$AU$152</c:f>
              <c:strCache>
                <c:ptCount val="1"/>
                <c:pt idx="0">
                  <c:v>0.61369863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secontPart_new!$AH$153:$AH$163</c:f>
              <c:numCache>
                <c:formatCode>General</c:formatCode>
                <c:ptCount val="1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</c:numCache>
            </c:numRef>
          </c:cat>
          <c:val>
            <c:numRef>
              <c:f>secontPart_new!$AV$153:$AV$163</c:f>
              <c:numCache>
                <c:formatCode>General</c:formatCode>
                <c:ptCount val="11"/>
                <c:pt idx="0">
                  <c:v>6.9947370962354137E-3</c:v>
                </c:pt>
                <c:pt idx="1">
                  <c:v>7.6580280261078926E-3</c:v>
                </c:pt>
                <c:pt idx="2">
                  <c:v>8.2346615023851325E-3</c:v>
                </c:pt>
                <c:pt idx="3">
                  <c:v>8.8518828587004564E-3</c:v>
                </c:pt>
                <c:pt idx="4">
                  <c:v>9.2903095363157055E-3</c:v>
                </c:pt>
                <c:pt idx="5">
                  <c:v>9.6308403591854139E-3</c:v>
                </c:pt>
                <c:pt idx="6">
                  <c:v>9.7981613260414418E-3</c:v>
                </c:pt>
                <c:pt idx="7">
                  <c:v>9.8100264668466424E-3</c:v>
                </c:pt>
                <c:pt idx="8">
                  <c:v>9.6278936267935027E-3</c:v>
                </c:pt>
                <c:pt idx="9">
                  <c:v>9.3439125814903153E-3</c:v>
                </c:pt>
                <c:pt idx="10">
                  <c:v>8.9030949049119252E-3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53C-438F-ACF8-6C98A65D5F8D}"/>
            </c:ext>
          </c:extLst>
        </c:ser>
        <c:ser>
          <c:idx val="7"/>
          <c:order val="7"/>
          <c:tx>
            <c:strRef>
              <c:f>secontPart_new!$AW$152</c:f>
              <c:strCache>
                <c:ptCount val="1"/>
                <c:pt idx="0">
                  <c:v>0.78630137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secontPart_new!$AH$153:$AH$163</c:f>
              <c:numCache>
                <c:formatCode>General</c:formatCode>
                <c:ptCount val="1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</c:numCache>
            </c:numRef>
          </c:cat>
          <c:val>
            <c:numRef>
              <c:f>secontPart_new!$AX$153:$AX$163</c:f>
              <c:numCache>
                <c:formatCode>General</c:formatCode>
                <c:ptCount val="11"/>
                <c:pt idx="0">
                  <c:v>6.2630543412229237E-3</c:v>
                </c:pt>
                <c:pt idx="1">
                  <c:v>6.8153961358185635E-3</c:v>
                </c:pt>
                <c:pt idx="2">
                  <c:v>7.3025275426095975E-3</c:v>
                </c:pt>
                <c:pt idx="3">
                  <c:v>7.7428178653269081E-3</c:v>
                </c:pt>
                <c:pt idx="4">
                  <c:v>8.097218190866208E-3</c:v>
                </c:pt>
                <c:pt idx="5">
                  <c:v>8.3764546316926706E-3</c:v>
                </c:pt>
                <c:pt idx="6">
                  <c:v>8.5473865731503576E-3</c:v>
                </c:pt>
                <c:pt idx="7">
                  <c:v>8.6478809702898694E-3</c:v>
                </c:pt>
                <c:pt idx="8">
                  <c:v>8.6007473841701251E-3</c:v>
                </c:pt>
                <c:pt idx="9">
                  <c:v>8.4753826696308092E-3</c:v>
                </c:pt>
                <c:pt idx="10">
                  <c:v>8.2447944503667124E-3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53C-438F-ACF8-6C98A65D5F8D}"/>
            </c:ext>
          </c:extLst>
        </c:ser>
        <c:ser>
          <c:idx val="8"/>
          <c:order val="8"/>
          <c:tx>
            <c:strRef>
              <c:f>secontPart_new!$AY$152</c:f>
              <c:strCache>
                <c:ptCount val="1"/>
                <c:pt idx="0">
                  <c:v>0.939726027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secontPart_new!$AH$153:$AH$163</c:f>
              <c:numCache>
                <c:formatCode>General</c:formatCode>
                <c:ptCount val="1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</c:numCache>
            </c:numRef>
          </c:cat>
          <c:val>
            <c:numRef>
              <c:f>secontPart_new!$AZ$153:$AZ$163</c:f>
              <c:numCache>
                <c:formatCode>General</c:formatCode>
                <c:ptCount val="11"/>
                <c:pt idx="0">
                  <c:v>5.7186333718521332E-3</c:v>
                </c:pt>
                <c:pt idx="1">
                  <c:v>6.1575809626175058E-3</c:v>
                </c:pt>
                <c:pt idx="2">
                  <c:v>6.5519855296508177E-3</c:v>
                </c:pt>
                <c:pt idx="3">
                  <c:v>6.9199166732243295E-3</c:v>
                </c:pt>
                <c:pt idx="4">
                  <c:v>7.2177574848202707E-3</c:v>
                </c:pt>
                <c:pt idx="5">
                  <c:v>7.4739725186341397E-3</c:v>
                </c:pt>
                <c:pt idx="6">
                  <c:v>7.6434841500126376E-3</c:v>
                </c:pt>
                <c:pt idx="7">
                  <c:v>7.756076591678855E-3</c:v>
                </c:pt>
                <c:pt idx="8">
                  <c:v>7.7910814175363779E-3</c:v>
                </c:pt>
                <c:pt idx="9">
                  <c:v>7.743013301634058E-3</c:v>
                </c:pt>
                <c:pt idx="10">
                  <c:v>7.6152370305131297E-3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53C-438F-ACF8-6C98A65D5F8D}"/>
            </c:ext>
          </c:extLst>
        </c:ser>
        <c:ser>
          <c:idx val="9"/>
          <c:order val="9"/>
          <c:tx>
            <c:strRef>
              <c:f>secontPart_new!$BA$152</c:f>
              <c:strCache>
                <c:ptCount val="1"/>
                <c:pt idx="0">
                  <c:v>1.189041096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val>
            <c:numRef>
              <c:f>secontPart_new!$BB$153:$BB$163</c:f>
              <c:numCache>
                <c:formatCode>General</c:formatCode>
                <c:ptCount val="11"/>
                <c:pt idx="0">
                  <c:v>5.063808522551316E-3</c:v>
                </c:pt>
                <c:pt idx="1">
                  <c:v>5.4092425848956474E-3</c:v>
                </c:pt>
                <c:pt idx="2">
                  <c:v>5.6925283002131569E-3</c:v>
                </c:pt>
                <c:pt idx="3">
                  <c:v>5.9873848824317901E-3</c:v>
                </c:pt>
                <c:pt idx="4">
                  <c:v>6.2162652360232802E-3</c:v>
                </c:pt>
                <c:pt idx="5">
                  <c:v>6.4375347492496016E-3</c:v>
                </c:pt>
                <c:pt idx="6">
                  <c:v>6.6090302223921604E-3</c:v>
                </c:pt>
                <c:pt idx="7">
                  <c:v>6.7111266716319874E-3</c:v>
                </c:pt>
                <c:pt idx="8">
                  <c:v>6.7811503687544667E-3</c:v>
                </c:pt>
                <c:pt idx="9">
                  <c:v>6.793200673276106E-3</c:v>
                </c:pt>
                <c:pt idx="10">
                  <c:v>6.7450916374325355E-3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53C-438F-ACF8-6C98A65D5F8D}"/>
            </c:ext>
          </c:extLst>
        </c:ser>
        <c:ser>
          <c:idx val="10"/>
          <c:order val="10"/>
          <c:tx>
            <c:strRef>
              <c:f>secontPart_new!$BC$152</c:f>
              <c:strCache>
                <c:ptCount val="1"/>
                <c:pt idx="0">
                  <c:v>1.438356164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val>
            <c:numRef>
              <c:f>secontPart_new!$BD$153:$BD$163</c:f>
              <c:numCache>
                <c:formatCode>General</c:formatCode>
                <c:ptCount val="11"/>
                <c:pt idx="0">
                  <c:v>4.5936591521241361E-3</c:v>
                </c:pt>
                <c:pt idx="1">
                  <c:v>4.8911457504605101E-3</c:v>
                </c:pt>
                <c:pt idx="2">
                  <c:v>5.1357548615699961E-3</c:v>
                </c:pt>
                <c:pt idx="3">
                  <c:v>5.3960192279518451E-3</c:v>
                </c:pt>
                <c:pt idx="4">
                  <c:v>5.6024629643178789E-3</c:v>
                </c:pt>
                <c:pt idx="5">
                  <c:v>5.8087969365099483E-3</c:v>
                </c:pt>
                <c:pt idx="6">
                  <c:v>5.9774681451232629E-3</c:v>
                </c:pt>
                <c:pt idx="7">
                  <c:v>6.0906303997359558E-3</c:v>
                </c:pt>
                <c:pt idx="8">
                  <c:v>6.1824254246427447E-3</c:v>
                </c:pt>
                <c:pt idx="9">
                  <c:v>6.2284613261065569E-3</c:v>
                </c:pt>
                <c:pt idx="10">
                  <c:v>6.2252914288639339E-3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53C-438F-ACF8-6C98A65D5F8D}"/>
            </c:ext>
          </c:extLst>
        </c:ser>
        <c:ser>
          <c:idx val="11"/>
          <c:order val="11"/>
          <c:tx>
            <c:strRef>
              <c:f>secontPart_new!$BE$152</c:f>
              <c:strCache>
                <c:ptCount val="1"/>
                <c:pt idx="0">
                  <c:v>1.783561644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val>
            <c:numRef>
              <c:f>secontPart_new!$BF$153:$BF$163</c:f>
              <c:numCache>
                <c:formatCode>General</c:formatCode>
                <c:ptCount val="11"/>
                <c:pt idx="0">
                  <c:v>4.0007157205906837E-3</c:v>
                </c:pt>
                <c:pt idx="1">
                  <c:v>4.2262494239967445E-3</c:v>
                </c:pt>
                <c:pt idx="2">
                  <c:v>4.4253357212594895E-3</c:v>
                </c:pt>
                <c:pt idx="3">
                  <c:v>4.6151782970484155E-3</c:v>
                </c:pt>
                <c:pt idx="4">
                  <c:v>4.7872821085467613E-3</c:v>
                </c:pt>
                <c:pt idx="5">
                  <c:v>4.9391255417055701E-3</c:v>
                </c:pt>
                <c:pt idx="6">
                  <c:v>5.0748487665626101E-3</c:v>
                </c:pt>
                <c:pt idx="7">
                  <c:v>5.1964981998435574E-3</c:v>
                </c:pt>
                <c:pt idx="8">
                  <c:v>5.3463271451915755E-3</c:v>
                </c:pt>
                <c:pt idx="9">
                  <c:v>5.3508444557618428E-3</c:v>
                </c:pt>
                <c:pt idx="10">
                  <c:v>5.3902244713139886E-3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53C-438F-ACF8-6C98A65D5F8D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3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5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8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9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1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4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</c:bandFmts>
        <c:axId val="807155024"/>
        <c:axId val="807154192"/>
        <c:axId val="1004344608"/>
      </c:surface3DChart>
      <c:catAx>
        <c:axId val="8071550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Strike</a:t>
                </a:r>
              </a:p>
            </c:rich>
          </c:tx>
          <c:layout>
            <c:manualLayout>
              <c:xMode val="edge"/>
              <c:yMode val="edge"/>
              <c:x val="0.83888763835452418"/>
              <c:y val="0.5144956298406534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7154192"/>
        <c:crosses val="autoZero"/>
        <c:auto val="1"/>
        <c:lblAlgn val="ctr"/>
        <c:lblOffset val="100"/>
        <c:noMultiLvlLbl val="0"/>
      </c:catAx>
      <c:valAx>
        <c:axId val="80715419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Gamma</a:t>
                </a:r>
              </a:p>
            </c:rich>
          </c:tx>
          <c:layout>
            <c:manualLayout>
              <c:xMode val="edge"/>
              <c:yMode val="edge"/>
              <c:x val="0.83570643885706575"/>
              <c:y val="0.1663397823936267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7155024"/>
        <c:crosses val="autoZero"/>
        <c:crossBetween val="midCat"/>
      </c:valAx>
      <c:serAx>
        <c:axId val="1004344608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Maturity</a:t>
                </a:r>
              </a:p>
            </c:rich>
          </c:tx>
          <c:layout>
            <c:manualLayout>
              <c:xMode val="edge"/>
              <c:yMode val="edge"/>
              <c:x val="0.28045705320706088"/>
              <c:y val="0.80028147064349997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7154192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Delta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359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secontPart_new!$AI$194</c:f>
              <c:strCache>
                <c:ptCount val="1"/>
                <c:pt idx="0">
                  <c:v>0.095890411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secontPart_new!$AH$195:$AH$205</c:f>
              <c:numCache>
                <c:formatCode>General</c:formatCode>
                <c:ptCount val="1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</c:numCache>
            </c:numRef>
          </c:cat>
          <c:val>
            <c:numRef>
              <c:f>secontPart_new!$AJ$195:$AJ$205</c:f>
              <c:numCache>
                <c:formatCode>General</c:formatCode>
                <c:ptCount val="11"/>
                <c:pt idx="0">
                  <c:v>0.89481214608507398</c:v>
                </c:pt>
                <c:pt idx="1">
                  <c:v>0.83703128411593297</c:v>
                </c:pt>
                <c:pt idx="2">
                  <c:v>0.75528075225263303</c:v>
                </c:pt>
                <c:pt idx="3">
                  <c:v>0.65057007608373407</c:v>
                </c:pt>
                <c:pt idx="4">
                  <c:v>0.52411593996802741</c:v>
                </c:pt>
                <c:pt idx="5">
                  <c:v>0.3878954259861534</c:v>
                </c:pt>
                <c:pt idx="6">
                  <c:v>0.25858008649613728</c:v>
                </c:pt>
                <c:pt idx="7">
                  <c:v>0.15869074168974356</c:v>
                </c:pt>
                <c:pt idx="8">
                  <c:v>9.3782843610061714E-2</c:v>
                </c:pt>
                <c:pt idx="9">
                  <c:v>5.5509796744139944E-2</c:v>
                </c:pt>
                <c:pt idx="10">
                  <c:v>3.5708562978655364E-2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EE-4A68-BAD5-538F6FB3776C}"/>
            </c:ext>
          </c:extLst>
        </c:ser>
        <c:ser>
          <c:idx val="1"/>
          <c:order val="1"/>
          <c:tx>
            <c:strRef>
              <c:f>secontPart_new!$AK$194</c:f>
              <c:strCache>
                <c:ptCount val="1"/>
                <c:pt idx="0">
                  <c:v>0.191780822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secontPart_new!$AH$195:$AH$205</c:f>
              <c:numCache>
                <c:formatCode>General</c:formatCode>
                <c:ptCount val="1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</c:numCache>
            </c:numRef>
          </c:cat>
          <c:val>
            <c:numRef>
              <c:f>secontPart_new!$AL$195:$AL$205</c:f>
              <c:numCache>
                <c:formatCode>General</c:formatCode>
                <c:ptCount val="11"/>
                <c:pt idx="0">
                  <c:v>0.82725529451893942</c:v>
                </c:pt>
                <c:pt idx="1">
                  <c:v>0.77114631758957786</c:v>
                </c:pt>
                <c:pt idx="2">
                  <c:v>0.70277902707916606</c:v>
                </c:pt>
                <c:pt idx="3">
                  <c:v>0.62234283660338396</c:v>
                </c:pt>
                <c:pt idx="4">
                  <c:v>0.53265956500977785</c:v>
                </c:pt>
                <c:pt idx="5">
                  <c:v>0.43743266128759323</c:v>
                </c:pt>
                <c:pt idx="6">
                  <c:v>0.34333655909960481</c:v>
                </c:pt>
                <c:pt idx="7">
                  <c:v>0.25666714728002427</c:v>
                </c:pt>
                <c:pt idx="8">
                  <c:v>0.18468916777694852</c:v>
                </c:pt>
                <c:pt idx="9">
                  <c:v>0.12968242632466631</c:v>
                </c:pt>
                <c:pt idx="10">
                  <c:v>8.9072827772223875E-2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CEE-4A68-BAD5-538F6FB3776C}"/>
            </c:ext>
          </c:extLst>
        </c:ser>
        <c:ser>
          <c:idx val="2"/>
          <c:order val="2"/>
          <c:tx>
            <c:strRef>
              <c:f>secontPart_new!$AM$194</c:f>
              <c:strCache>
                <c:ptCount val="1"/>
                <c:pt idx="0">
                  <c:v>0.268493151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secontPart_new!$AH$195:$AH$205</c:f>
              <c:numCache>
                <c:formatCode>General</c:formatCode>
                <c:ptCount val="1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</c:numCache>
            </c:numRef>
          </c:cat>
          <c:val>
            <c:numRef>
              <c:f>secontPart_new!$AN$195:$AN$205</c:f>
              <c:numCache>
                <c:formatCode>General</c:formatCode>
                <c:ptCount val="11"/>
                <c:pt idx="0">
                  <c:v>0.79747289916274</c:v>
                </c:pt>
                <c:pt idx="1">
                  <c:v>0.74259694637431684</c:v>
                </c:pt>
                <c:pt idx="2">
                  <c:v>0.68316461103160542</c:v>
                </c:pt>
                <c:pt idx="3">
                  <c:v>0.61439107820747663</c:v>
                </c:pt>
                <c:pt idx="4">
                  <c:v>0.53816993286709502</c:v>
                </c:pt>
                <c:pt idx="5">
                  <c:v>0.45751806446928994</c:v>
                </c:pt>
                <c:pt idx="6">
                  <c:v>0.37715247099462335</c:v>
                </c:pt>
                <c:pt idx="7">
                  <c:v>0.30056359277205746</c:v>
                </c:pt>
                <c:pt idx="8">
                  <c:v>0.23261469660219899</c:v>
                </c:pt>
                <c:pt idx="9">
                  <c:v>0.17475306481962596</c:v>
                </c:pt>
                <c:pt idx="10">
                  <c:v>0.12835806675503675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CEE-4A68-BAD5-538F6FB3776C}"/>
            </c:ext>
          </c:extLst>
        </c:ser>
        <c:ser>
          <c:idx val="3"/>
          <c:order val="3"/>
          <c:tx>
            <c:strRef>
              <c:f>secontPart_new!$AO$194</c:f>
              <c:strCache>
                <c:ptCount val="1"/>
                <c:pt idx="0">
                  <c:v>0.364383562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secontPart_new!$AH$195:$AH$205</c:f>
              <c:numCache>
                <c:formatCode>General</c:formatCode>
                <c:ptCount val="1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</c:numCache>
            </c:numRef>
          </c:cat>
          <c:val>
            <c:numRef>
              <c:f>secontPart_new!$AP$195:$AP$205</c:f>
              <c:numCache>
                <c:formatCode>General</c:formatCode>
                <c:ptCount val="11"/>
                <c:pt idx="0">
                  <c:v>0.76620164033815141</c:v>
                </c:pt>
                <c:pt idx="1">
                  <c:v>0.71979695608479333</c:v>
                </c:pt>
                <c:pt idx="2">
                  <c:v>0.66731432427461601</c:v>
                </c:pt>
                <c:pt idx="3">
                  <c:v>0.60935239700386157</c:v>
                </c:pt>
                <c:pt idx="4">
                  <c:v>0.54632769276243465</c:v>
                </c:pt>
                <c:pt idx="5">
                  <c:v>0.48063413523768561</c:v>
                </c:pt>
                <c:pt idx="6">
                  <c:v>0.41318988407945745</c:v>
                </c:pt>
                <c:pt idx="7">
                  <c:v>0.34928791943089266</c:v>
                </c:pt>
                <c:pt idx="8">
                  <c:v>0.28931069178677538</c:v>
                </c:pt>
                <c:pt idx="9">
                  <c:v>0.23378126562457113</c:v>
                </c:pt>
                <c:pt idx="10">
                  <c:v>0.18713523669720408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CEE-4A68-BAD5-538F6FB3776C}"/>
            </c:ext>
          </c:extLst>
        </c:ser>
        <c:ser>
          <c:idx val="4"/>
          <c:order val="4"/>
          <c:tx>
            <c:strRef>
              <c:f>secontPart_new!$AQ$194</c:f>
              <c:strCache>
                <c:ptCount val="1"/>
                <c:pt idx="0">
                  <c:v>0.44109589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secontPart_new!$AH$195:$AH$205</c:f>
              <c:numCache>
                <c:formatCode>General</c:formatCode>
                <c:ptCount val="1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</c:numCache>
            </c:numRef>
          </c:cat>
          <c:val>
            <c:numRef>
              <c:f>secontPart_new!$AR$195:$AR$205</c:f>
              <c:numCache>
                <c:formatCode>General</c:formatCode>
                <c:ptCount val="11"/>
                <c:pt idx="0">
                  <c:v>0.75055327225970392</c:v>
                </c:pt>
                <c:pt idx="1">
                  <c:v>0.70779711617372465</c:v>
                </c:pt>
                <c:pt idx="2">
                  <c:v>0.66041883443274718</c:v>
                </c:pt>
                <c:pt idx="3">
                  <c:v>0.60831684058490509</c:v>
                </c:pt>
                <c:pt idx="4">
                  <c:v>0.5526769160853322</c:v>
                </c:pt>
                <c:pt idx="5">
                  <c:v>0.49436384433841085</c:v>
                </c:pt>
                <c:pt idx="6">
                  <c:v>0.43606998110474282</c:v>
                </c:pt>
                <c:pt idx="7">
                  <c:v>0.37658671534126203</c:v>
                </c:pt>
                <c:pt idx="8">
                  <c:v>0.32062019042723988</c:v>
                </c:pt>
                <c:pt idx="9">
                  <c:v>0.27015069017301024</c:v>
                </c:pt>
                <c:pt idx="10">
                  <c:v>0.22385427891503368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CEE-4A68-BAD5-538F6FB3776C}"/>
            </c:ext>
          </c:extLst>
        </c:ser>
        <c:ser>
          <c:idx val="5"/>
          <c:order val="5"/>
          <c:tx>
            <c:strRef>
              <c:f>secontPart_new!$AS$194</c:f>
              <c:strCache>
                <c:ptCount val="1"/>
                <c:pt idx="0">
                  <c:v>0.536986301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secontPart_new!$AH$195:$AH$205</c:f>
              <c:numCache>
                <c:formatCode>General</c:formatCode>
                <c:ptCount val="1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</c:numCache>
            </c:numRef>
          </c:cat>
          <c:val>
            <c:numRef>
              <c:f>secontPart_new!$AT$195:$AT$205</c:f>
              <c:numCache>
                <c:formatCode>General</c:formatCode>
                <c:ptCount val="11"/>
                <c:pt idx="0">
                  <c:v>0.74045166283138852</c:v>
                </c:pt>
                <c:pt idx="1">
                  <c:v>0.70012414310540882</c:v>
                </c:pt>
                <c:pt idx="2">
                  <c:v>0.6567432420687509</c:v>
                </c:pt>
                <c:pt idx="3">
                  <c:v>0.60945523832602466</c:v>
                </c:pt>
                <c:pt idx="4">
                  <c:v>0.55932162317932521</c:v>
                </c:pt>
                <c:pt idx="5">
                  <c:v>0.50722067152449568</c:v>
                </c:pt>
                <c:pt idx="6">
                  <c:v>0.45473652675942705</c:v>
                </c:pt>
                <c:pt idx="7">
                  <c:v>0.40192535078612551</c:v>
                </c:pt>
                <c:pt idx="8">
                  <c:v>0.35087926500405142</c:v>
                </c:pt>
                <c:pt idx="9">
                  <c:v>0.3020945950023286</c:v>
                </c:pt>
                <c:pt idx="10">
                  <c:v>0.25709663245855074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CEE-4A68-BAD5-538F6FB3776C}"/>
            </c:ext>
          </c:extLst>
        </c:ser>
        <c:ser>
          <c:idx val="6"/>
          <c:order val="6"/>
          <c:tx>
            <c:strRef>
              <c:f>secontPart_new!$AU$194</c:f>
              <c:strCache>
                <c:ptCount val="1"/>
                <c:pt idx="0">
                  <c:v>0.61369863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secontPart_new!$AH$195:$AH$205</c:f>
              <c:numCache>
                <c:formatCode>General</c:formatCode>
                <c:ptCount val="1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</c:numCache>
            </c:numRef>
          </c:cat>
          <c:val>
            <c:numRef>
              <c:f>secontPart_new!$AV$195:$AV$205</c:f>
              <c:numCache>
                <c:formatCode>General</c:formatCode>
                <c:ptCount val="11"/>
                <c:pt idx="0">
                  <c:v>0.7347504834551688</c:v>
                </c:pt>
                <c:pt idx="1">
                  <c:v>0.69654107442228463</c:v>
                </c:pt>
                <c:pt idx="2">
                  <c:v>0.65496238203665347</c:v>
                </c:pt>
                <c:pt idx="3">
                  <c:v>0.61123549070933736</c:v>
                </c:pt>
                <c:pt idx="4">
                  <c:v>0.56489085822254537</c:v>
                </c:pt>
                <c:pt idx="5">
                  <c:v>0.51686008974417141</c:v>
                </c:pt>
                <c:pt idx="6">
                  <c:v>0.46823926122978499</c:v>
                </c:pt>
                <c:pt idx="7">
                  <c:v>0.41972762232002142</c:v>
                </c:pt>
                <c:pt idx="8">
                  <c:v>0.37308215456300525</c:v>
                </c:pt>
                <c:pt idx="9">
                  <c:v>0.32699457277782407</c:v>
                </c:pt>
                <c:pt idx="10">
                  <c:v>0.28399495464160773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CEE-4A68-BAD5-538F6FB3776C}"/>
            </c:ext>
          </c:extLst>
        </c:ser>
        <c:ser>
          <c:idx val="7"/>
          <c:order val="7"/>
          <c:tx>
            <c:strRef>
              <c:f>secontPart_new!$AW$194</c:f>
              <c:strCache>
                <c:ptCount val="1"/>
                <c:pt idx="0">
                  <c:v>0.78630137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secontPart_new!$AH$195:$AH$205</c:f>
              <c:numCache>
                <c:formatCode>General</c:formatCode>
                <c:ptCount val="1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</c:numCache>
            </c:numRef>
          </c:cat>
          <c:val>
            <c:numRef>
              <c:f>secontPart_new!$AX$195:$AX$205</c:f>
              <c:numCache>
                <c:formatCode>General</c:formatCode>
                <c:ptCount val="11"/>
                <c:pt idx="0">
                  <c:v>0.72646755495435533</c:v>
                </c:pt>
                <c:pt idx="1">
                  <c:v>0.69248463347667455</c:v>
                </c:pt>
                <c:pt idx="2">
                  <c:v>0.65559890745719618</c:v>
                </c:pt>
                <c:pt idx="3">
                  <c:v>0.61667337212011342</c:v>
                </c:pt>
                <c:pt idx="4">
                  <c:v>0.57611504271386771</c:v>
                </c:pt>
                <c:pt idx="5">
                  <c:v>0.53439201435052819</c:v>
                </c:pt>
                <c:pt idx="6">
                  <c:v>0.49219560141882801</c:v>
                </c:pt>
                <c:pt idx="7">
                  <c:v>0.44940480044655573</c:v>
                </c:pt>
                <c:pt idx="8">
                  <c:v>0.40786093317673755</c:v>
                </c:pt>
                <c:pt idx="9">
                  <c:v>0.3666991629236761</c:v>
                </c:pt>
                <c:pt idx="10">
                  <c:v>0.3271188768389981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CEE-4A68-BAD5-538F6FB3776C}"/>
            </c:ext>
          </c:extLst>
        </c:ser>
        <c:ser>
          <c:idx val="8"/>
          <c:order val="8"/>
          <c:tx>
            <c:strRef>
              <c:f>secontPart_new!$AY$194</c:f>
              <c:strCache>
                <c:ptCount val="1"/>
                <c:pt idx="0">
                  <c:v>0.939726027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val>
            <c:numRef>
              <c:f>secontPart_new!$AZ$195:$AZ$205</c:f>
              <c:numCache>
                <c:formatCode>General</c:formatCode>
                <c:ptCount val="11"/>
                <c:pt idx="0">
                  <c:v>0.72321497011450875</c:v>
                </c:pt>
                <c:pt idx="1">
                  <c:v>0.69179469513309888</c:v>
                </c:pt>
                <c:pt idx="2">
                  <c:v>0.6583365481541763</c:v>
                </c:pt>
                <c:pt idx="3">
                  <c:v>0.62334142421790639</c:v>
                </c:pt>
                <c:pt idx="4">
                  <c:v>0.58708540797414066</c:v>
                </c:pt>
                <c:pt idx="5">
                  <c:v>0.54981616796820276</c:v>
                </c:pt>
                <c:pt idx="6">
                  <c:v>0.51219025817291808</c:v>
                </c:pt>
                <c:pt idx="7">
                  <c:v>0.47420006794319247</c:v>
                </c:pt>
                <c:pt idx="8">
                  <c:v>0.43643036800696039</c:v>
                </c:pt>
                <c:pt idx="9">
                  <c:v>0.39944781485434733</c:v>
                </c:pt>
                <c:pt idx="10">
                  <c:v>0.36372486112631602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CEE-4A68-BAD5-538F6FB3776C}"/>
            </c:ext>
          </c:extLst>
        </c:ser>
        <c:ser>
          <c:idx val="9"/>
          <c:order val="9"/>
          <c:tx>
            <c:strRef>
              <c:f>secontPart_new!$BA$194</c:f>
              <c:strCache>
                <c:ptCount val="1"/>
                <c:pt idx="0">
                  <c:v>1.189041096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val>
            <c:numRef>
              <c:f>secontPart_new!$BB$195:$BB$205</c:f>
              <c:numCache>
                <c:formatCode>General</c:formatCode>
                <c:ptCount val="11"/>
                <c:pt idx="0">
                  <c:v>0.7195449638716308</c:v>
                </c:pt>
                <c:pt idx="1">
                  <c:v>0.69150495824394898</c:v>
                </c:pt>
                <c:pt idx="2">
                  <c:v>0.66189412556308214</c:v>
                </c:pt>
                <c:pt idx="3">
                  <c:v>0.63133938992879657</c:v>
                </c:pt>
                <c:pt idx="4">
                  <c:v>0.59996960517955367</c:v>
                </c:pt>
                <c:pt idx="5">
                  <c:v>0.56773936046549367</c:v>
                </c:pt>
                <c:pt idx="6">
                  <c:v>0.53506702227019964</c:v>
                </c:pt>
                <c:pt idx="7">
                  <c:v>0.50262229105165757</c:v>
                </c:pt>
                <c:pt idx="8">
                  <c:v>0.46999967800182346</c:v>
                </c:pt>
                <c:pt idx="9">
                  <c:v>0.4379748240726396</c:v>
                </c:pt>
                <c:pt idx="10">
                  <c:v>0.40706160697900046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CEE-4A68-BAD5-538F6FB3776C}"/>
            </c:ext>
          </c:extLst>
        </c:ser>
        <c:ser>
          <c:idx val="10"/>
          <c:order val="10"/>
          <c:tx>
            <c:strRef>
              <c:f>secontPart_new!$BC$194</c:f>
              <c:strCache>
                <c:ptCount val="1"/>
                <c:pt idx="0">
                  <c:v>1.438356164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val>
            <c:numRef>
              <c:f>secontPart_new!$BD$195:$BD$205</c:f>
              <c:numCache>
                <c:formatCode>General</c:formatCode>
                <c:ptCount val="11"/>
                <c:pt idx="0">
                  <c:v>0.72085141260337426</c:v>
                </c:pt>
                <c:pt idx="1">
                  <c:v>0.69532823860262405</c:v>
                </c:pt>
                <c:pt idx="2">
                  <c:v>0.66850970603609361</c:v>
                </c:pt>
                <c:pt idx="3">
                  <c:v>0.64085022142545345</c:v>
                </c:pt>
                <c:pt idx="4">
                  <c:v>0.61250810259029909</c:v>
                </c:pt>
                <c:pt idx="5">
                  <c:v>0.58335398041339026</c:v>
                </c:pt>
                <c:pt idx="6">
                  <c:v>0.55376330418063835</c:v>
                </c:pt>
                <c:pt idx="7">
                  <c:v>0.52431709794718662</c:v>
                </c:pt>
                <c:pt idx="8">
                  <c:v>0.49458649714452685</c:v>
                </c:pt>
                <c:pt idx="9">
                  <c:v>0.46526261127188229</c:v>
                </c:pt>
                <c:pt idx="10">
                  <c:v>0.436795171250843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CEE-4A68-BAD5-538F6FB3776C}"/>
            </c:ext>
          </c:extLst>
        </c:ser>
        <c:ser>
          <c:idx val="11"/>
          <c:order val="11"/>
          <c:tx>
            <c:strRef>
              <c:f>secontPart_new!$BE$194</c:f>
              <c:strCache>
                <c:ptCount val="1"/>
                <c:pt idx="0">
                  <c:v>1.783561644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val>
            <c:numRef>
              <c:f>secontPart_new!$BF$195:$BF$205</c:f>
              <c:numCache>
                <c:formatCode>General</c:formatCode>
                <c:ptCount val="11"/>
                <c:pt idx="0">
                  <c:v>0.72372365072791844</c:v>
                </c:pt>
                <c:pt idx="1">
                  <c:v>0.70123008123636987</c:v>
                </c:pt>
                <c:pt idx="2">
                  <c:v>0.67793988503043989</c:v>
                </c:pt>
                <c:pt idx="3">
                  <c:v>0.65405626853646415</c:v>
                </c:pt>
                <c:pt idx="4">
                  <c:v>0.62968445600668066</c:v>
                </c:pt>
                <c:pt idx="5">
                  <c:v>0.60496505203304074</c:v>
                </c:pt>
                <c:pt idx="6">
                  <c:v>0.57993396697170219</c:v>
                </c:pt>
                <c:pt idx="7">
                  <c:v>0.55458650356310191</c:v>
                </c:pt>
                <c:pt idx="8">
                  <c:v>0.52778812270922892</c:v>
                </c:pt>
                <c:pt idx="9">
                  <c:v>0.50439198908787897</c:v>
                </c:pt>
                <c:pt idx="10">
                  <c:v>0.47969836064631494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CEE-4A68-BAD5-538F6FB3776C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3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5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8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9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1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4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</c:bandFmts>
        <c:axId val="1073735104"/>
        <c:axId val="1073731360"/>
        <c:axId val="1085734864"/>
      </c:surface3DChart>
      <c:catAx>
        <c:axId val="10737351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Strike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3731360"/>
        <c:crosses val="autoZero"/>
        <c:auto val="1"/>
        <c:lblAlgn val="ctr"/>
        <c:lblOffset val="100"/>
        <c:noMultiLvlLbl val="0"/>
      </c:catAx>
      <c:valAx>
        <c:axId val="1073731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Delta</a:t>
                </a:r>
              </a:p>
            </c:rich>
          </c:tx>
          <c:layout>
            <c:manualLayout>
              <c:xMode val="edge"/>
              <c:yMode val="edge"/>
              <c:x val="0.27833213763204345"/>
              <c:y val="0.17574203477011657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3735104"/>
        <c:crosses val="autoZero"/>
        <c:crossBetween val="midCat"/>
      </c:valAx>
      <c:serAx>
        <c:axId val="1085734864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3731360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Call Price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Market Value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(ThirdPart_new!$Q$7,ThirdPart_new!$Q$9,ThirdPart_new!$Q$11,ThirdPart_new!$Q$13,ThirdPart_new!$Q$15,ThirdPart_new!$Q$17,ThirdPart_new!$Q$19,ThirdPart_new!$Q$21,ThirdPart_new!$Q$23,ThirdPart_new!$Q$25,ThirdPart_new!$Q$27,ThirdPart_new!$Q$29)</c:f>
              <c:numCache>
                <c:formatCode>General</c:formatCode>
                <c:ptCount val="12"/>
                <c:pt idx="0">
                  <c:v>9.5890410958904104E-2</c:v>
                </c:pt>
                <c:pt idx="1">
                  <c:v>0.19178082191780821</c:v>
                </c:pt>
                <c:pt idx="2">
                  <c:v>0.26849315068493151</c:v>
                </c:pt>
                <c:pt idx="3">
                  <c:v>0.36438356164383562</c:v>
                </c:pt>
                <c:pt idx="4">
                  <c:v>0.44109589041095892</c:v>
                </c:pt>
                <c:pt idx="5">
                  <c:v>0.53698630136986303</c:v>
                </c:pt>
                <c:pt idx="6">
                  <c:v>0.61369863013698633</c:v>
                </c:pt>
                <c:pt idx="7">
                  <c:v>0.78630136986301369</c:v>
                </c:pt>
                <c:pt idx="8">
                  <c:v>0.9397260273972603</c:v>
                </c:pt>
                <c:pt idx="9">
                  <c:v>1.189041095890411</c:v>
                </c:pt>
                <c:pt idx="10">
                  <c:v>1.4383561643835616</c:v>
                </c:pt>
                <c:pt idx="11">
                  <c:v>1.7835616438356163</c:v>
                </c:pt>
              </c:numCache>
            </c:numRef>
          </c:cat>
          <c:val>
            <c:numRef>
              <c:f>(ThirdPart_new!$U$8,ThirdPart_new!$U$10,ThirdPart_new!$U$12,ThirdPart_new!$U$14,ThirdPart_new!$U$16,ThirdPart_new!$U$18,ThirdPart_new!$U$20,ThirdPart_new!$U$22,ThirdPart_new!$U$24,ThirdPart_new!$U$26,ThirdPart_new!$U$28,ThirdPart_new!$U$30)</c:f>
              <c:numCache>
                <c:formatCode>General</c:formatCode>
                <c:ptCount val="12"/>
                <c:pt idx="0">
                  <c:v>6.25</c:v>
                </c:pt>
                <c:pt idx="1">
                  <c:v>8.7750000000000004</c:v>
                </c:pt>
                <c:pt idx="2">
                  <c:v>10.399999999999999</c:v>
                </c:pt>
                <c:pt idx="3">
                  <c:v>12.649999999999999</c:v>
                </c:pt>
                <c:pt idx="4">
                  <c:v>14.15</c:v>
                </c:pt>
                <c:pt idx="5">
                  <c:v>15.7</c:v>
                </c:pt>
                <c:pt idx="6">
                  <c:v>16.975000000000001</c:v>
                </c:pt>
                <c:pt idx="7">
                  <c:v>19.299999999999997</c:v>
                </c:pt>
                <c:pt idx="8">
                  <c:v>21.5</c:v>
                </c:pt>
                <c:pt idx="9">
                  <c:v>24.674999999999997</c:v>
                </c:pt>
                <c:pt idx="10">
                  <c:v>24.674999999999997</c:v>
                </c:pt>
                <c:pt idx="11">
                  <c:v>31.024999999999999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58-4EE2-936F-5E705EE6E4C2}"/>
            </c:ext>
          </c:extLst>
        </c:ser>
        <c:ser>
          <c:idx val="1"/>
          <c:order val="1"/>
          <c:tx>
            <c:v>Black-Scholes</c:v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(ThirdPart_new!$Z$8,ThirdPart_new!$Z$10,ThirdPart_new!$Z$12,ThirdPart_new!$Z$14,ThirdPart_new!$Z$16,ThirdPart_new!$Z$18,ThirdPart_new!$Z$20,ThirdPart_new!$Z$22,ThirdPart_new!$Z$24,ThirdPart_new!$Z$26,ThirdPart_new!$Z$28,ThirdPart_new!$Z$30)</c:f>
              <c:numCache>
                <c:formatCode>General</c:formatCode>
                <c:ptCount val="12"/>
                <c:pt idx="0">
                  <c:v>6.0875460616938994</c:v>
                </c:pt>
                <c:pt idx="1">
                  <c:v>8.7154926113427251</c:v>
                </c:pt>
                <c:pt idx="2">
                  <c:v>10.401339988846345</c:v>
                </c:pt>
                <c:pt idx="3">
                  <c:v>12.763974292073343</c:v>
                </c:pt>
                <c:pt idx="4">
                  <c:v>14.4979114273563</c:v>
                </c:pt>
                <c:pt idx="5">
                  <c:v>16.189281975261153</c:v>
                </c:pt>
                <c:pt idx="6">
                  <c:v>17.610521430611499</c:v>
                </c:pt>
                <c:pt idx="7">
                  <c:v>20.315532257316818</c:v>
                </c:pt>
                <c:pt idx="8">
                  <c:v>22.907821916409574</c:v>
                </c:pt>
                <c:pt idx="9">
                  <c:v>26.568561328152512</c:v>
                </c:pt>
                <c:pt idx="10">
                  <c:v>29.581925129323224</c:v>
                </c:pt>
                <c:pt idx="11">
                  <c:v>34.460210556467942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D58-4EE2-936F-5E705EE6E4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14152368"/>
        <c:axId val="1014146128"/>
      </c:lineChart>
      <c:catAx>
        <c:axId val="1014152368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Maturity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4146128"/>
        <c:crosses val="autoZero"/>
        <c:auto val="1"/>
        <c:lblAlgn val="ctr"/>
        <c:lblOffset val="100"/>
        <c:noMultiLvlLbl val="0"/>
      </c:catAx>
      <c:valAx>
        <c:axId val="101414612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Call 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4152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Implied Volatility of market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0"/>
      <c:rotY val="1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secontPart_new!$E$2</c:f>
              <c:strCache>
                <c:ptCount val="1"/>
                <c:pt idx="0">
                  <c:v>0.095890411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secontPart_new!$D$3:$D$13</c:f>
              <c:numCache>
                <c:formatCode>General</c:formatCode>
                <c:ptCount val="1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</c:numCache>
            </c:numRef>
          </c:cat>
          <c:val>
            <c:numRef>
              <c:f>secontPart_new!$E$3:$E$13</c:f>
              <c:numCache>
                <c:formatCode>General</c:formatCode>
                <c:ptCount val="11"/>
                <c:pt idx="0">
                  <c:v>0.34079999999999999</c:v>
                </c:pt>
                <c:pt idx="1">
                  <c:v>0.3251</c:v>
                </c:pt>
                <c:pt idx="2">
                  <c:v>0.31180000000000002</c:v>
                </c:pt>
                <c:pt idx="3">
                  <c:v>0.29649999999999999</c:v>
                </c:pt>
                <c:pt idx="4">
                  <c:v>0.28410000000000002</c:v>
                </c:pt>
                <c:pt idx="5">
                  <c:v>0.27200000000000002</c:v>
                </c:pt>
                <c:pt idx="6">
                  <c:v>0.26140000000000002</c:v>
                </c:pt>
                <c:pt idx="7">
                  <c:v>0.2581</c:v>
                </c:pt>
                <c:pt idx="8">
                  <c:v>0.26100000000000001</c:v>
                </c:pt>
                <c:pt idx="9">
                  <c:v>0.2681</c:v>
                </c:pt>
                <c:pt idx="10">
                  <c:v>0.28170000000000001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13-4AD4-9CE1-985C041A5A64}"/>
            </c:ext>
          </c:extLst>
        </c:ser>
        <c:ser>
          <c:idx val="1"/>
          <c:order val="1"/>
          <c:tx>
            <c:strRef>
              <c:f>secontPart_new!$F$2</c:f>
              <c:strCache>
                <c:ptCount val="1"/>
                <c:pt idx="0">
                  <c:v>0.191780822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secontPart_new!$D$3:$D$13</c:f>
              <c:numCache>
                <c:formatCode>General</c:formatCode>
                <c:ptCount val="1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</c:numCache>
            </c:numRef>
          </c:cat>
          <c:val>
            <c:numRef>
              <c:f>secontPart_new!$F$3:$F$13</c:f>
              <c:numCache>
                <c:formatCode>General</c:formatCode>
                <c:ptCount val="11"/>
                <c:pt idx="0">
                  <c:v>0.33479999999999999</c:v>
                </c:pt>
                <c:pt idx="1">
                  <c:v>0.32200000000000001</c:v>
                </c:pt>
                <c:pt idx="2">
                  <c:v>0.30980000000000002</c:v>
                </c:pt>
                <c:pt idx="3">
                  <c:v>0.29930000000000001</c:v>
                </c:pt>
                <c:pt idx="4">
                  <c:v>0.28689999999999999</c:v>
                </c:pt>
                <c:pt idx="5">
                  <c:v>0.27800000000000002</c:v>
                </c:pt>
                <c:pt idx="6">
                  <c:v>0.27029999999999998</c:v>
                </c:pt>
                <c:pt idx="7">
                  <c:v>0.26369999999999999</c:v>
                </c:pt>
                <c:pt idx="8">
                  <c:v>0.26029999999999998</c:v>
                </c:pt>
                <c:pt idx="9">
                  <c:v>0.25979999999999998</c:v>
                </c:pt>
                <c:pt idx="10">
                  <c:v>0.26050000000000001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13-4AD4-9CE1-985C041A5A64}"/>
            </c:ext>
          </c:extLst>
        </c:ser>
        <c:ser>
          <c:idx val="2"/>
          <c:order val="2"/>
          <c:tx>
            <c:strRef>
              <c:f>secontPart_new!$G$2</c:f>
              <c:strCache>
                <c:ptCount val="1"/>
                <c:pt idx="0">
                  <c:v>0.268493151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secontPart_new!$D$3:$D$13</c:f>
              <c:numCache>
                <c:formatCode>General</c:formatCode>
                <c:ptCount val="1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</c:numCache>
            </c:numRef>
          </c:cat>
          <c:val>
            <c:numRef>
              <c:f>secontPart_new!$G$3:$G$13</c:f>
              <c:numCache>
                <c:formatCode>General</c:formatCode>
                <c:ptCount val="11"/>
                <c:pt idx="0">
                  <c:v>0.33160000000000001</c:v>
                </c:pt>
                <c:pt idx="1">
                  <c:v>0.32500000000000001</c:v>
                </c:pt>
                <c:pt idx="2">
                  <c:v>0.31069999999999998</c:v>
                </c:pt>
                <c:pt idx="3">
                  <c:v>0.29820000000000002</c:v>
                </c:pt>
                <c:pt idx="4">
                  <c:v>0.28889999999999999</c:v>
                </c:pt>
                <c:pt idx="5">
                  <c:v>0.27879999999999999</c:v>
                </c:pt>
                <c:pt idx="6">
                  <c:v>0.27189999999999998</c:v>
                </c:pt>
                <c:pt idx="7">
                  <c:v>0.2656</c:v>
                </c:pt>
                <c:pt idx="8">
                  <c:v>0.26140000000000002</c:v>
                </c:pt>
                <c:pt idx="9">
                  <c:v>0.2581</c:v>
                </c:pt>
                <c:pt idx="10">
                  <c:v>0.25619999999999998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13-4AD4-9CE1-985C041A5A64}"/>
            </c:ext>
          </c:extLst>
        </c:ser>
        <c:ser>
          <c:idx val="3"/>
          <c:order val="3"/>
          <c:tx>
            <c:strRef>
              <c:f>secontPart_new!$H$2</c:f>
              <c:strCache>
                <c:ptCount val="1"/>
                <c:pt idx="0">
                  <c:v>0.364383562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secontPart_new!$D$3:$D$13</c:f>
              <c:numCache>
                <c:formatCode>General</c:formatCode>
                <c:ptCount val="1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</c:numCache>
            </c:numRef>
          </c:cat>
          <c:val>
            <c:numRef>
              <c:f>secontPart_new!$H$3:$H$13</c:f>
              <c:numCache>
                <c:formatCode>General</c:formatCode>
                <c:ptCount val="11"/>
                <c:pt idx="0">
                  <c:v>0.34539999999999998</c:v>
                </c:pt>
                <c:pt idx="1">
                  <c:v>0.33339999999999997</c:v>
                </c:pt>
                <c:pt idx="2">
                  <c:v>0.32200000000000001</c:v>
                </c:pt>
                <c:pt idx="3">
                  <c:v>0.30930000000000002</c:v>
                </c:pt>
                <c:pt idx="4">
                  <c:v>0.30320000000000003</c:v>
                </c:pt>
                <c:pt idx="5">
                  <c:v>0.29449999999999998</c:v>
                </c:pt>
                <c:pt idx="6">
                  <c:v>0.2853</c:v>
                </c:pt>
                <c:pt idx="7">
                  <c:v>0.28079999999999999</c:v>
                </c:pt>
                <c:pt idx="8">
                  <c:v>0.27660000000000001</c:v>
                </c:pt>
                <c:pt idx="9">
                  <c:v>0.27179999999999999</c:v>
                </c:pt>
                <c:pt idx="10">
                  <c:v>0.26979999999999998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13-4AD4-9CE1-985C041A5A64}"/>
            </c:ext>
          </c:extLst>
        </c:ser>
        <c:ser>
          <c:idx val="4"/>
          <c:order val="4"/>
          <c:tx>
            <c:strRef>
              <c:f>secontPart_new!$I$2</c:f>
              <c:strCache>
                <c:ptCount val="1"/>
                <c:pt idx="0">
                  <c:v>0.44109589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secontPart_new!$D$3:$D$13</c:f>
              <c:numCache>
                <c:formatCode>General</c:formatCode>
                <c:ptCount val="1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</c:numCache>
            </c:numRef>
          </c:cat>
          <c:val>
            <c:numRef>
              <c:f>secontPart_new!$I$3:$I$13</c:f>
              <c:numCache>
                <c:formatCode>General</c:formatCode>
                <c:ptCount val="11"/>
                <c:pt idx="0">
                  <c:v>0.3533</c:v>
                </c:pt>
                <c:pt idx="1">
                  <c:v>0.34160000000000001</c:v>
                </c:pt>
                <c:pt idx="2">
                  <c:v>0.32979999999999998</c:v>
                </c:pt>
                <c:pt idx="3">
                  <c:v>0.31969999999999998</c:v>
                </c:pt>
                <c:pt idx="4">
                  <c:v>0.31180000000000002</c:v>
                </c:pt>
                <c:pt idx="5">
                  <c:v>0.3024</c:v>
                </c:pt>
                <c:pt idx="6">
                  <c:v>0.2969</c:v>
                </c:pt>
                <c:pt idx="7">
                  <c:v>0.28839999999999999</c:v>
                </c:pt>
                <c:pt idx="8">
                  <c:v>0.28299999999999997</c:v>
                </c:pt>
                <c:pt idx="9">
                  <c:v>0.28010000000000002</c:v>
                </c:pt>
                <c:pt idx="10">
                  <c:v>0.27689999999999998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113-4AD4-9CE1-985C041A5A64}"/>
            </c:ext>
          </c:extLst>
        </c:ser>
        <c:ser>
          <c:idx val="5"/>
          <c:order val="5"/>
          <c:tx>
            <c:strRef>
              <c:f>secontPart_new!$J$2</c:f>
              <c:strCache>
                <c:ptCount val="1"/>
                <c:pt idx="0">
                  <c:v>0.536986301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secontPart_new!$D$3:$D$13</c:f>
              <c:numCache>
                <c:formatCode>General</c:formatCode>
                <c:ptCount val="1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</c:numCache>
            </c:numRef>
          </c:cat>
          <c:val>
            <c:numRef>
              <c:f>secontPart_new!$J$3:$J$13</c:f>
              <c:numCache>
                <c:formatCode>General</c:formatCode>
                <c:ptCount val="11"/>
                <c:pt idx="0">
                  <c:v>0.35199999999999998</c:v>
                </c:pt>
                <c:pt idx="1">
                  <c:v>0.3427</c:v>
                </c:pt>
                <c:pt idx="2">
                  <c:v>0.33119999999999999</c:v>
                </c:pt>
                <c:pt idx="3">
                  <c:v>0.32179999999999997</c:v>
                </c:pt>
                <c:pt idx="4">
                  <c:v>0.31390000000000001</c:v>
                </c:pt>
                <c:pt idx="5">
                  <c:v>0.30620000000000003</c:v>
                </c:pt>
                <c:pt idx="6">
                  <c:v>0.30049999999999999</c:v>
                </c:pt>
                <c:pt idx="7">
                  <c:v>0.29389999999999999</c:v>
                </c:pt>
                <c:pt idx="8">
                  <c:v>0.28860000000000002</c:v>
                </c:pt>
                <c:pt idx="9">
                  <c:v>0.28360000000000002</c:v>
                </c:pt>
                <c:pt idx="10">
                  <c:v>0.27960000000000002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113-4AD4-9CE1-985C041A5A64}"/>
            </c:ext>
          </c:extLst>
        </c:ser>
        <c:ser>
          <c:idx val="6"/>
          <c:order val="6"/>
          <c:tx>
            <c:strRef>
              <c:f>secontPart_new!$K$2</c:f>
              <c:strCache>
                <c:ptCount val="1"/>
                <c:pt idx="0">
                  <c:v>0.61369863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secontPart_new!$D$3:$D$13</c:f>
              <c:numCache>
                <c:formatCode>General</c:formatCode>
                <c:ptCount val="1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</c:numCache>
            </c:numRef>
          </c:cat>
          <c:val>
            <c:numRef>
              <c:f>secontPart_new!$K$3:$K$13</c:f>
              <c:numCache>
                <c:formatCode>General</c:formatCode>
                <c:ptCount val="11"/>
                <c:pt idx="0">
                  <c:v>0.35160000000000002</c:v>
                </c:pt>
                <c:pt idx="1">
                  <c:v>0.34250000000000003</c:v>
                </c:pt>
                <c:pt idx="2">
                  <c:v>0.33579999999999999</c:v>
                </c:pt>
                <c:pt idx="3">
                  <c:v>0.32500000000000001</c:v>
                </c:pt>
                <c:pt idx="4">
                  <c:v>0.318</c:v>
                </c:pt>
                <c:pt idx="5">
                  <c:v>0.31059999999999999</c:v>
                </c:pt>
                <c:pt idx="6">
                  <c:v>0.30459999999999998</c:v>
                </c:pt>
                <c:pt idx="7">
                  <c:v>0.29899999999999999</c:v>
                </c:pt>
                <c:pt idx="8">
                  <c:v>0.29509999999999997</c:v>
                </c:pt>
                <c:pt idx="9">
                  <c:v>0.2898</c:v>
                </c:pt>
                <c:pt idx="10">
                  <c:v>0.28570000000000001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113-4AD4-9CE1-985C041A5A64}"/>
            </c:ext>
          </c:extLst>
        </c:ser>
        <c:ser>
          <c:idx val="7"/>
          <c:order val="7"/>
          <c:tx>
            <c:strRef>
              <c:f>secontPart_new!$L$2</c:f>
              <c:strCache>
                <c:ptCount val="1"/>
                <c:pt idx="0">
                  <c:v>0.78630137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secontPart_new!$D$3:$D$13</c:f>
              <c:numCache>
                <c:formatCode>General</c:formatCode>
                <c:ptCount val="1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</c:numCache>
            </c:numRef>
          </c:cat>
          <c:val>
            <c:numRef>
              <c:f>secontPart_new!$L$3:$L$13</c:f>
              <c:numCache>
                <c:formatCode>General</c:formatCode>
                <c:ptCount val="11"/>
                <c:pt idx="0">
                  <c:v>0.3523</c:v>
                </c:pt>
                <c:pt idx="1">
                  <c:v>0.34200000000000003</c:v>
                </c:pt>
                <c:pt idx="2">
                  <c:v>0.33429999999999999</c:v>
                </c:pt>
                <c:pt idx="3">
                  <c:v>0.32690000000000002</c:v>
                </c:pt>
                <c:pt idx="4">
                  <c:v>0.32069999999999999</c:v>
                </c:pt>
                <c:pt idx="5">
                  <c:v>0.31459999999999999</c:v>
                </c:pt>
                <c:pt idx="6">
                  <c:v>0.30940000000000001</c:v>
                </c:pt>
                <c:pt idx="7">
                  <c:v>0.3034</c:v>
                </c:pt>
                <c:pt idx="8">
                  <c:v>0.29930000000000001</c:v>
                </c:pt>
                <c:pt idx="9">
                  <c:v>0.29449999999999998</c:v>
                </c:pt>
                <c:pt idx="10">
                  <c:v>0.29020000000000001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113-4AD4-9CE1-985C041A5A64}"/>
            </c:ext>
          </c:extLst>
        </c:ser>
        <c:ser>
          <c:idx val="8"/>
          <c:order val="8"/>
          <c:tx>
            <c:strRef>
              <c:f>secontPart_new!$M$2</c:f>
              <c:strCache>
                <c:ptCount val="1"/>
                <c:pt idx="0">
                  <c:v>0.939726027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secontPart_new!$D$3:$D$13</c:f>
              <c:numCache>
                <c:formatCode>General</c:formatCode>
                <c:ptCount val="1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</c:numCache>
            </c:numRef>
          </c:cat>
          <c:val>
            <c:numRef>
              <c:f>secontPart_new!$M$3:$M$13</c:f>
              <c:numCache>
                <c:formatCode>General</c:formatCode>
                <c:ptCount val="11"/>
                <c:pt idx="0">
                  <c:v>0.35499999999999998</c:v>
                </c:pt>
                <c:pt idx="1">
                  <c:v>0.34660000000000002</c:v>
                </c:pt>
                <c:pt idx="2">
                  <c:v>0.33979999999999999</c:v>
                </c:pt>
                <c:pt idx="3">
                  <c:v>0.33279999999999998</c:v>
                </c:pt>
                <c:pt idx="4">
                  <c:v>0.32719999999999999</c:v>
                </c:pt>
                <c:pt idx="5">
                  <c:v>0.32119999999999999</c:v>
                </c:pt>
                <c:pt idx="6">
                  <c:v>0.31640000000000001</c:v>
                </c:pt>
                <c:pt idx="7">
                  <c:v>0.31130000000000002</c:v>
                </c:pt>
                <c:pt idx="8">
                  <c:v>0.30659999999999998</c:v>
                </c:pt>
                <c:pt idx="9">
                  <c:v>0.30249999999999999</c:v>
                </c:pt>
                <c:pt idx="10">
                  <c:v>0.29899999999999999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113-4AD4-9CE1-985C041A5A64}"/>
            </c:ext>
          </c:extLst>
        </c:ser>
        <c:ser>
          <c:idx val="9"/>
          <c:order val="9"/>
          <c:tx>
            <c:strRef>
              <c:f>secontPart_new!$N$2</c:f>
              <c:strCache>
                <c:ptCount val="1"/>
                <c:pt idx="0">
                  <c:v>1.189041096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secontPart_new!$D$3:$D$13</c:f>
              <c:numCache>
                <c:formatCode>General</c:formatCode>
                <c:ptCount val="1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</c:numCache>
            </c:numRef>
          </c:cat>
          <c:val>
            <c:numRef>
              <c:f>secontPart_new!$N$3:$N$13</c:f>
              <c:numCache>
                <c:formatCode>General</c:formatCode>
                <c:ptCount val="11"/>
                <c:pt idx="0">
                  <c:v>0.35870000000000002</c:v>
                </c:pt>
                <c:pt idx="1">
                  <c:v>0.35089999999999999</c:v>
                </c:pt>
                <c:pt idx="2">
                  <c:v>0.3463</c:v>
                </c:pt>
                <c:pt idx="3">
                  <c:v>0.33960000000000001</c:v>
                </c:pt>
                <c:pt idx="4">
                  <c:v>0.33510000000000001</c:v>
                </c:pt>
                <c:pt idx="5">
                  <c:v>0.32929999999999998</c:v>
                </c:pt>
                <c:pt idx="6">
                  <c:v>0.32419999999999999</c:v>
                </c:pt>
                <c:pt idx="7">
                  <c:v>0.32050000000000001</c:v>
                </c:pt>
                <c:pt idx="8">
                  <c:v>0.31630000000000003</c:v>
                </c:pt>
                <c:pt idx="9">
                  <c:v>0.31280000000000002</c:v>
                </c:pt>
                <c:pt idx="10">
                  <c:v>0.31019999999999998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113-4AD4-9CE1-985C041A5A64}"/>
            </c:ext>
          </c:extLst>
        </c:ser>
        <c:ser>
          <c:idx val="10"/>
          <c:order val="10"/>
          <c:tx>
            <c:strRef>
              <c:f>secontPart_new!$O$2</c:f>
              <c:strCache>
                <c:ptCount val="1"/>
                <c:pt idx="0">
                  <c:v>1.438356164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secontPart_new!$D$3:$D$13</c:f>
              <c:numCache>
                <c:formatCode>General</c:formatCode>
                <c:ptCount val="1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</c:numCache>
            </c:numRef>
          </c:cat>
          <c:val>
            <c:numRef>
              <c:f>secontPart_new!$O$3:$O$13</c:f>
              <c:numCache>
                <c:formatCode>General</c:formatCode>
                <c:ptCount val="11"/>
                <c:pt idx="0">
                  <c:v>0.35870000000000002</c:v>
                </c:pt>
                <c:pt idx="1">
                  <c:v>0.35089999999999999</c:v>
                </c:pt>
                <c:pt idx="2">
                  <c:v>0.3463</c:v>
                </c:pt>
                <c:pt idx="3">
                  <c:v>0.33960000000000001</c:v>
                </c:pt>
                <c:pt idx="4">
                  <c:v>0.33510000000000001</c:v>
                </c:pt>
                <c:pt idx="5">
                  <c:v>0.32929999999999998</c:v>
                </c:pt>
                <c:pt idx="6">
                  <c:v>0.32419999999999999</c:v>
                </c:pt>
                <c:pt idx="7">
                  <c:v>0.32050000000000001</c:v>
                </c:pt>
                <c:pt idx="8">
                  <c:v>0.31630000000000003</c:v>
                </c:pt>
                <c:pt idx="9">
                  <c:v>0.31280000000000002</c:v>
                </c:pt>
                <c:pt idx="10">
                  <c:v>0.31019999999999998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113-4AD4-9CE1-985C041A5A64}"/>
            </c:ext>
          </c:extLst>
        </c:ser>
        <c:ser>
          <c:idx val="11"/>
          <c:order val="11"/>
          <c:tx>
            <c:strRef>
              <c:f>secontPart_new!$P$2</c:f>
              <c:strCache>
                <c:ptCount val="1"/>
                <c:pt idx="0">
                  <c:v>1.783561644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secontPart_new!$D$3:$D$13</c:f>
              <c:numCache>
                <c:formatCode>General</c:formatCode>
                <c:ptCount val="1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</c:numCache>
            </c:numRef>
          </c:cat>
          <c:val>
            <c:numRef>
              <c:f>secontPart_new!$P$3:$P$13</c:f>
              <c:numCache>
                <c:formatCode>General</c:formatCode>
                <c:ptCount val="11"/>
                <c:pt idx="0">
                  <c:v>0.36799999999999999</c:v>
                </c:pt>
                <c:pt idx="1">
                  <c:v>0.36149999999999999</c:v>
                </c:pt>
                <c:pt idx="2">
                  <c:v>0.35670000000000002</c:v>
                </c:pt>
                <c:pt idx="3">
                  <c:v>0.3518</c:v>
                </c:pt>
                <c:pt idx="4">
                  <c:v>0.3473</c:v>
                </c:pt>
                <c:pt idx="5">
                  <c:v>0.34320000000000001</c:v>
                </c:pt>
                <c:pt idx="6">
                  <c:v>0.33910000000000001</c:v>
                </c:pt>
                <c:pt idx="7">
                  <c:v>0.33479999999999999</c:v>
                </c:pt>
                <c:pt idx="8">
                  <c:v>0.32769999999999999</c:v>
                </c:pt>
                <c:pt idx="9">
                  <c:v>0.32819999999999999</c:v>
                </c:pt>
                <c:pt idx="10">
                  <c:v>0.32540000000000002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113-4AD4-9CE1-985C041A5A64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3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5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8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9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1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4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</c:bandFmts>
        <c:axId val="877135984"/>
        <c:axId val="877134736"/>
        <c:axId val="814662896"/>
      </c:surface3DChart>
      <c:catAx>
        <c:axId val="8771359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Strikes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7134736"/>
        <c:crosses val="autoZero"/>
        <c:auto val="1"/>
        <c:lblAlgn val="ctr"/>
        <c:lblOffset val="100"/>
        <c:noMultiLvlLbl val="0"/>
      </c:catAx>
      <c:valAx>
        <c:axId val="877134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Implied Volatility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7135984"/>
        <c:crosses val="autoZero"/>
        <c:crossBetween val="midCat"/>
      </c:valAx>
      <c:serAx>
        <c:axId val="814662896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Maturity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7134736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Vega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0"/>
      <c:rotY val="3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7.8978856886700921E-2"/>
          <c:y val="0.11218524707610114"/>
          <c:w val="0.90222648730708233"/>
          <c:h val="0.64205238950994159"/>
        </c:manualLayout>
      </c:layout>
      <c:surface3DChart>
        <c:wireframe val="0"/>
        <c:ser>
          <c:idx val="0"/>
          <c:order val="0"/>
          <c:tx>
            <c:strRef>
              <c:f>secontPart_new!$AI$17</c:f>
              <c:strCache>
                <c:ptCount val="1"/>
                <c:pt idx="0">
                  <c:v>0.095890411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secontPart_new!$AH$18:$AH$28</c:f>
              <c:numCache>
                <c:formatCode>General</c:formatCode>
                <c:ptCount val="1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</c:numCache>
            </c:numRef>
          </c:cat>
          <c:val>
            <c:numRef>
              <c:f>secontPart_new!$AJ$18:$AJ$28</c:f>
              <c:numCache>
                <c:formatCode>General</c:formatCode>
                <c:ptCount val="11"/>
                <c:pt idx="0">
                  <c:v>9.5897522967533386E-2</c:v>
                </c:pt>
                <c:pt idx="1">
                  <c:v>0.12969866155086354</c:v>
                </c:pt>
                <c:pt idx="2">
                  <c:v>0.16547487939842292</c:v>
                </c:pt>
                <c:pt idx="3">
                  <c:v>0.19497459905035025</c:v>
                </c:pt>
                <c:pt idx="4">
                  <c:v>0.2097403444166496</c:v>
                </c:pt>
                <c:pt idx="5">
                  <c:v>0.20177267224180997</c:v>
                </c:pt>
                <c:pt idx="6">
                  <c:v>0.17036158052942071</c:v>
                </c:pt>
                <c:pt idx="7">
                  <c:v>0.12746556661172917</c:v>
                </c:pt>
                <c:pt idx="8">
                  <c:v>8.8180146066814957E-2</c:v>
                </c:pt>
                <c:pt idx="9">
                  <c:v>5.9019980821863438E-2</c:v>
                </c:pt>
                <c:pt idx="10">
                  <c:v>4.1372936763000481E-2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4D-4A96-A26C-5B9C898A70C0}"/>
            </c:ext>
          </c:extLst>
        </c:ser>
        <c:ser>
          <c:idx val="1"/>
          <c:order val="1"/>
          <c:tx>
            <c:strRef>
              <c:f>secontPart_new!$AK$17</c:f>
              <c:strCache>
                <c:ptCount val="1"/>
                <c:pt idx="0">
                  <c:v>0.191780822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secontPart_new!$AH$18:$AH$28</c:f>
              <c:numCache>
                <c:formatCode>General</c:formatCode>
                <c:ptCount val="1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</c:numCache>
            </c:numRef>
          </c:cat>
          <c:val>
            <c:numRef>
              <c:f>secontPart_new!$AL$18:$AL$28</c:f>
              <c:numCache>
                <c:formatCode>General</c:formatCode>
                <c:ptCount val="11"/>
                <c:pt idx="0">
                  <c:v>0.19043207006123472</c:v>
                </c:pt>
                <c:pt idx="1">
                  <c:v>0.22554632512640241</c:v>
                </c:pt>
                <c:pt idx="2">
                  <c:v>0.25789252294649667</c:v>
                </c:pt>
                <c:pt idx="3">
                  <c:v>0.28307547212602818</c:v>
                </c:pt>
                <c:pt idx="4">
                  <c:v>0.29616440841661373</c:v>
                </c:pt>
                <c:pt idx="5">
                  <c:v>0.29349863499901091</c:v>
                </c:pt>
                <c:pt idx="6">
                  <c:v>0.27394241632059241</c:v>
                </c:pt>
                <c:pt idx="7">
                  <c:v>0.24000049345295951</c:v>
                </c:pt>
                <c:pt idx="8">
                  <c:v>0.19862047106401229</c:v>
                </c:pt>
                <c:pt idx="9">
                  <c:v>0.15730729958369433</c:v>
                </c:pt>
                <c:pt idx="10">
                  <c:v>0.12003221916088741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4D-4A96-A26C-5B9C898A70C0}"/>
            </c:ext>
          </c:extLst>
        </c:ser>
        <c:ser>
          <c:idx val="2"/>
          <c:order val="2"/>
          <c:tx>
            <c:strRef>
              <c:f>secontPart_new!$AM$17</c:f>
              <c:strCache>
                <c:ptCount val="1"/>
                <c:pt idx="0">
                  <c:v>0.268493151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secontPart_new!$AH$18:$AH$28</c:f>
              <c:numCache>
                <c:formatCode>General</c:formatCode>
                <c:ptCount val="1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</c:numCache>
            </c:numRef>
          </c:cat>
          <c:val>
            <c:numRef>
              <c:f>secontPart_new!$AN$18:$AN$28</c:f>
              <c:numCache>
                <c:formatCode>General</c:formatCode>
                <c:ptCount val="11"/>
                <c:pt idx="0">
                  <c:v>0.24860719117886843</c:v>
                </c:pt>
                <c:pt idx="1">
                  <c:v>0.2843956247828171</c:v>
                </c:pt>
                <c:pt idx="2">
                  <c:v>0.31386139555542836</c:v>
                </c:pt>
                <c:pt idx="3">
                  <c:v>0.33705029609677983</c:v>
                </c:pt>
                <c:pt idx="4">
                  <c:v>0.34999476066410329</c:v>
                </c:pt>
                <c:pt idx="5">
                  <c:v>0.34960995406458145</c:v>
                </c:pt>
                <c:pt idx="6">
                  <c:v>0.33480050043733389</c:v>
                </c:pt>
                <c:pt idx="7">
                  <c:v>0.30669683039738338</c:v>
                </c:pt>
                <c:pt idx="8">
                  <c:v>0.26931110904793371</c:v>
                </c:pt>
                <c:pt idx="9">
                  <c:v>0.22698515337237929</c:v>
                </c:pt>
                <c:pt idx="10">
                  <c:v>0.18480834279237821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4D-4A96-A26C-5B9C898A70C0}"/>
            </c:ext>
          </c:extLst>
        </c:ser>
        <c:ser>
          <c:idx val="3"/>
          <c:order val="3"/>
          <c:tx>
            <c:strRef>
              <c:f>secontPart_new!$AO$17</c:f>
              <c:strCache>
                <c:ptCount val="1"/>
                <c:pt idx="0">
                  <c:v>0.364383562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secontPart_new!$AH$18:$AH$28</c:f>
              <c:numCache>
                <c:formatCode>General</c:formatCode>
                <c:ptCount val="1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</c:numCache>
            </c:numRef>
          </c:cat>
          <c:val>
            <c:numRef>
              <c:f>secontPart_new!$AP$18:$AP$28</c:f>
              <c:numCache>
                <c:formatCode>General</c:formatCode>
                <c:ptCount val="11"/>
                <c:pt idx="0">
                  <c:v>0.31462309023344154</c:v>
                </c:pt>
                <c:pt idx="1">
                  <c:v>0.34574425636694961</c:v>
                </c:pt>
                <c:pt idx="2">
                  <c:v>0.37303343081380103</c:v>
                </c:pt>
                <c:pt idx="3">
                  <c:v>0.39412200370216849</c:v>
                </c:pt>
                <c:pt idx="4">
                  <c:v>0.40684285664645969</c:v>
                </c:pt>
                <c:pt idx="5">
                  <c:v>0.40912511619679154</c:v>
                </c:pt>
                <c:pt idx="6">
                  <c:v>0.39987164457023783</c:v>
                </c:pt>
                <c:pt idx="7">
                  <c:v>0.38001903137318788</c:v>
                </c:pt>
                <c:pt idx="8">
                  <c:v>0.35106304129217947</c:v>
                </c:pt>
                <c:pt idx="9">
                  <c:v>0.31461034075919669</c:v>
                </c:pt>
                <c:pt idx="10">
                  <c:v>0.2760223239543641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D4D-4A96-A26C-5B9C898A70C0}"/>
            </c:ext>
          </c:extLst>
        </c:ser>
        <c:ser>
          <c:idx val="4"/>
          <c:order val="4"/>
          <c:tx>
            <c:strRef>
              <c:f>secontPart_new!$AQ$17</c:f>
              <c:strCache>
                <c:ptCount val="1"/>
                <c:pt idx="0">
                  <c:v>0.44109589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secontPart_new!$AH$18:$AH$28</c:f>
              <c:numCache>
                <c:formatCode>General</c:formatCode>
                <c:ptCount val="1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</c:numCache>
            </c:numRef>
          </c:cat>
          <c:val>
            <c:numRef>
              <c:f>secontPart_new!$AR$18:$AR$28</c:f>
              <c:numCache>
                <c:formatCode>General</c:formatCode>
                <c:ptCount val="11"/>
                <c:pt idx="0">
                  <c:v>0.35855534179393306</c:v>
                </c:pt>
                <c:pt idx="1">
                  <c:v>0.38805411392429839</c:v>
                </c:pt>
                <c:pt idx="2">
                  <c:v>0.41372132390756666</c:v>
                </c:pt>
                <c:pt idx="3">
                  <c:v>0.43395168278974627</c:v>
                </c:pt>
                <c:pt idx="4">
                  <c:v>0.44673217475284327</c:v>
                </c:pt>
                <c:pt idx="5">
                  <c:v>0.4506216036149287</c:v>
                </c:pt>
                <c:pt idx="6">
                  <c:v>0.44486763582895161</c:v>
                </c:pt>
                <c:pt idx="7">
                  <c:v>0.42892665989991718</c:v>
                </c:pt>
                <c:pt idx="8">
                  <c:v>0.40430355569036941</c:v>
                </c:pt>
                <c:pt idx="9">
                  <c:v>0.37361917766945735</c:v>
                </c:pt>
                <c:pt idx="10">
                  <c:v>0.3378170650916672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D4D-4A96-A26C-5B9C898A70C0}"/>
            </c:ext>
          </c:extLst>
        </c:ser>
        <c:ser>
          <c:idx val="5"/>
          <c:order val="5"/>
          <c:tx>
            <c:strRef>
              <c:f>secontPart_new!$AS$17</c:f>
              <c:strCache>
                <c:ptCount val="1"/>
                <c:pt idx="0">
                  <c:v>0.536986301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secontPart_new!$AH$18:$AH$28</c:f>
              <c:numCache>
                <c:formatCode>General</c:formatCode>
                <c:ptCount val="1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</c:numCache>
            </c:numRef>
          </c:cat>
          <c:val>
            <c:numRef>
              <c:f>secontPart_new!$AT$18:$AT$28</c:f>
              <c:numCache>
                <c:formatCode>General</c:formatCode>
                <c:ptCount val="11"/>
                <c:pt idx="0">
                  <c:v>0.40392897846605913</c:v>
                </c:pt>
                <c:pt idx="1">
                  <c:v>0.43328584261126846</c:v>
                </c:pt>
                <c:pt idx="2">
                  <c:v>0.45835320629002479</c:v>
                </c:pt>
                <c:pt idx="3">
                  <c:v>0.47841036144580762</c:v>
                </c:pt>
                <c:pt idx="4">
                  <c:v>0.49173758635194925</c:v>
                </c:pt>
                <c:pt idx="5">
                  <c:v>0.49716358001728833</c:v>
                </c:pt>
                <c:pt idx="6">
                  <c:v>0.49404109861619594</c:v>
                </c:pt>
                <c:pt idx="7">
                  <c:v>0.48214259679799637</c:v>
                </c:pt>
                <c:pt idx="8">
                  <c:v>0.46208943023615723</c:v>
                </c:pt>
                <c:pt idx="9">
                  <c:v>0.43472822009039153</c:v>
                </c:pt>
                <c:pt idx="10">
                  <c:v>0.40194719225133996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D4D-4A96-A26C-5B9C898A70C0}"/>
            </c:ext>
          </c:extLst>
        </c:ser>
        <c:ser>
          <c:idx val="6"/>
          <c:order val="6"/>
          <c:tx>
            <c:strRef>
              <c:f>secontPart_new!$AU$17</c:f>
              <c:strCache>
                <c:ptCount val="1"/>
                <c:pt idx="0">
                  <c:v>0.61369863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secontPart_new!$AH$18:$AH$28</c:f>
              <c:numCache>
                <c:formatCode>General</c:formatCode>
                <c:ptCount val="1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</c:numCache>
            </c:numRef>
          </c:cat>
          <c:val>
            <c:numRef>
              <c:f>secontPart_new!$AV$18:$AV$28</c:f>
              <c:numCache>
                <c:formatCode>General</c:formatCode>
                <c:ptCount val="11"/>
                <c:pt idx="0">
                  <c:v>0.43664951120988987</c:v>
                </c:pt>
                <c:pt idx="1">
                  <c:v>0.46568284915904895</c:v>
                </c:pt>
                <c:pt idx="2">
                  <c:v>0.49095214242083207</c:v>
                </c:pt>
                <c:pt idx="3">
                  <c:v>0.51077747304827459</c:v>
                </c:pt>
                <c:pt idx="4">
                  <c:v>0.52452962316506058</c:v>
                </c:pt>
                <c:pt idx="5">
                  <c:v>0.53110250719951657</c:v>
                </c:pt>
                <c:pt idx="6">
                  <c:v>0.52989180250972268</c:v>
                </c:pt>
                <c:pt idx="7">
                  <c:v>0.52077974375810787</c:v>
                </c:pt>
                <c:pt idx="8">
                  <c:v>0.5044442883419914</c:v>
                </c:pt>
                <c:pt idx="9">
                  <c:v>0.48077277205020225</c:v>
                </c:pt>
                <c:pt idx="10">
                  <c:v>0.4516104258167849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D4D-4A96-A26C-5B9C898A70C0}"/>
            </c:ext>
          </c:extLst>
        </c:ser>
        <c:ser>
          <c:idx val="7"/>
          <c:order val="7"/>
          <c:tx>
            <c:strRef>
              <c:f>secontPart_new!$AW$17</c:f>
              <c:strCache>
                <c:ptCount val="1"/>
                <c:pt idx="0">
                  <c:v>0.78630137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secontPart_new!$AH$18:$AH$28</c:f>
              <c:numCache>
                <c:formatCode>General</c:formatCode>
                <c:ptCount val="1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</c:numCache>
            </c:numRef>
          </c:cat>
          <c:val>
            <c:numRef>
              <c:f>secontPart_new!$AX$18:$AX$28</c:f>
              <c:numCache>
                <c:formatCode>General</c:formatCode>
                <c:ptCount val="11"/>
                <c:pt idx="0">
                  <c:v>0.50193261622784768</c:v>
                </c:pt>
                <c:pt idx="1">
                  <c:v>0.53022939954178716</c:v>
                </c:pt>
                <c:pt idx="2">
                  <c:v>0.55533644374598135</c:v>
                </c:pt>
                <c:pt idx="3">
                  <c:v>0.57578528092328607</c:v>
                </c:pt>
                <c:pt idx="4">
                  <c:v>0.59071962131840439</c:v>
                </c:pt>
                <c:pt idx="5">
                  <c:v>0.59946737658388749</c:v>
                </c:pt>
                <c:pt idx="6">
                  <c:v>0.60158950363173225</c:v>
                </c:pt>
                <c:pt idx="7">
                  <c:v>0.5968591751065303</c:v>
                </c:pt>
                <c:pt idx="8">
                  <c:v>0.58558440655212718</c:v>
                </c:pt>
                <c:pt idx="9">
                  <c:v>0.56779453706214977</c:v>
                </c:pt>
                <c:pt idx="10">
                  <c:v>0.54428182893128751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D4D-4A96-A26C-5B9C898A70C0}"/>
            </c:ext>
          </c:extLst>
        </c:ser>
        <c:ser>
          <c:idx val="8"/>
          <c:order val="8"/>
          <c:tx>
            <c:strRef>
              <c:f>secontPart_new!$AY$17</c:f>
              <c:strCache>
                <c:ptCount val="1"/>
                <c:pt idx="0">
                  <c:v>0.939726027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secontPart_new!$AH$18:$AH$28</c:f>
              <c:numCache>
                <c:formatCode>General</c:formatCode>
                <c:ptCount val="1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</c:numCache>
            </c:numRef>
          </c:cat>
          <c:val>
            <c:numRef>
              <c:f>secontPart_new!$AZ$18:$AZ$28</c:f>
              <c:numCache>
                <c:formatCode>General</c:formatCode>
                <c:ptCount val="11"/>
                <c:pt idx="0">
                  <c:v>0.55192418530440068</c:v>
                </c:pt>
                <c:pt idx="1">
                  <c:v>0.58022642941043767</c:v>
                </c:pt>
                <c:pt idx="2">
                  <c:v>0.60527832484598099</c:v>
                </c:pt>
                <c:pt idx="3">
                  <c:v>0.62609898595455926</c:v>
                </c:pt>
                <c:pt idx="4">
                  <c:v>0.64205820256569923</c:v>
                </c:pt>
                <c:pt idx="5">
                  <c:v>0.65265827854623948</c:v>
                </c:pt>
                <c:pt idx="6">
                  <c:v>0.65748623058712585</c:v>
                </c:pt>
                <c:pt idx="7">
                  <c:v>0.65641731394705349</c:v>
                </c:pt>
                <c:pt idx="8">
                  <c:v>0.649424563585699</c:v>
                </c:pt>
                <c:pt idx="9">
                  <c:v>0.63678701979250019</c:v>
                </c:pt>
                <c:pt idx="10">
                  <c:v>0.61903247323580879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D4D-4A96-A26C-5B9C898A70C0}"/>
            </c:ext>
          </c:extLst>
        </c:ser>
        <c:ser>
          <c:idx val="9"/>
          <c:order val="9"/>
          <c:tx>
            <c:strRef>
              <c:f>secontPart_new!$BA$17</c:f>
              <c:strCache>
                <c:ptCount val="1"/>
                <c:pt idx="0">
                  <c:v>1.189041096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secontPart_new!$AH$18:$AH$28</c:f>
              <c:numCache>
                <c:formatCode>General</c:formatCode>
                <c:ptCount val="1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</c:numCache>
            </c:numRef>
          </c:cat>
          <c:val>
            <c:numRef>
              <c:f>secontPart_new!$BB$18:$BB$28</c:f>
              <c:numCache>
                <c:formatCode>General</c:formatCode>
                <c:ptCount val="11"/>
                <c:pt idx="0">
                  <c:v>0.62483173542070258</c:v>
                </c:pt>
                <c:pt idx="1">
                  <c:v>0.65294147199822905</c:v>
                </c:pt>
                <c:pt idx="2">
                  <c:v>0.6781286877309135</c:v>
                </c:pt>
                <c:pt idx="3">
                  <c:v>0.69945420493149191</c:v>
                </c:pt>
                <c:pt idx="4">
                  <c:v>0.7165696203260854</c:v>
                </c:pt>
                <c:pt idx="5">
                  <c:v>0.7292320443002297</c:v>
                </c:pt>
                <c:pt idx="6">
                  <c:v>0.73706395926982016</c:v>
                </c:pt>
                <c:pt idx="7">
                  <c:v>0.73990829702721095</c:v>
                </c:pt>
                <c:pt idx="8">
                  <c:v>0.73783116283358974</c:v>
                </c:pt>
                <c:pt idx="9">
                  <c:v>0.73096337261281563</c:v>
                </c:pt>
                <c:pt idx="10">
                  <c:v>0.71975398008231539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D4D-4A96-A26C-5B9C898A70C0}"/>
            </c:ext>
          </c:extLst>
        </c:ser>
        <c:ser>
          <c:idx val="10"/>
          <c:order val="10"/>
          <c:tx>
            <c:strRef>
              <c:f>secontPart_new!$BC$17</c:f>
              <c:strCache>
                <c:ptCount val="1"/>
                <c:pt idx="0">
                  <c:v>1.438356164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secontPart_new!$AH$18:$AH$28</c:f>
              <c:numCache>
                <c:formatCode>General</c:formatCode>
                <c:ptCount val="1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</c:numCache>
            </c:numRef>
          </c:cat>
          <c:val>
            <c:numRef>
              <c:f>secontPart_new!$BD$18:$BD$28</c:f>
              <c:numCache>
                <c:formatCode>General</c:formatCode>
                <c:ptCount val="11"/>
                <c:pt idx="0">
                  <c:v>0.68566841677779988</c:v>
                </c:pt>
                <c:pt idx="1">
                  <c:v>0.71419692163256532</c:v>
                </c:pt>
                <c:pt idx="2">
                  <c:v>0.74008359697493609</c:v>
                </c:pt>
                <c:pt idx="3">
                  <c:v>0.76254446202850834</c:v>
                </c:pt>
                <c:pt idx="4">
                  <c:v>0.7812273216503608</c:v>
                </c:pt>
                <c:pt idx="5">
                  <c:v>0.7959795802548868</c:v>
                </c:pt>
                <c:pt idx="6">
                  <c:v>0.80640698722915605</c:v>
                </c:pt>
                <c:pt idx="7">
                  <c:v>0.81229593694508784</c:v>
                </c:pt>
                <c:pt idx="8">
                  <c:v>0.8137332827277739</c:v>
                </c:pt>
                <c:pt idx="9">
                  <c:v>0.81072117763380136</c:v>
                </c:pt>
                <c:pt idx="10">
                  <c:v>0.80357326983912758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D4D-4A96-A26C-5B9C898A70C0}"/>
            </c:ext>
          </c:extLst>
        </c:ser>
        <c:ser>
          <c:idx val="11"/>
          <c:order val="11"/>
          <c:tx>
            <c:strRef>
              <c:f>secontPart_new!$BE$17</c:f>
              <c:strCache>
                <c:ptCount val="1"/>
                <c:pt idx="0">
                  <c:v>1.783561644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secontPart_new!$AH$18:$AH$28</c:f>
              <c:numCache>
                <c:formatCode>General</c:formatCode>
                <c:ptCount val="1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</c:numCache>
            </c:numRef>
          </c:cat>
          <c:val>
            <c:numRef>
              <c:f>secontPart_new!$BF$18:$BF$28</c:f>
              <c:numCache>
                <c:formatCode>General</c:formatCode>
                <c:ptCount val="11"/>
                <c:pt idx="0">
                  <c:v>0.75968088317181848</c:v>
                </c:pt>
                <c:pt idx="1">
                  <c:v>0.7883319215848098</c:v>
                </c:pt>
                <c:pt idx="2">
                  <c:v>0.81450737144060081</c:v>
                </c:pt>
                <c:pt idx="3">
                  <c:v>0.8377800324089828</c:v>
                </c:pt>
                <c:pt idx="4">
                  <c:v>0.85790557566026993</c:v>
                </c:pt>
                <c:pt idx="5">
                  <c:v>0.87466758244960885</c:v>
                </c:pt>
                <c:pt idx="6">
                  <c:v>0.88796649820262019</c:v>
                </c:pt>
                <c:pt idx="7">
                  <c:v>0.89772210038002165</c:v>
                </c:pt>
                <c:pt idx="8">
                  <c:v>0.90401920717710915</c:v>
                </c:pt>
                <c:pt idx="9">
                  <c:v>0.90616355172101926</c:v>
                </c:pt>
                <c:pt idx="10">
                  <c:v>0.90504481863781272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D4D-4A96-A26C-5B9C898A70C0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3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5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8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9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1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4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</c:bandFmts>
        <c:axId val="782483296"/>
        <c:axId val="782463744"/>
        <c:axId val="877935328"/>
      </c:surface3DChart>
      <c:catAx>
        <c:axId val="7824832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Strikes</a:t>
                </a:r>
              </a:p>
            </c:rich>
          </c:tx>
          <c:layout>
            <c:manualLayout>
              <c:xMode val="edge"/>
              <c:yMode val="edge"/>
              <c:x val="0.33950601671150299"/>
              <c:y val="0.6973623346319500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2463744"/>
        <c:crosses val="autoZero"/>
        <c:auto val="1"/>
        <c:lblAlgn val="ctr"/>
        <c:lblOffset val="100"/>
        <c:noMultiLvlLbl val="0"/>
      </c:catAx>
      <c:valAx>
        <c:axId val="782463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Vega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2483296"/>
        <c:crosses val="autoZero"/>
        <c:crossBetween val="midCat"/>
      </c:valAx>
      <c:serAx>
        <c:axId val="877935328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Mturity</a:t>
                </a:r>
              </a:p>
            </c:rich>
          </c:tx>
          <c:layout>
            <c:manualLayout>
              <c:xMode val="edge"/>
              <c:yMode val="edge"/>
              <c:x val="0.88893044551271871"/>
              <c:y val="0.6957563075723941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2463744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Rho</a:t>
            </a:r>
          </a:p>
        </c:rich>
      </c:tx>
      <c:layout>
        <c:manualLayout>
          <c:xMode val="edge"/>
          <c:yMode val="edge"/>
          <c:x val="0.46676816406583743"/>
          <c:y val="4.996049853770187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0"/>
      <c:rotY val="4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secontPart_new!$AI$111</c:f>
              <c:strCache>
                <c:ptCount val="1"/>
                <c:pt idx="0">
                  <c:v>0.095890411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secontPart_new!$AH$61:$AH$71</c:f>
              <c:numCache>
                <c:formatCode>General</c:formatCode>
                <c:ptCount val="1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</c:numCache>
            </c:numRef>
          </c:cat>
          <c:val>
            <c:numRef>
              <c:f>secontPart_new!$AJ$61:$AJ$71</c:f>
              <c:numCache>
                <c:formatCode>General</c:formatCode>
                <c:ptCount val="11"/>
                <c:pt idx="0">
                  <c:v>0.12564088558139205</c:v>
                </c:pt>
                <c:pt idx="1">
                  <c:v>0.12043079238661053</c:v>
                </c:pt>
                <c:pt idx="2">
                  <c:v>0.11097110338942393</c:v>
                </c:pt>
                <c:pt idx="3">
                  <c:v>9.7376389791577214E-2</c:v>
                </c:pt>
                <c:pt idx="4">
                  <c:v>7.9645936872914408E-2</c:v>
                </c:pt>
                <c:pt idx="5">
                  <c:v>5.9693082792060946E-2</c:v>
                </c:pt>
                <c:pt idx="6">
                  <c:v>4.0196668960230442E-2</c:v>
                </c:pt>
                <c:pt idx="7">
                  <c:v>2.4834121242424404E-2</c:v>
                </c:pt>
                <c:pt idx="8">
                  <c:v>1.4736835299368653E-2</c:v>
                </c:pt>
                <c:pt idx="9">
                  <c:v>8.743962528739815E-3</c:v>
                </c:pt>
                <c:pt idx="10">
                  <c:v>5.6285205272944899E-3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FD-4797-8D97-0C0C83495132}"/>
            </c:ext>
          </c:extLst>
        </c:ser>
        <c:ser>
          <c:idx val="1"/>
          <c:order val="1"/>
          <c:tx>
            <c:strRef>
              <c:f>secontPart_new!$AK$111</c:f>
              <c:strCache>
                <c:ptCount val="1"/>
                <c:pt idx="0">
                  <c:v>0.191780822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secontPart_new!$AH$61:$AH$71</c:f>
              <c:numCache>
                <c:formatCode>General</c:formatCode>
                <c:ptCount val="1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</c:numCache>
            </c:numRef>
          </c:cat>
          <c:val>
            <c:numRef>
              <c:f>secontPart_new!$AL$61:$AL$71</c:f>
              <c:numCache>
                <c:formatCode>General</c:formatCode>
                <c:ptCount val="11"/>
                <c:pt idx="0">
                  <c:v>0.22603163653919367</c:v>
                </c:pt>
                <c:pt idx="1">
                  <c:v>0.21549113011401386</c:v>
                </c:pt>
                <c:pt idx="2">
                  <c:v>0.20037103779262597</c:v>
                </c:pt>
                <c:pt idx="3">
                  <c:v>0.180552061405202</c:v>
                </c:pt>
                <c:pt idx="4">
                  <c:v>0.1570389067419706</c:v>
                </c:pt>
                <c:pt idx="5">
                  <c:v>0.13065723406328877</c:v>
                </c:pt>
                <c:pt idx="6">
                  <c:v>0.10368588931801698</c:v>
                </c:pt>
                <c:pt idx="7">
                  <c:v>7.8229490448680203E-2</c:v>
                </c:pt>
                <c:pt idx="8">
                  <c:v>5.6685429728600779E-2</c:v>
                </c:pt>
                <c:pt idx="9">
                  <c:v>4.0007176550634627E-2</c:v>
                </c:pt>
                <c:pt idx="10">
                  <c:v>2.7590427008685418E-2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FD-4797-8D97-0C0C83495132}"/>
            </c:ext>
          </c:extLst>
        </c:ser>
        <c:ser>
          <c:idx val="2"/>
          <c:order val="2"/>
          <c:tx>
            <c:strRef>
              <c:f>secontPart_new!$AM$111</c:f>
              <c:strCache>
                <c:ptCount val="1"/>
                <c:pt idx="0">
                  <c:v>0.268493151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secontPart_new!$AH$61:$AH$71</c:f>
              <c:numCache>
                <c:formatCode>General</c:formatCode>
                <c:ptCount val="1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</c:numCache>
            </c:numRef>
          </c:cat>
          <c:val>
            <c:numRef>
              <c:f>secontPart_new!$AN$61:$AN$71</c:f>
              <c:numCache>
                <c:formatCode>General</c:formatCode>
                <c:ptCount val="11"/>
                <c:pt idx="0">
                  <c:v>0.29951247680306298</c:v>
                </c:pt>
                <c:pt idx="1">
                  <c:v>0.28451248532711787</c:v>
                </c:pt>
                <c:pt idx="2">
                  <c:v>0.26729470320914334</c:v>
                </c:pt>
                <c:pt idx="3">
                  <c:v>0.24487561681819267</c:v>
                </c:pt>
                <c:pt idx="4">
                  <c:v>0.21784455949223969</c:v>
                </c:pt>
                <c:pt idx="5">
                  <c:v>0.18785264753682865</c:v>
                </c:pt>
                <c:pt idx="6">
                  <c:v>0.15664258237189096</c:v>
                </c:pt>
                <c:pt idx="7">
                  <c:v>0.1260822874569911</c:v>
                </c:pt>
                <c:pt idx="8">
                  <c:v>9.8364761385191415E-2</c:v>
                </c:pt>
                <c:pt idx="9">
                  <c:v>7.4397603163975229E-2</c:v>
                </c:pt>
                <c:pt idx="10">
                  <c:v>5.4944880837291793E-2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9FD-4797-8D97-0C0C83495132}"/>
            </c:ext>
          </c:extLst>
        </c:ser>
        <c:ser>
          <c:idx val="3"/>
          <c:order val="3"/>
          <c:tx>
            <c:strRef>
              <c:f>secontPart_new!$AO$111</c:f>
              <c:strCache>
                <c:ptCount val="1"/>
                <c:pt idx="0">
                  <c:v>0.364383562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secontPart_new!$AH$61:$AH$71</c:f>
              <c:numCache>
                <c:formatCode>General</c:formatCode>
                <c:ptCount val="1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</c:numCache>
            </c:numRef>
          </c:cat>
          <c:val>
            <c:numRef>
              <c:f>secontPart_new!$AP$61:$AP$71</c:f>
              <c:numCache>
                <c:formatCode>General</c:formatCode>
                <c:ptCount val="11"/>
                <c:pt idx="0">
                  <c:v>0.3798332846733084</c:v>
                </c:pt>
                <c:pt idx="1">
                  <c:v>0.36473798395470131</c:v>
                </c:pt>
                <c:pt idx="2">
                  <c:v>0.34498474811109681</c:v>
                </c:pt>
                <c:pt idx="3">
                  <c:v>0.32110084701649189</c:v>
                </c:pt>
                <c:pt idx="4">
                  <c:v>0.29209315328754137</c:v>
                </c:pt>
                <c:pt idx="5">
                  <c:v>0.26069420514425506</c:v>
                </c:pt>
                <c:pt idx="6">
                  <c:v>0.2271304265297969</c:v>
                </c:pt>
                <c:pt idx="7">
                  <c:v>0.19393490607724245</c:v>
                </c:pt>
                <c:pt idx="8">
                  <c:v>0.16206768762364648</c:v>
                </c:pt>
                <c:pt idx="9">
                  <c:v>0.13205102153976614</c:v>
                </c:pt>
                <c:pt idx="10">
                  <c:v>0.10636865033386818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9FD-4797-8D97-0C0C83495132}"/>
            </c:ext>
          </c:extLst>
        </c:ser>
        <c:ser>
          <c:idx val="4"/>
          <c:order val="4"/>
          <c:tx>
            <c:strRef>
              <c:f>secontPart_new!$AQ$111</c:f>
              <c:strCache>
                <c:ptCount val="1"/>
                <c:pt idx="0">
                  <c:v>0.44109589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secontPart_new!$AH$61:$AH$71</c:f>
              <c:numCache>
                <c:formatCode>General</c:formatCode>
                <c:ptCount val="1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</c:numCache>
            </c:numRef>
          </c:cat>
          <c:val>
            <c:numRef>
              <c:f>secontPart_new!$AR$61:$AR$71</c:f>
              <c:numCache>
                <c:formatCode>General</c:formatCode>
                <c:ptCount val="11"/>
                <c:pt idx="0">
                  <c:v>0.44128966451405227</c:v>
                </c:pt>
                <c:pt idx="1">
                  <c:v>0.42536116646868799</c:v>
                </c:pt>
                <c:pt idx="2">
                  <c:v>0.40510016830660389</c:v>
                </c:pt>
                <c:pt idx="3">
                  <c:v>0.37999247904988853</c:v>
                </c:pt>
                <c:pt idx="4">
                  <c:v>0.35070169156069197</c:v>
                </c:pt>
                <c:pt idx="5">
                  <c:v>0.3185243889131581</c:v>
                </c:pt>
                <c:pt idx="6">
                  <c:v>0.28437383923471948</c:v>
                </c:pt>
                <c:pt idx="7">
                  <c:v>0.24869454269546229</c:v>
                </c:pt>
                <c:pt idx="8">
                  <c:v>0.21386726074103621</c:v>
                </c:pt>
                <c:pt idx="9">
                  <c:v>0.18163404348798518</c:v>
                </c:pt>
                <c:pt idx="10">
                  <c:v>0.15161697148083036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9FD-4797-8D97-0C0C83495132}"/>
            </c:ext>
          </c:extLst>
        </c:ser>
        <c:ser>
          <c:idx val="5"/>
          <c:order val="5"/>
          <c:tx>
            <c:strRef>
              <c:f>secontPart_new!$AS$111</c:f>
              <c:strCache>
                <c:ptCount val="1"/>
                <c:pt idx="0">
                  <c:v>0.536986301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secontPart_new!$AH$61:$AH$71</c:f>
              <c:numCache>
                <c:formatCode>General</c:formatCode>
                <c:ptCount val="1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</c:numCache>
            </c:numRef>
          </c:cat>
          <c:val>
            <c:numRef>
              <c:f>secontPart_new!$AT$61:$AT$71</c:f>
              <c:numCache>
                <c:formatCode>General</c:formatCode>
                <c:ptCount val="11"/>
                <c:pt idx="0">
                  <c:v>0.52016618694146888</c:v>
                </c:pt>
                <c:pt idx="1">
                  <c:v>0.50219926615325783</c:v>
                </c:pt>
                <c:pt idx="2">
                  <c:v>0.48095284238657232</c:v>
                </c:pt>
                <c:pt idx="3">
                  <c:v>0.454534404968783</c:v>
                </c:pt>
                <c:pt idx="4">
                  <c:v>0.42392777124977565</c:v>
                </c:pt>
                <c:pt idx="5">
                  <c:v>0.39019701214926356</c:v>
                </c:pt>
                <c:pt idx="6">
                  <c:v>0.35427128267896191</c:v>
                </c:pt>
                <c:pt idx="7">
                  <c:v>0.31696839396014148</c:v>
                </c:pt>
                <c:pt idx="8">
                  <c:v>0.27964760421616486</c:v>
                </c:pt>
                <c:pt idx="9">
                  <c:v>0.24308402740548474</c:v>
                </c:pt>
                <c:pt idx="10">
                  <c:v>0.20859976006455291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9FD-4797-8D97-0C0C83495132}"/>
            </c:ext>
          </c:extLst>
        </c:ser>
        <c:ser>
          <c:idx val="6"/>
          <c:order val="6"/>
          <c:tx>
            <c:strRef>
              <c:f>secontPart_new!$AU$111</c:f>
              <c:strCache>
                <c:ptCount val="1"/>
                <c:pt idx="0">
                  <c:v>0.61369863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secontPart_new!$AH$61:$AH$71</c:f>
              <c:numCache>
                <c:formatCode>General</c:formatCode>
                <c:ptCount val="1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</c:numCache>
            </c:numRef>
          </c:cat>
          <c:val>
            <c:numRef>
              <c:f>secontPart_new!$AV$61:$AV$71</c:f>
              <c:numCache>
                <c:formatCode>General</c:formatCode>
                <c:ptCount val="11"/>
                <c:pt idx="0">
                  <c:v>0.58151573846390514</c:v>
                </c:pt>
                <c:pt idx="1">
                  <c:v>0.56292878712944627</c:v>
                </c:pt>
                <c:pt idx="2">
                  <c:v>0.53900006269926426</c:v>
                </c:pt>
                <c:pt idx="3">
                  <c:v>0.51287622150922563</c:v>
                </c:pt>
                <c:pt idx="4">
                  <c:v>0.48158014466737858</c:v>
                </c:pt>
                <c:pt idx="5">
                  <c:v>0.44731611145852418</c:v>
                </c:pt>
                <c:pt idx="6">
                  <c:v>0.41061057478257107</c:v>
                </c:pt>
                <c:pt idx="7">
                  <c:v>0.37251299485227835</c:v>
                </c:pt>
                <c:pt idx="8">
                  <c:v>0.33447979966562752</c:v>
                </c:pt>
                <c:pt idx="9">
                  <c:v>0.29616770998879538</c:v>
                </c:pt>
                <c:pt idx="10">
                  <c:v>0.25949014269474602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9FD-4797-8D97-0C0C83495132}"/>
            </c:ext>
          </c:extLst>
        </c:ser>
        <c:ser>
          <c:idx val="7"/>
          <c:order val="7"/>
          <c:tx>
            <c:strRef>
              <c:f>secontPart_new!$AW$111</c:f>
              <c:strCache>
                <c:ptCount val="1"/>
                <c:pt idx="0">
                  <c:v>0.78630137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secontPart_new!$AH$61:$AH$71</c:f>
              <c:numCache>
                <c:formatCode>General</c:formatCode>
                <c:ptCount val="1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</c:numCache>
            </c:numRef>
          </c:cat>
          <c:val>
            <c:numRef>
              <c:f>secontPart_new!$AX$61:$AX$71</c:f>
              <c:numCache>
                <c:formatCode>General</c:formatCode>
                <c:ptCount val="11"/>
                <c:pt idx="0">
                  <c:v>0.71438594215661855</c:v>
                </c:pt>
                <c:pt idx="1">
                  <c:v>0.69625974417196046</c:v>
                </c:pt>
                <c:pt idx="2">
                  <c:v>0.67194890017609077</c:v>
                </c:pt>
                <c:pt idx="3">
                  <c:v>0.64343286061122784</c:v>
                </c:pt>
                <c:pt idx="4">
                  <c:v>0.61076647199213641</c:v>
                </c:pt>
                <c:pt idx="5">
                  <c:v>0.57501797607445659</c:v>
                </c:pt>
                <c:pt idx="6">
                  <c:v>0.53670778654338491</c:v>
                </c:pt>
                <c:pt idx="7">
                  <c:v>0.4964688440648804</c:v>
                </c:pt>
                <c:pt idx="8">
                  <c:v>0.45551234438571103</c:v>
                </c:pt>
                <c:pt idx="9">
                  <c:v>0.41393518978342031</c:v>
                </c:pt>
                <c:pt idx="10">
                  <c:v>0.37284206418794735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9FD-4797-8D97-0C0C83495132}"/>
            </c:ext>
          </c:extLst>
        </c:ser>
        <c:ser>
          <c:idx val="8"/>
          <c:order val="8"/>
          <c:tx>
            <c:strRef>
              <c:f>secontPart_new!$AY$111</c:f>
              <c:strCache>
                <c:ptCount val="1"/>
                <c:pt idx="0">
                  <c:v>0.939726027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secontPart_new!$AH$61:$AH$71</c:f>
              <c:numCache>
                <c:formatCode>General</c:formatCode>
                <c:ptCount val="1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</c:numCache>
            </c:numRef>
          </c:cat>
          <c:val>
            <c:numRef>
              <c:f>secontPart_new!$AZ$61:$AZ$71</c:f>
              <c:numCache>
                <c:formatCode>General</c:formatCode>
                <c:ptCount val="11"/>
                <c:pt idx="0">
                  <c:v>0.82715734859084999</c:v>
                </c:pt>
                <c:pt idx="1">
                  <c:v>0.80823185606166914</c:v>
                </c:pt>
                <c:pt idx="2">
                  <c:v>0.78382838303222879</c:v>
                </c:pt>
                <c:pt idx="3">
                  <c:v>0.75564357492547096</c:v>
                </c:pt>
                <c:pt idx="4">
                  <c:v>0.72311480953939244</c:v>
                </c:pt>
                <c:pt idx="5">
                  <c:v>0.68765413207166159</c:v>
                </c:pt>
                <c:pt idx="6">
                  <c:v>0.64930999308880755</c:v>
                </c:pt>
                <c:pt idx="7">
                  <c:v>0.6089828022304834</c:v>
                </c:pt>
                <c:pt idx="8">
                  <c:v>0.56718675093218618</c:v>
                </c:pt>
                <c:pt idx="9">
                  <c:v>0.52473927379529428</c:v>
                </c:pt>
                <c:pt idx="10">
                  <c:v>0.48245888150232735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9FD-4797-8D97-0C0C83495132}"/>
            </c:ext>
          </c:extLst>
        </c:ser>
        <c:ser>
          <c:idx val="9"/>
          <c:order val="9"/>
          <c:tx>
            <c:strRef>
              <c:f>secontPart_new!$BA$111</c:f>
              <c:strCache>
                <c:ptCount val="1"/>
                <c:pt idx="0">
                  <c:v>1.189041096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secontPart_new!$AH$61:$AH$71</c:f>
              <c:numCache>
                <c:formatCode>General</c:formatCode>
                <c:ptCount val="1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</c:numCache>
            </c:numRef>
          </c:cat>
          <c:val>
            <c:numRef>
              <c:f>secontPart_new!$BB$61:$BB$71</c:f>
              <c:numCache>
                <c:formatCode>General</c:formatCode>
                <c:ptCount val="11"/>
                <c:pt idx="0">
                  <c:v>1.0008119118316698</c:v>
                </c:pt>
                <c:pt idx="1">
                  <c:v>0.98256087567334127</c:v>
                </c:pt>
                <c:pt idx="2">
                  <c:v>0.95711926463192476</c:v>
                </c:pt>
                <c:pt idx="3">
                  <c:v>0.9298588402629997</c:v>
                </c:pt>
                <c:pt idx="4">
                  <c:v>0.89749141552075629</c:v>
                </c:pt>
                <c:pt idx="5">
                  <c:v>0.86281938695164595</c:v>
                </c:pt>
                <c:pt idx="6">
                  <c:v>0.82497180769725353</c:v>
                </c:pt>
                <c:pt idx="7">
                  <c:v>0.78466257903566761</c:v>
                </c:pt>
                <c:pt idx="8">
                  <c:v>0.74274983832229102</c:v>
                </c:pt>
                <c:pt idx="9">
                  <c:v>0.69977889376469704</c:v>
                </c:pt>
                <c:pt idx="10">
                  <c:v>0.65667612202974224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9FD-4797-8D97-0C0C83495132}"/>
            </c:ext>
          </c:extLst>
        </c:ser>
        <c:ser>
          <c:idx val="10"/>
          <c:order val="10"/>
          <c:tx>
            <c:strRef>
              <c:f>secontPart_new!$BC$111</c:f>
              <c:strCache>
                <c:ptCount val="1"/>
                <c:pt idx="0">
                  <c:v>1.438356164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secontPart_new!$AH$61:$AH$71</c:f>
              <c:numCache>
                <c:formatCode>General</c:formatCode>
                <c:ptCount val="1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</c:numCache>
            </c:numRef>
          </c:cat>
          <c:val>
            <c:numRef>
              <c:f>secontPart_new!$BD$61:$BD$71</c:f>
              <c:numCache>
                <c:formatCode>General</c:formatCode>
                <c:ptCount val="11"/>
                <c:pt idx="0">
                  <c:v>1.1717622800656284</c:v>
                </c:pt>
                <c:pt idx="1">
                  <c:v>1.1553411715382014</c:v>
                </c:pt>
                <c:pt idx="2">
                  <c:v>1.1308460381145098</c:v>
                </c:pt>
                <c:pt idx="3">
                  <c:v>1.1048305463612265</c:v>
                </c:pt>
                <c:pt idx="4">
                  <c:v>1.0730076293462163</c:v>
                </c:pt>
                <c:pt idx="5">
                  <c:v>1.0388838692057381</c:v>
                </c:pt>
                <c:pt idx="6">
                  <c:v>1.0011139138830065</c:v>
                </c:pt>
                <c:pt idx="7">
                  <c:v>0.96026013372185004</c:v>
                </c:pt>
                <c:pt idx="8">
                  <c:v>0.91748295537507418</c:v>
                </c:pt>
                <c:pt idx="9">
                  <c:v>0.87309375161042679</c:v>
                </c:pt>
                <c:pt idx="10">
                  <c:v>0.82800560442784532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9FD-4797-8D97-0C0C83495132}"/>
            </c:ext>
          </c:extLst>
        </c:ser>
        <c:ser>
          <c:idx val="11"/>
          <c:order val="11"/>
          <c:tx>
            <c:strRef>
              <c:f>secontPart_new!$BE$111</c:f>
              <c:strCache>
                <c:ptCount val="1"/>
                <c:pt idx="0">
                  <c:v>1.783561644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secontPart_new!$AH$61:$AH$71</c:f>
              <c:numCache>
                <c:formatCode>General</c:formatCode>
                <c:ptCount val="1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</c:numCache>
            </c:numRef>
          </c:cat>
          <c:val>
            <c:numRef>
              <c:f>secontPart_new!$BF$61:$BF$71</c:f>
              <c:numCache>
                <c:formatCode>General</c:formatCode>
                <c:ptCount val="11"/>
                <c:pt idx="0">
                  <c:v>1.3825803590800825</c:v>
                </c:pt>
                <c:pt idx="1">
                  <c:v>1.3684330920177401</c:v>
                </c:pt>
                <c:pt idx="2">
                  <c:v>1.3477709650141978</c:v>
                </c:pt>
                <c:pt idx="3">
                  <c:v>1.3236514548405636</c:v>
                </c:pt>
                <c:pt idx="4">
                  <c:v>1.2956294489390723</c:v>
                </c:pt>
                <c:pt idx="5">
                  <c:v>1.2640852283229627</c:v>
                </c:pt>
                <c:pt idx="6">
                  <c:v>1.2297314110000606</c:v>
                </c:pt>
                <c:pt idx="7">
                  <c:v>1.1928823818026484</c:v>
                </c:pt>
                <c:pt idx="8">
                  <c:v>1.1543054833730761</c:v>
                </c:pt>
                <c:pt idx="9">
                  <c:v>1.1119581215219452</c:v>
                </c:pt>
                <c:pt idx="10">
                  <c:v>1.0691856817405341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9FD-4797-8D97-0C0C83495132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3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5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8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9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1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4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</c:bandFmts>
        <c:axId val="1011280976"/>
        <c:axId val="1011274320"/>
        <c:axId val="1015541408"/>
      </c:surface3DChart>
      <c:catAx>
        <c:axId val="10112809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Strike</a:t>
                </a:r>
              </a:p>
            </c:rich>
          </c:tx>
          <c:layout>
            <c:manualLayout>
              <c:xMode val="edge"/>
              <c:yMode val="edge"/>
              <c:x val="0.27765989058164647"/>
              <c:y val="0.7385586438931628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1274320"/>
        <c:crosses val="autoZero"/>
        <c:auto val="1"/>
        <c:lblAlgn val="ctr"/>
        <c:lblOffset val="100"/>
        <c:noMultiLvlLbl val="0"/>
      </c:catAx>
      <c:valAx>
        <c:axId val="1011274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Rho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1280976"/>
        <c:crosses val="autoZero"/>
        <c:crossBetween val="midCat"/>
      </c:valAx>
      <c:serAx>
        <c:axId val="1015541408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Maturity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1274320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Theta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7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secontPart_new!$AI$111</c:f>
              <c:strCache>
                <c:ptCount val="1"/>
                <c:pt idx="0">
                  <c:v>0.095890411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secontPart_new!$AH$112:$AH$122</c:f>
              <c:numCache>
                <c:formatCode>General</c:formatCode>
                <c:ptCount val="1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</c:numCache>
            </c:numRef>
          </c:cat>
          <c:val>
            <c:numRef>
              <c:f>secontPart_new!$AJ$112:$AJ$122</c:f>
              <c:numCache>
                <c:formatCode>General</c:formatCode>
                <c:ptCount val="11"/>
                <c:pt idx="0">
                  <c:v>-4.3235926092857417E-2</c:v>
                </c:pt>
                <c:pt idx="1">
                  <c:v>-5.6926463560672588E-2</c:v>
                </c:pt>
                <c:pt idx="2">
                  <c:v>-7.065788004073148E-2</c:v>
                </c:pt>
                <c:pt idx="3">
                  <c:v>-7.9909877550728439E-2</c:v>
                </c:pt>
                <c:pt idx="4">
                  <c:v>-8.2936037605474688E-2</c:v>
                </c:pt>
                <c:pt idx="5">
                  <c:v>-7.6762797805214958E-2</c:v>
                </c:pt>
                <c:pt idx="6">
                  <c:v>-6.2513323119438233E-2</c:v>
                </c:pt>
                <c:pt idx="7">
                  <c:v>-4.6315962076521472E-2</c:v>
                </c:pt>
                <c:pt idx="8">
                  <c:v>-3.2473645927268993E-2</c:v>
                </c:pt>
                <c:pt idx="9">
                  <c:v>-2.2364378557583966E-2</c:v>
                </c:pt>
                <c:pt idx="10">
                  <c:v>-1.6494986525843747E-2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93-4154-9ABD-455B4A49E32E}"/>
            </c:ext>
          </c:extLst>
        </c:ser>
        <c:ser>
          <c:idx val="1"/>
          <c:order val="1"/>
          <c:tx>
            <c:strRef>
              <c:f>secontPart_new!$AK$111</c:f>
              <c:strCache>
                <c:ptCount val="1"/>
                <c:pt idx="0">
                  <c:v>0.191780822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secontPart_new!$AH$112:$AH$122</c:f>
              <c:numCache>
                <c:formatCode>General</c:formatCode>
                <c:ptCount val="1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</c:numCache>
            </c:numRef>
          </c:cat>
          <c:val>
            <c:numRef>
              <c:f>secontPart_new!$AL$112:$AL$122</c:f>
              <c:numCache>
                <c:formatCode>General</c:formatCode>
                <c:ptCount val="11"/>
                <c:pt idx="0">
                  <c:v>-4.2383453168295705E-2</c:v>
                </c:pt>
                <c:pt idx="1">
                  <c:v>-4.8865859380322965E-2</c:v>
                </c:pt>
                <c:pt idx="2">
                  <c:v>-5.4269320239876899E-2</c:v>
                </c:pt>
                <c:pt idx="3">
                  <c:v>-5.7995695570430661E-2</c:v>
                </c:pt>
                <c:pt idx="4">
                  <c:v>-5.8499164280209993E-2</c:v>
                </c:pt>
                <c:pt idx="5">
                  <c:v>-5.645553498203678E-2</c:v>
                </c:pt>
                <c:pt idx="6">
                  <c:v>-5.1442258036951155E-2</c:v>
                </c:pt>
                <c:pt idx="7">
                  <c:v>-4.411316476236566E-2</c:v>
                </c:pt>
                <c:pt idx="8">
                  <c:v>-3.6137486946463807E-2</c:v>
                </c:pt>
                <c:pt idx="9">
                  <c:v>-2.86329543582662E-2</c:v>
                </c:pt>
                <c:pt idx="10">
                  <c:v>-2.1949207058345237E-2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693-4154-9ABD-455B4A49E32E}"/>
            </c:ext>
          </c:extLst>
        </c:ser>
        <c:ser>
          <c:idx val="2"/>
          <c:order val="2"/>
          <c:tx>
            <c:strRef>
              <c:f>secontPart_new!$AM$111</c:f>
              <c:strCache>
                <c:ptCount val="1"/>
                <c:pt idx="0">
                  <c:v>0.268493151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secontPart_new!$AH$112:$AH$122</c:f>
              <c:numCache>
                <c:formatCode>General</c:formatCode>
                <c:ptCount val="1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</c:numCache>
            </c:numRef>
          </c:cat>
          <c:val>
            <c:numRef>
              <c:f>secontPart_new!$AN$112:$AN$122</c:f>
              <c:numCache>
                <c:formatCode>General</c:formatCode>
                <c:ptCount val="11"/>
                <c:pt idx="0">
                  <c:v>-3.9088502834708279E-2</c:v>
                </c:pt>
                <c:pt idx="1">
                  <c:v>-4.4334493290694908E-2</c:v>
                </c:pt>
                <c:pt idx="2">
                  <c:v>-4.7101327574909549E-2</c:v>
                </c:pt>
                <c:pt idx="3">
                  <c:v>-4.8850129184016822E-2</c:v>
                </c:pt>
                <c:pt idx="4">
                  <c:v>-4.9427050835970369E-2</c:v>
                </c:pt>
                <c:pt idx="5">
                  <c:v>-4.7866350605115855E-2</c:v>
                </c:pt>
                <c:pt idx="6">
                  <c:v>-4.489081451071858E-2</c:v>
                </c:pt>
                <c:pt idx="7">
                  <c:v>-4.0309556475975207E-2</c:v>
                </c:pt>
                <c:pt idx="8">
                  <c:v>-3.4941328937510091E-2</c:v>
                </c:pt>
                <c:pt idx="9">
                  <c:v>-2.9152062763857463E-2</c:v>
                </c:pt>
                <c:pt idx="10">
                  <c:v>-2.3611925171830767E-2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693-4154-9ABD-455B4A49E32E}"/>
            </c:ext>
          </c:extLst>
        </c:ser>
        <c:ser>
          <c:idx val="3"/>
          <c:order val="3"/>
          <c:tx>
            <c:strRef>
              <c:f>secontPart_new!$AO$111</c:f>
              <c:strCache>
                <c:ptCount val="1"/>
                <c:pt idx="0">
                  <c:v>0.364383562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secontPart_new!$AH$112:$AH$122</c:f>
              <c:numCache>
                <c:formatCode>General</c:formatCode>
                <c:ptCount val="1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</c:numCache>
            </c:numRef>
          </c:cat>
          <c:val>
            <c:numRef>
              <c:f>secontPart_new!$AP$112:$AP$122</c:f>
              <c:numCache>
                <c:formatCode>General</c:formatCode>
                <c:ptCount val="11"/>
                <c:pt idx="0">
                  <c:v>-3.7700064643760044E-2</c:v>
                </c:pt>
                <c:pt idx="1">
                  <c:v>-4.0306718940314214E-2</c:v>
                </c:pt>
                <c:pt idx="2">
                  <c:v>-4.2292388556777118E-2</c:v>
                </c:pt>
                <c:pt idx="3">
                  <c:v>-4.3161805312781333E-2</c:v>
                </c:pt>
                <c:pt idx="4">
                  <c:v>-4.3948818560892611E-2</c:v>
                </c:pt>
                <c:pt idx="5">
                  <c:v>-4.3131540533733283E-2</c:v>
                </c:pt>
                <c:pt idx="6">
                  <c:v>-4.1002702851108963E-2</c:v>
                </c:pt>
                <c:pt idx="7">
                  <c:v>-3.8506119804466728E-2</c:v>
                </c:pt>
                <c:pt idx="8">
                  <c:v>-3.5159684787870717E-2</c:v>
                </c:pt>
                <c:pt idx="9">
                  <c:v>-3.1050652257234017E-2</c:v>
                </c:pt>
                <c:pt idx="10">
                  <c:v>-2.7113407619932552E-2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693-4154-9ABD-455B4A49E32E}"/>
            </c:ext>
          </c:extLst>
        </c:ser>
        <c:ser>
          <c:idx val="4"/>
          <c:order val="4"/>
          <c:tx>
            <c:strRef>
              <c:f>secontPart_new!$AQ$111</c:f>
              <c:strCache>
                <c:ptCount val="1"/>
                <c:pt idx="0">
                  <c:v>0.44109589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secontPart_new!$AH$112:$AH$122</c:f>
              <c:numCache>
                <c:formatCode>General</c:formatCode>
                <c:ptCount val="1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</c:numCache>
            </c:numRef>
          </c:cat>
          <c:val>
            <c:numRef>
              <c:f>secontPart_new!$AR$112:$AR$122</c:f>
              <c:numCache>
                <c:formatCode>General</c:formatCode>
                <c:ptCount val="11"/>
                <c:pt idx="0">
                  <c:v>-3.5952679285505149E-2</c:v>
                </c:pt>
                <c:pt idx="1">
                  <c:v>-3.7901586818430449E-2</c:v>
                </c:pt>
                <c:pt idx="2">
                  <c:v>-3.9263983903835148E-2</c:v>
                </c:pt>
                <c:pt idx="3">
                  <c:v>-4.0167647286075588E-2</c:v>
                </c:pt>
                <c:pt idx="4">
                  <c:v>-4.0565440232172144E-2</c:v>
                </c:pt>
                <c:pt idx="5">
                  <c:v>-3.987363841646388E-2</c:v>
                </c:pt>
                <c:pt idx="6">
                  <c:v>-3.8835604226233451E-2</c:v>
                </c:pt>
                <c:pt idx="7">
                  <c:v>-3.6507450346494524E-2</c:v>
                </c:pt>
                <c:pt idx="8">
                  <c:v>-3.3891453487854432E-2</c:v>
                </c:pt>
                <c:pt idx="9">
                  <c:v>-3.1105653825154581E-2</c:v>
                </c:pt>
                <c:pt idx="10">
                  <c:v>-2.7886064921043535E-2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693-4154-9ABD-455B4A49E32E}"/>
            </c:ext>
          </c:extLst>
        </c:ser>
        <c:ser>
          <c:idx val="5"/>
          <c:order val="5"/>
          <c:tx>
            <c:strRef>
              <c:f>secontPart_new!$AS$111</c:f>
              <c:strCache>
                <c:ptCount val="1"/>
                <c:pt idx="0">
                  <c:v>0.536986301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secontPart_new!$AH$112:$AH$122</c:f>
              <c:numCache>
                <c:formatCode>General</c:formatCode>
                <c:ptCount val="1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</c:numCache>
            </c:numRef>
          </c:cat>
          <c:val>
            <c:numRef>
              <c:f>secontPart_new!$AT$112:$AT$122</c:f>
              <c:numCache>
                <c:formatCode>General</c:formatCode>
                <c:ptCount val="11"/>
                <c:pt idx="0">
                  <c:v>-3.2640519748057303E-2</c:v>
                </c:pt>
                <c:pt idx="1">
                  <c:v>-3.4374103209570323E-2</c:v>
                </c:pt>
                <c:pt idx="2">
                  <c:v>-3.5369216171756548E-2</c:v>
                </c:pt>
                <c:pt idx="3">
                  <c:v>-3.6101027899436484E-2</c:v>
                </c:pt>
                <c:pt idx="4">
                  <c:v>-3.6417710559251533E-2</c:v>
                </c:pt>
                <c:pt idx="5">
                  <c:v>-3.6111067803897993E-2</c:v>
                </c:pt>
                <c:pt idx="6">
                  <c:v>-3.5399541944654174E-2</c:v>
                </c:pt>
                <c:pt idx="7">
                  <c:v>-3.3936020501394513E-2</c:v>
                </c:pt>
                <c:pt idx="8">
                  <c:v>-3.2068272295080955E-2</c:v>
                </c:pt>
                <c:pt idx="9">
                  <c:v>-2.975457902056099E-2</c:v>
                </c:pt>
                <c:pt idx="10">
                  <c:v>-2.7213514958750112E-2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693-4154-9ABD-455B4A49E32E}"/>
            </c:ext>
          </c:extLst>
        </c:ser>
        <c:ser>
          <c:idx val="6"/>
          <c:order val="6"/>
          <c:tx>
            <c:strRef>
              <c:f>secontPart_new!$AU$111</c:f>
              <c:strCache>
                <c:ptCount val="1"/>
                <c:pt idx="0">
                  <c:v>0.61369863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secontPart_new!$AH$112:$AH$122</c:f>
              <c:numCache>
                <c:formatCode>General</c:formatCode>
                <c:ptCount val="1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</c:numCache>
            </c:numRef>
          </c:cat>
          <c:val>
            <c:numRef>
              <c:f>secontPart_new!$AV$112:$AV$122</c:f>
              <c:numCache>
                <c:formatCode>General</c:formatCode>
                <c:ptCount val="11"/>
                <c:pt idx="0">
                  <c:v>-3.040193658633095E-2</c:v>
                </c:pt>
                <c:pt idx="1">
                  <c:v>-3.1858225633727158E-2</c:v>
                </c:pt>
                <c:pt idx="2">
                  <c:v>-3.3214982341568902E-2</c:v>
                </c:pt>
                <c:pt idx="3">
                  <c:v>-3.3643389846992049E-2</c:v>
                </c:pt>
                <c:pt idx="4">
                  <c:v>-3.4029585354843558E-2</c:v>
                </c:pt>
                <c:pt idx="5">
                  <c:v>-3.384674123261508E-2</c:v>
                </c:pt>
                <c:pt idx="6">
                  <c:v>-3.3297228866020712E-2</c:v>
                </c:pt>
                <c:pt idx="7">
                  <c:v>-3.2280075793982593E-2</c:v>
                </c:pt>
                <c:pt idx="8">
                  <c:v>-3.1003625295762737E-2</c:v>
                </c:pt>
                <c:pt idx="9">
                  <c:v>-2.9130385275420185E-2</c:v>
                </c:pt>
                <c:pt idx="10">
                  <c:v>-2.7074558557552825E-2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693-4154-9ABD-455B4A49E32E}"/>
            </c:ext>
          </c:extLst>
        </c:ser>
        <c:ser>
          <c:idx val="7"/>
          <c:order val="7"/>
          <c:tx>
            <c:strRef>
              <c:f>secontPart_new!$AW$111</c:f>
              <c:strCache>
                <c:ptCount val="1"/>
                <c:pt idx="0">
                  <c:v>0.78630137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secontPart_new!$AH$112:$AH$122</c:f>
              <c:numCache>
                <c:formatCode>General</c:formatCode>
                <c:ptCount val="1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</c:numCache>
            </c:numRef>
          </c:cat>
          <c:val>
            <c:numRef>
              <c:f>secontPart_new!$AX$112:$AX$122</c:f>
              <c:numCache>
                <c:formatCode>General</c:formatCode>
                <c:ptCount val="11"/>
                <c:pt idx="0">
                  <c:v>-2.6493272989447703E-2</c:v>
                </c:pt>
                <c:pt idx="1">
                  <c:v>-2.7388014969665812E-2</c:v>
                </c:pt>
                <c:pt idx="2">
                  <c:v>-2.8285766442930065E-2</c:v>
                </c:pt>
                <c:pt idx="3">
                  <c:v>-2.8906594926413603E-2</c:v>
                </c:pt>
                <c:pt idx="4">
                  <c:v>-2.9316305551205585E-2</c:v>
                </c:pt>
                <c:pt idx="5">
                  <c:v>-2.9383838615211166E-2</c:v>
                </c:pt>
                <c:pt idx="6">
                  <c:v>-2.9186473741206052E-2</c:v>
                </c:pt>
                <c:pt idx="7">
                  <c:v>-2.8550567585746176E-2</c:v>
                </c:pt>
                <c:pt idx="8">
                  <c:v>-2.7783638300417066E-2</c:v>
                </c:pt>
                <c:pt idx="9">
                  <c:v>-2.6632257801953562E-2</c:v>
                </c:pt>
                <c:pt idx="10">
                  <c:v>-2.5266285254078071E-2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693-4154-9ABD-455B4A49E32E}"/>
            </c:ext>
          </c:extLst>
        </c:ser>
        <c:ser>
          <c:idx val="8"/>
          <c:order val="8"/>
          <c:tx>
            <c:strRef>
              <c:f>secontPart_new!$AY$111</c:f>
              <c:strCache>
                <c:ptCount val="1"/>
                <c:pt idx="0">
                  <c:v>0.939726027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val>
            <c:numRef>
              <c:f>secontPart_new!$AZ$112:$AZ$122</c:f>
              <c:numCache>
                <c:formatCode>General</c:formatCode>
                <c:ptCount val="11"/>
                <c:pt idx="0">
                  <c:v>-2.3694781757864474E-2</c:v>
                </c:pt>
                <c:pt idx="1">
                  <c:v>-2.4560276200393309E-2</c:v>
                </c:pt>
                <c:pt idx="2">
                  <c:v>-2.536962044125091E-2</c:v>
                </c:pt>
                <c:pt idx="3">
                  <c:v>-2.5927900678357225E-2</c:v>
                </c:pt>
                <c:pt idx="4">
                  <c:v>-2.6369398188940876E-2</c:v>
                </c:pt>
                <c:pt idx="5">
                  <c:v>-2.6512795958395161E-2</c:v>
                </c:pt>
                <c:pt idx="6">
                  <c:v>-2.6504414633050411E-2</c:v>
                </c:pt>
                <c:pt idx="7">
                  <c:v>-2.6204386791861201E-2</c:v>
                </c:pt>
                <c:pt idx="8">
                  <c:v>-2.5688044532478003E-2</c:v>
                </c:pt>
                <c:pt idx="9">
                  <c:v>-2.4992392461125695E-2</c:v>
                </c:pt>
                <c:pt idx="10">
                  <c:v>-2.4142424005812794E-2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693-4154-9ABD-455B4A49E32E}"/>
            </c:ext>
          </c:extLst>
        </c:ser>
        <c:ser>
          <c:idx val="9"/>
          <c:order val="9"/>
          <c:tx>
            <c:strRef>
              <c:f>secontPart_new!$BA$111</c:f>
              <c:strCache>
                <c:ptCount val="1"/>
                <c:pt idx="0">
                  <c:v>1.189041096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val>
            <c:numRef>
              <c:f>secontPart_new!$BB$112:$BB$122</c:f>
              <c:numCache>
                <c:formatCode>General</c:formatCode>
                <c:ptCount val="11"/>
                <c:pt idx="0">
                  <c:v>-2.0922963025911779E-2</c:v>
                </c:pt>
                <c:pt idx="1">
                  <c:v>-2.1587173553503168E-2</c:v>
                </c:pt>
                <c:pt idx="2">
                  <c:v>-2.2370537101455264E-2</c:v>
                </c:pt>
                <c:pt idx="3">
                  <c:v>-2.281486228670224E-2</c:v>
                </c:pt>
                <c:pt idx="4">
                  <c:v>-2.3271411035107006E-2</c:v>
                </c:pt>
                <c:pt idx="5">
                  <c:v>-2.3442672143376784E-2</c:v>
                </c:pt>
                <c:pt idx="6">
                  <c:v>-2.3491962355056004E-2</c:v>
                </c:pt>
                <c:pt idx="7">
                  <c:v>-2.3480080256107594E-2</c:v>
                </c:pt>
                <c:pt idx="8">
                  <c:v>-2.3251496928481084E-2</c:v>
                </c:pt>
                <c:pt idx="9">
                  <c:v>-2.2916797523921593E-2</c:v>
                </c:pt>
                <c:pt idx="10">
                  <c:v>-2.2508203616307381E-2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693-4154-9ABD-455B4A49E32E}"/>
            </c:ext>
          </c:extLst>
        </c:ser>
        <c:ser>
          <c:idx val="10"/>
          <c:order val="10"/>
          <c:tx>
            <c:strRef>
              <c:f>secontPart_new!$BC$111</c:f>
              <c:strCache>
                <c:ptCount val="1"/>
                <c:pt idx="0">
                  <c:v>1.438356164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val>
            <c:numRef>
              <c:f>secontPart_new!$BD$112:$BD$122</c:f>
              <c:numCache>
                <c:formatCode>General</c:formatCode>
                <c:ptCount val="11"/>
                <c:pt idx="0">
                  <c:v>-1.8210267457896657E-2</c:v>
                </c:pt>
                <c:pt idx="1">
                  <c:v>-1.8727370973512642E-2</c:v>
                </c:pt>
                <c:pt idx="2">
                  <c:v>-1.9377237057201638E-2</c:v>
                </c:pt>
                <c:pt idx="3">
                  <c:v>-1.9747191400420454E-2</c:v>
                </c:pt>
                <c:pt idx="4">
                  <c:v>-2.0158225091746938E-2</c:v>
                </c:pt>
                <c:pt idx="5">
                  <c:v>-2.0341174312711992E-2</c:v>
                </c:pt>
                <c:pt idx="6">
                  <c:v>-2.0444562506860685E-2</c:v>
                </c:pt>
                <c:pt idx="7">
                  <c:v>-2.0521922197313362E-2</c:v>
                </c:pt>
                <c:pt idx="8">
                  <c:v>-2.043062881942348E-2</c:v>
                </c:pt>
                <c:pt idx="9">
                  <c:v>-2.026715132867795E-2</c:v>
                </c:pt>
                <c:pt idx="10">
                  <c:v>-2.0055840464849602E-2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693-4154-9ABD-455B4A49E32E}"/>
            </c:ext>
          </c:extLst>
        </c:ser>
        <c:ser>
          <c:idx val="11"/>
          <c:order val="11"/>
          <c:tx>
            <c:strRef>
              <c:f>secontPart_new!$BE$111</c:f>
              <c:strCache>
                <c:ptCount val="1"/>
                <c:pt idx="0">
                  <c:v>1.783561644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val>
            <c:numRef>
              <c:f>secontPart_new!$BF$112:$BF$122</c:f>
              <c:numCache>
                <c:formatCode>General</c:formatCode>
                <c:ptCount val="11"/>
                <c:pt idx="0">
                  <c:v>-1.6061125637403827E-2</c:v>
                </c:pt>
                <c:pt idx="1">
                  <c:v>-1.6532728654873732E-2</c:v>
                </c:pt>
                <c:pt idx="2">
                  <c:v>-1.7040070319592645E-2</c:v>
                </c:pt>
                <c:pt idx="3">
                  <c:v>-1.7456752271855499E-2</c:v>
                </c:pt>
                <c:pt idx="4">
                  <c:v>-1.7813695294909573E-2</c:v>
                </c:pt>
                <c:pt idx="5">
                  <c:v>-1.8108824530385356E-2</c:v>
                </c:pt>
                <c:pt idx="6">
                  <c:v>-1.8314197617029827E-2</c:v>
                </c:pt>
                <c:pt idx="7">
                  <c:v>-1.8416001818874709E-2</c:v>
                </c:pt>
                <c:pt idx="8">
                  <c:v>-1.8235920886630678E-2</c:v>
                </c:pt>
                <c:pt idx="9">
                  <c:v>-1.8490414852410857E-2</c:v>
                </c:pt>
                <c:pt idx="10">
                  <c:v>-1.8434968868200723E-2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693-4154-9ABD-455B4A49E32E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3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5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8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9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1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4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</c:bandFmts>
        <c:axId val="1012937536"/>
        <c:axId val="1012940032"/>
        <c:axId val="805166912"/>
      </c:surface3DChart>
      <c:catAx>
        <c:axId val="10129375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Strike</a:t>
                </a:r>
              </a:p>
            </c:rich>
          </c:tx>
          <c:layout>
            <c:manualLayout>
              <c:xMode val="edge"/>
              <c:yMode val="edge"/>
              <c:x val="0.2269284072965915"/>
              <c:y val="0.17496658806026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2940032"/>
        <c:crosses val="autoZero"/>
        <c:auto val="1"/>
        <c:lblAlgn val="ctr"/>
        <c:lblOffset val="100"/>
        <c:noMultiLvlLbl val="0"/>
      </c:catAx>
      <c:valAx>
        <c:axId val="1012940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Theta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2937536"/>
        <c:crosses val="autoZero"/>
        <c:crossBetween val="midCat"/>
      </c:valAx>
      <c:serAx>
        <c:axId val="805166912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Maturity</a:t>
                </a:r>
              </a:p>
            </c:rich>
          </c:tx>
          <c:layout>
            <c:manualLayout>
              <c:xMode val="edge"/>
              <c:yMode val="edge"/>
              <c:x val="0.56289986667244563"/>
              <c:y val="0.7739089834883150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2940032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Gamma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secontPart_new!$AI$152</c:f>
              <c:strCache>
                <c:ptCount val="1"/>
                <c:pt idx="0">
                  <c:v>0.095890411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secontPart_new!$AH$153:$AH$163</c:f>
              <c:numCache>
                <c:formatCode>General</c:formatCode>
                <c:ptCount val="1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</c:numCache>
            </c:numRef>
          </c:cat>
          <c:val>
            <c:numRef>
              <c:f>secontPart_new!$AJ$153:$AJ$163</c:f>
              <c:numCache>
                <c:formatCode>General</c:formatCode>
                <c:ptCount val="11"/>
                <c:pt idx="0">
                  <c:v>1.0143201690397664E-2</c:v>
                </c:pt>
                <c:pt idx="1">
                  <c:v>1.4380890605434134E-2</c:v>
                </c:pt>
                <c:pt idx="2">
                  <c:v>1.9130363410698886E-2</c:v>
                </c:pt>
                <c:pt idx="3">
                  <c:v>2.3703943103381159E-2</c:v>
                </c:pt>
                <c:pt idx="4">
                  <c:v>2.6612029789191645E-2</c:v>
                </c:pt>
                <c:pt idx="5">
                  <c:v>2.6739956691397608E-2</c:v>
                </c:pt>
                <c:pt idx="6">
                  <c:v>2.3492721764216472E-2</c:v>
                </c:pt>
                <c:pt idx="7">
                  <c:v>1.7802136803266411E-2</c:v>
                </c:pt>
                <c:pt idx="8">
                  <c:v>1.2178605547747757E-2</c:v>
                </c:pt>
                <c:pt idx="9">
                  <c:v>7.9354125114015107E-3</c:v>
                </c:pt>
                <c:pt idx="10">
                  <c:v>5.2941563162479527E-3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DA-4BE7-B671-D509572711CF}"/>
            </c:ext>
          </c:extLst>
        </c:ser>
        <c:ser>
          <c:idx val="1"/>
          <c:order val="1"/>
          <c:tx>
            <c:strRef>
              <c:f>secontPart_new!$AK$152</c:f>
              <c:strCache>
                <c:ptCount val="1"/>
                <c:pt idx="0">
                  <c:v>0.191780822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secontPart_new!$AH$153:$AH$163</c:f>
              <c:numCache>
                <c:formatCode>General</c:formatCode>
                <c:ptCount val="1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</c:numCache>
            </c:numRef>
          </c:cat>
          <c:val>
            <c:numRef>
              <c:f>secontPart_new!$AL$153:$AL$163</c:f>
              <c:numCache>
                <c:formatCode>General</c:formatCode>
                <c:ptCount val="11"/>
                <c:pt idx="0">
                  <c:v>1.0251605872546825E-2</c:v>
                </c:pt>
                <c:pt idx="1">
                  <c:v>1.2624586021963424E-2</c:v>
                </c:pt>
                <c:pt idx="2">
                  <c:v>1.500356968021606E-2</c:v>
                </c:pt>
                <c:pt idx="3">
                  <c:v>1.7046404338287521E-2</c:v>
                </c:pt>
                <c:pt idx="4">
                  <c:v>1.8605424352017029E-2</c:v>
                </c:pt>
                <c:pt idx="5">
                  <c:v>1.9028237000506581E-2</c:v>
                </c:pt>
                <c:pt idx="6">
                  <c:v>1.8266296320525562E-2</c:v>
                </c:pt>
                <c:pt idx="7">
                  <c:v>1.6403603644060093E-2</c:v>
                </c:pt>
                <c:pt idx="8">
                  <c:v>1.3752672518499365E-2</c:v>
                </c:pt>
                <c:pt idx="9">
                  <c:v>1.0913071263892607E-2</c:v>
                </c:pt>
                <c:pt idx="10">
                  <c:v>8.3047654248034723E-3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8DA-4BE7-B671-D509572711CF}"/>
            </c:ext>
          </c:extLst>
        </c:ser>
        <c:ser>
          <c:idx val="2"/>
          <c:order val="2"/>
          <c:tx>
            <c:strRef>
              <c:f>secontPart_new!$AM$152</c:f>
              <c:strCache>
                <c:ptCount val="1"/>
                <c:pt idx="0">
                  <c:v>0.268493151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secontPart_new!$AH$153:$AH$163</c:f>
              <c:numCache>
                <c:formatCode>General</c:formatCode>
                <c:ptCount val="1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</c:numCache>
            </c:numRef>
          </c:cat>
          <c:val>
            <c:numRef>
              <c:f>secontPart_new!$AN$153:$AN$163</c:f>
              <c:numCache>
                <c:formatCode>General</c:formatCode>
                <c:ptCount val="11"/>
                <c:pt idx="0">
                  <c:v>9.651801718775747E-3</c:v>
                </c:pt>
                <c:pt idx="1">
                  <c:v>1.126545601643297E-2</c:v>
                </c:pt>
                <c:pt idx="2">
                  <c:v>1.3004865791143948E-2</c:v>
                </c:pt>
                <c:pt idx="3">
                  <c:v>1.455111591540904E-2</c:v>
                </c:pt>
                <c:pt idx="4">
                  <c:v>1.5596359159395808E-2</c:v>
                </c:pt>
                <c:pt idx="5">
                  <c:v>1.6143594726649255E-2</c:v>
                </c:pt>
                <c:pt idx="6">
                  <c:v>1.5852074961319386E-2</c:v>
                </c:pt>
                <c:pt idx="7">
                  <c:v>1.4865873863330627E-2</c:v>
                </c:pt>
                <c:pt idx="8">
                  <c:v>1.326349297186053E-2</c:v>
                </c:pt>
                <c:pt idx="9">
                  <c:v>1.1321883291021819E-2</c:v>
                </c:pt>
                <c:pt idx="10">
                  <c:v>9.2864916745750894E-3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8DA-4BE7-B671-D509572711CF}"/>
            </c:ext>
          </c:extLst>
        </c:ser>
        <c:ser>
          <c:idx val="3"/>
          <c:order val="3"/>
          <c:tx>
            <c:strRef>
              <c:f>secontPart_new!$AO$152</c:f>
              <c:strCache>
                <c:ptCount val="1"/>
                <c:pt idx="0">
                  <c:v>0.364383562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secontPart_new!$AH$153:$AH$163</c:f>
              <c:numCache>
                <c:formatCode>General</c:formatCode>
                <c:ptCount val="1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</c:numCache>
            </c:numRef>
          </c:cat>
          <c:val>
            <c:numRef>
              <c:f>secontPart_new!$AP$153:$AP$163</c:f>
              <c:numCache>
                <c:formatCode>General</c:formatCode>
                <c:ptCount val="11"/>
                <c:pt idx="0">
                  <c:v>8.6407595568663217E-3</c:v>
                </c:pt>
                <c:pt idx="1">
                  <c:v>9.8372348546865943E-3</c:v>
                </c:pt>
                <c:pt idx="2">
                  <c:v>1.0989439539603268E-2</c:v>
                </c:pt>
                <c:pt idx="3">
                  <c:v>1.2087442558401936E-2</c:v>
                </c:pt>
                <c:pt idx="4">
                  <c:v>1.2728615252732965E-2</c:v>
                </c:pt>
                <c:pt idx="5">
                  <c:v>1.3178151734077811E-2</c:v>
                </c:pt>
                <c:pt idx="6">
                  <c:v>1.329543338420971E-2</c:v>
                </c:pt>
                <c:pt idx="7">
                  <c:v>1.2837838394541126E-2</c:v>
                </c:pt>
                <c:pt idx="8">
                  <c:v>1.2039725803289492E-2</c:v>
                </c:pt>
                <c:pt idx="9">
                  <c:v>1.098012291861044E-2</c:v>
                </c:pt>
                <c:pt idx="10">
                  <c:v>9.7047851222578363E-3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8DA-4BE7-B671-D509572711CF}"/>
            </c:ext>
          </c:extLst>
        </c:ser>
        <c:ser>
          <c:idx val="4"/>
          <c:order val="4"/>
          <c:tx>
            <c:strRef>
              <c:f>secontPart_new!$AQ$152</c:f>
              <c:strCache>
                <c:ptCount val="1"/>
                <c:pt idx="0">
                  <c:v>0.44109589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secontPart_new!$AH$153:$AH$163</c:f>
              <c:numCache>
                <c:formatCode>General</c:formatCode>
                <c:ptCount val="1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</c:numCache>
            </c:numRef>
          </c:cat>
          <c:val>
            <c:numRef>
              <c:f>secontPart_new!$AR$153:$AR$163</c:f>
              <c:numCache>
                <c:formatCode>General</c:formatCode>
                <c:ptCount val="11"/>
                <c:pt idx="0">
                  <c:v>7.9528352498825904E-3</c:v>
                </c:pt>
                <c:pt idx="1">
                  <c:v>8.9019234643480886E-3</c:v>
                </c:pt>
                <c:pt idx="2">
                  <c:v>9.8302979355441925E-3</c:v>
                </c:pt>
                <c:pt idx="3">
                  <c:v>1.0636730767174672E-2</c:v>
                </c:pt>
                <c:pt idx="4">
                  <c:v>1.1227434958501543E-2</c:v>
                </c:pt>
                <c:pt idx="5">
                  <c:v>1.1677224990795184E-2</c:v>
                </c:pt>
                <c:pt idx="6">
                  <c:v>1.1741674599039395E-2</c:v>
                </c:pt>
                <c:pt idx="7">
                  <c:v>1.1654595655284134E-2</c:v>
                </c:pt>
                <c:pt idx="8">
                  <c:v>1.1195166355727879E-2</c:v>
                </c:pt>
                <c:pt idx="9">
                  <c:v>1.045262759162977E-2</c:v>
                </c:pt>
                <c:pt idx="10">
                  <c:v>9.5602237095151546E-3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8DA-4BE7-B671-D509572711CF}"/>
            </c:ext>
          </c:extLst>
        </c:ser>
        <c:ser>
          <c:idx val="5"/>
          <c:order val="5"/>
          <c:tx>
            <c:strRef>
              <c:f>secontPart_new!$AS$152</c:f>
              <c:strCache>
                <c:ptCount val="1"/>
                <c:pt idx="0">
                  <c:v>0.536986301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secontPart_new!$AH$153:$AH$163</c:f>
              <c:numCache>
                <c:formatCode>General</c:formatCode>
                <c:ptCount val="1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</c:numCache>
            </c:numRef>
          </c:cat>
          <c:val>
            <c:numRef>
              <c:f>secontPart_new!$AT$153:$AT$163</c:f>
              <c:numCache>
                <c:formatCode>General</c:formatCode>
                <c:ptCount val="11"/>
                <c:pt idx="0">
                  <c:v>7.3865489218654526E-3</c:v>
                </c:pt>
                <c:pt idx="1">
                  <c:v>8.138411127592296E-3</c:v>
                </c:pt>
                <c:pt idx="2">
                  <c:v>8.9081839488459602E-3</c:v>
                </c:pt>
                <c:pt idx="3">
                  <c:v>9.5695996262708648E-3</c:v>
                </c:pt>
                <c:pt idx="4">
                  <c:v>1.0083732594299543E-2</c:v>
                </c:pt>
                <c:pt idx="5">
                  <c:v>1.045137308459191E-2</c:v>
                </c:pt>
                <c:pt idx="6">
                  <c:v>1.0582732857655829E-2</c:v>
                </c:pt>
                <c:pt idx="7">
                  <c:v>1.0559786737080652E-2</c:v>
                </c:pt>
                <c:pt idx="8">
                  <c:v>1.0306446155502816E-2</c:v>
                </c:pt>
                <c:pt idx="9">
                  <c:v>9.8671297101380478E-3</c:v>
                </c:pt>
                <c:pt idx="10">
                  <c:v>9.2536072542963137E-3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8DA-4BE7-B671-D509572711CF}"/>
            </c:ext>
          </c:extLst>
        </c:ser>
        <c:ser>
          <c:idx val="6"/>
          <c:order val="6"/>
          <c:tx>
            <c:strRef>
              <c:f>secontPart_new!$AU$152</c:f>
              <c:strCache>
                <c:ptCount val="1"/>
                <c:pt idx="0">
                  <c:v>0.61369863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secontPart_new!$AH$153:$AH$163</c:f>
              <c:numCache>
                <c:formatCode>General</c:formatCode>
                <c:ptCount val="1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</c:numCache>
            </c:numRef>
          </c:cat>
          <c:val>
            <c:numRef>
              <c:f>secontPart_new!$AV$153:$AV$163</c:f>
              <c:numCache>
                <c:formatCode>General</c:formatCode>
                <c:ptCount val="11"/>
                <c:pt idx="0">
                  <c:v>6.9947370962354137E-3</c:v>
                </c:pt>
                <c:pt idx="1">
                  <c:v>7.6580280261078926E-3</c:v>
                </c:pt>
                <c:pt idx="2">
                  <c:v>8.2346615023851325E-3</c:v>
                </c:pt>
                <c:pt idx="3">
                  <c:v>8.8518828587004564E-3</c:v>
                </c:pt>
                <c:pt idx="4">
                  <c:v>9.2903095363157055E-3</c:v>
                </c:pt>
                <c:pt idx="5">
                  <c:v>9.6308403591854139E-3</c:v>
                </c:pt>
                <c:pt idx="6">
                  <c:v>9.7981613260414418E-3</c:v>
                </c:pt>
                <c:pt idx="7">
                  <c:v>9.8100264668466424E-3</c:v>
                </c:pt>
                <c:pt idx="8">
                  <c:v>9.6278936267935027E-3</c:v>
                </c:pt>
                <c:pt idx="9">
                  <c:v>9.3439125814903153E-3</c:v>
                </c:pt>
                <c:pt idx="10">
                  <c:v>8.9030949049119252E-3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8DA-4BE7-B671-D509572711CF}"/>
            </c:ext>
          </c:extLst>
        </c:ser>
        <c:ser>
          <c:idx val="7"/>
          <c:order val="7"/>
          <c:tx>
            <c:strRef>
              <c:f>secontPart_new!$AW$152</c:f>
              <c:strCache>
                <c:ptCount val="1"/>
                <c:pt idx="0">
                  <c:v>0.78630137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secontPart_new!$AH$153:$AH$163</c:f>
              <c:numCache>
                <c:formatCode>General</c:formatCode>
                <c:ptCount val="1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</c:numCache>
            </c:numRef>
          </c:cat>
          <c:val>
            <c:numRef>
              <c:f>secontPart_new!$AX$153:$AX$163</c:f>
              <c:numCache>
                <c:formatCode>General</c:formatCode>
                <c:ptCount val="11"/>
                <c:pt idx="0">
                  <c:v>6.2630543412229237E-3</c:v>
                </c:pt>
                <c:pt idx="1">
                  <c:v>6.8153961358185635E-3</c:v>
                </c:pt>
                <c:pt idx="2">
                  <c:v>7.3025275426095975E-3</c:v>
                </c:pt>
                <c:pt idx="3">
                  <c:v>7.7428178653269081E-3</c:v>
                </c:pt>
                <c:pt idx="4">
                  <c:v>8.097218190866208E-3</c:v>
                </c:pt>
                <c:pt idx="5">
                  <c:v>8.3764546316926706E-3</c:v>
                </c:pt>
                <c:pt idx="6">
                  <c:v>8.5473865731503576E-3</c:v>
                </c:pt>
                <c:pt idx="7">
                  <c:v>8.6478809702898694E-3</c:v>
                </c:pt>
                <c:pt idx="8">
                  <c:v>8.6007473841701251E-3</c:v>
                </c:pt>
                <c:pt idx="9">
                  <c:v>8.4753826696308092E-3</c:v>
                </c:pt>
                <c:pt idx="10">
                  <c:v>8.2447944503667124E-3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8DA-4BE7-B671-D509572711CF}"/>
            </c:ext>
          </c:extLst>
        </c:ser>
        <c:ser>
          <c:idx val="8"/>
          <c:order val="8"/>
          <c:tx>
            <c:strRef>
              <c:f>secontPart_new!$AY$152</c:f>
              <c:strCache>
                <c:ptCount val="1"/>
                <c:pt idx="0">
                  <c:v>0.939726027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secontPart_new!$AH$153:$AH$163</c:f>
              <c:numCache>
                <c:formatCode>General</c:formatCode>
                <c:ptCount val="1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</c:numCache>
            </c:numRef>
          </c:cat>
          <c:val>
            <c:numRef>
              <c:f>secontPart_new!$AZ$153:$AZ$163</c:f>
              <c:numCache>
                <c:formatCode>General</c:formatCode>
                <c:ptCount val="11"/>
                <c:pt idx="0">
                  <c:v>5.7186333718521332E-3</c:v>
                </c:pt>
                <c:pt idx="1">
                  <c:v>6.1575809626175058E-3</c:v>
                </c:pt>
                <c:pt idx="2">
                  <c:v>6.5519855296508177E-3</c:v>
                </c:pt>
                <c:pt idx="3">
                  <c:v>6.9199166732243295E-3</c:v>
                </c:pt>
                <c:pt idx="4">
                  <c:v>7.2177574848202707E-3</c:v>
                </c:pt>
                <c:pt idx="5">
                  <c:v>7.4739725186341397E-3</c:v>
                </c:pt>
                <c:pt idx="6">
                  <c:v>7.6434841500126376E-3</c:v>
                </c:pt>
                <c:pt idx="7">
                  <c:v>7.756076591678855E-3</c:v>
                </c:pt>
                <c:pt idx="8">
                  <c:v>7.7910814175363779E-3</c:v>
                </c:pt>
                <c:pt idx="9">
                  <c:v>7.743013301634058E-3</c:v>
                </c:pt>
                <c:pt idx="10">
                  <c:v>7.6152370305131297E-3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8DA-4BE7-B671-D509572711CF}"/>
            </c:ext>
          </c:extLst>
        </c:ser>
        <c:ser>
          <c:idx val="9"/>
          <c:order val="9"/>
          <c:tx>
            <c:strRef>
              <c:f>secontPart_new!$BA$152</c:f>
              <c:strCache>
                <c:ptCount val="1"/>
                <c:pt idx="0">
                  <c:v>1.189041096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val>
            <c:numRef>
              <c:f>secontPart_new!$BB$153:$BB$163</c:f>
              <c:numCache>
                <c:formatCode>General</c:formatCode>
                <c:ptCount val="11"/>
                <c:pt idx="0">
                  <c:v>5.063808522551316E-3</c:v>
                </c:pt>
                <c:pt idx="1">
                  <c:v>5.4092425848956474E-3</c:v>
                </c:pt>
                <c:pt idx="2">
                  <c:v>5.6925283002131569E-3</c:v>
                </c:pt>
                <c:pt idx="3">
                  <c:v>5.9873848824317901E-3</c:v>
                </c:pt>
                <c:pt idx="4">
                  <c:v>6.2162652360232802E-3</c:v>
                </c:pt>
                <c:pt idx="5">
                  <c:v>6.4375347492496016E-3</c:v>
                </c:pt>
                <c:pt idx="6">
                  <c:v>6.6090302223921604E-3</c:v>
                </c:pt>
                <c:pt idx="7">
                  <c:v>6.7111266716319874E-3</c:v>
                </c:pt>
                <c:pt idx="8">
                  <c:v>6.7811503687544667E-3</c:v>
                </c:pt>
                <c:pt idx="9">
                  <c:v>6.793200673276106E-3</c:v>
                </c:pt>
                <c:pt idx="10">
                  <c:v>6.7450916374325355E-3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8DA-4BE7-B671-D509572711CF}"/>
            </c:ext>
          </c:extLst>
        </c:ser>
        <c:ser>
          <c:idx val="10"/>
          <c:order val="10"/>
          <c:tx>
            <c:strRef>
              <c:f>secontPart_new!$BC$152</c:f>
              <c:strCache>
                <c:ptCount val="1"/>
                <c:pt idx="0">
                  <c:v>1.438356164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val>
            <c:numRef>
              <c:f>secontPart_new!$BD$153:$BD$163</c:f>
              <c:numCache>
                <c:formatCode>General</c:formatCode>
                <c:ptCount val="11"/>
                <c:pt idx="0">
                  <c:v>4.5936591521241361E-3</c:v>
                </c:pt>
                <c:pt idx="1">
                  <c:v>4.8911457504605101E-3</c:v>
                </c:pt>
                <c:pt idx="2">
                  <c:v>5.1357548615699961E-3</c:v>
                </c:pt>
                <c:pt idx="3">
                  <c:v>5.3960192279518451E-3</c:v>
                </c:pt>
                <c:pt idx="4">
                  <c:v>5.6024629643178789E-3</c:v>
                </c:pt>
                <c:pt idx="5">
                  <c:v>5.8087969365099483E-3</c:v>
                </c:pt>
                <c:pt idx="6">
                  <c:v>5.9774681451232629E-3</c:v>
                </c:pt>
                <c:pt idx="7">
                  <c:v>6.0906303997359558E-3</c:v>
                </c:pt>
                <c:pt idx="8">
                  <c:v>6.1824254246427447E-3</c:v>
                </c:pt>
                <c:pt idx="9">
                  <c:v>6.2284613261065569E-3</c:v>
                </c:pt>
                <c:pt idx="10">
                  <c:v>6.2252914288639339E-3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8DA-4BE7-B671-D509572711CF}"/>
            </c:ext>
          </c:extLst>
        </c:ser>
        <c:ser>
          <c:idx val="11"/>
          <c:order val="11"/>
          <c:tx>
            <c:strRef>
              <c:f>secontPart_new!$BE$152</c:f>
              <c:strCache>
                <c:ptCount val="1"/>
                <c:pt idx="0">
                  <c:v>1.783561644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val>
            <c:numRef>
              <c:f>secontPart_new!$BF$153:$BF$163</c:f>
              <c:numCache>
                <c:formatCode>General</c:formatCode>
                <c:ptCount val="11"/>
                <c:pt idx="0">
                  <c:v>4.0007157205906837E-3</c:v>
                </c:pt>
                <c:pt idx="1">
                  <c:v>4.2262494239967445E-3</c:v>
                </c:pt>
                <c:pt idx="2">
                  <c:v>4.4253357212594895E-3</c:v>
                </c:pt>
                <c:pt idx="3">
                  <c:v>4.6151782970484155E-3</c:v>
                </c:pt>
                <c:pt idx="4">
                  <c:v>4.7872821085467613E-3</c:v>
                </c:pt>
                <c:pt idx="5">
                  <c:v>4.9391255417055701E-3</c:v>
                </c:pt>
                <c:pt idx="6">
                  <c:v>5.0748487665626101E-3</c:v>
                </c:pt>
                <c:pt idx="7">
                  <c:v>5.1964981998435574E-3</c:v>
                </c:pt>
                <c:pt idx="8">
                  <c:v>5.3463271451915755E-3</c:v>
                </c:pt>
                <c:pt idx="9">
                  <c:v>5.3508444557618428E-3</c:v>
                </c:pt>
                <c:pt idx="10">
                  <c:v>5.3902244713139886E-3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8DA-4BE7-B671-D509572711CF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3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5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8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9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1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4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</c:bandFmts>
        <c:axId val="807155024"/>
        <c:axId val="807154192"/>
        <c:axId val="1004344608"/>
      </c:surface3DChart>
      <c:catAx>
        <c:axId val="8071550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Strike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7154192"/>
        <c:crosses val="autoZero"/>
        <c:auto val="1"/>
        <c:lblAlgn val="ctr"/>
        <c:lblOffset val="100"/>
        <c:noMultiLvlLbl val="0"/>
      </c:catAx>
      <c:valAx>
        <c:axId val="80715419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Gamma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7155024"/>
        <c:crosses val="autoZero"/>
        <c:crossBetween val="midCat"/>
      </c:valAx>
      <c:serAx>
        <c:axId val="1004344608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Maturity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7154192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Delta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359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secontPart_new!$AI$194</c:f>
              <c:strCache>
                <c:ptCount val="1"/>
                <c:pt idx="0">
                  <c:v>0.095890411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secontPart_new!$AH$195:$AH$205</c:f>
              <c:numCache>
                <c:formatCode>General</c:formatCode>
                <c:ptCount val="1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</c:numCache>
            </c:numRef>
          </c:cat>
          <c:val>
            <c:numRef>
              <c:f>secontPart_new!$AJ$195:$AJ$205</c:f>
              <c:numCache>
                <c:formatCode>General</c:formatCode>
                <c:ptCount val="11"/>
                <c:pt idx="0">
                  <c:v>0.89481214608507398</c:v>
                </c:pt>
                <c:pt idx="1">
                  <c:v>0.83703128411593297</c:v>
                </c:pt>
                <c:pt idx="2">
                  <c:v>0.75528075225263303</c:v>
                </c:pt>
                <c:pt idx="3">
                  <c:v>0.65057007608373407</c:v>
                </c:pt>
                <c:pt idx="4">
                  <c:v>0.52411593996802741</c:v>
                </c:pt>
                <c:pt idx="5">
                  <c:v>0.3878954259861534</c:v>
                </c:pt>
                <c:pt idx="6">
                  <c:v>0.25858008649613728</c:v>
                </c:pt>
                <c:pt idx="7">
                  <c:v>0.15869074168974356</c:v>
                </c:pt>
                <c:pt idx="8">
                  <c:v>9.3782843610061714E-2</c:v>
                </c:pt>
                <c:pt idx="9">
                  <c:v>5.5509796744139944E-2</c:v>
                </c:pt>
                <c:pt idx="10">
                  <c:v>3.5708562978655364E-2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26-4F55-A330-04D11087A15B}"/>
            </c:ext>
          </c:extLst>
        </c:ser>
        <c:ser>
          <c:idx val="1"/>
          <c:order val="1"/>
          <c:tx>
            <c:strRef>
              <c:f>secontPart_new!$AK$194</c:f>
              <c:strCache>
                <c:ptCount val="1"/>
                <c:pt idx="0">
                  <c:v>0.191780822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secontPart_new!$AH$195:$AH$205</c:f>
              <c:numCache>
                <c:formatCode>General</c:formatCode>
                <c:ptCount val="1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</c:numCache>
            </c:numRef>
          </c:cat>
          <c:val>
            <c:numRef>
              <c:f>secontPart_new!$AL$195:$AL$205</c:f>
              <c:numCache>
                <c:formatCode>General</c:formatCode>
                <c:ptCount val="11"/>
                <c:pt idx="0">
                  <c:v>0.82725529451893942</c:v>
                </c:pt>
                <c:pt idx="1">
                  <c:v>0.77114631758957786</c:v>
                </c:pt>
                <c:pt idx="2">
                  <c:v>0.70277902707916606</c:v>
                </c:pt>
                <c:pt idx="3">
                  <c:v>0.62234283660338396</c:v>
                </c:pt>
                <c:pt idx="4">
                  <c:v>0.53265956500977785</c:v>
                </c:pt>
                <c:pt idx="5">
                  <c:v>0.43743266128759323</c:v>
                </c:pt>
                <c:pt idx="6">
                  <c:v>0.34333655909960481</c:v>
                </c:pt>
                <c:pt idx="7">
                  <c:v>0.25666714728002427</c:v>
                </c:pt>
                <c:pt idx="8">
                  <c:v>0.18468916777694852</c:v>
                </c:pt>
                <c:pt idx="9">
                  <c:v>0.12968242632466631</c:v>
                </c:pt>
                <c:pt idx="10">
                  <c:v>8.9072827772223875E-2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26-4F55-A330-04D11087A15B}"/>
            </c:ext>
          </c:extLst>
        </c:ser>
        <c:ser>
          <c:idx val="2"/>
          <c:order val="2"/>
          <c:tx>
            <c:strRef>
              <c:f>secontPart_new!$AM$194</c:f>
              <c:strCache>
                <c:ptCount val="1"/>
                <c:pt idx="0">
                  <c:v>0.268493151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secontPart_new!$AH$195:$AH$205</c:f>
              <c:numCache>
                <c:formatCode>General</c:formatCode>
                <c:ptCount val="1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</c:numCache>
            </c:numRef>
          </c:cat>
          <c:val>
            <c:numRef>
              <c:f>secontPart_new!$AN$195:$AN$205</c:f>
              <c:numCache>
                <c:formatCode>General</c:formatCode>
                <c:ptCount val="11"/>
                <c:pt idx="0">
                  <c:v>0.79747289916274</c:v>
                </c:pt>
                <c:pt idx="1">
                  <c:v>0.74259694637431684</c:v>
                </c:pt>
                <c:pt idx="2">
                  <c:v>0.68316461103160542</c:v>
                </c:pt>
                <c:pt idx="3">
                  <c:v>0.61439107820747663</c:v>
                </c:pt>
                <c:pt idx="4">
                  <c:v>0.53816993286709502</c:v>
                </c:pt>
                <c:pt idx="5">
                  <c:v>0.45751806446928994</c:v>
                </c:pt>
                <c:pt idx="6">
                  <c:v>0.37715247099462335</c:v>
                </c:pt>
                <c:pt idx="7">
                  <c:v>0.30056359277205746</c:v>
                </c:pt>
                <c:pt idx="8">
                  <c:v>0.23261469660219899</c:v>
                </c:pt>
                <c:pt idx="9">
                  <c:v>0.17475306481962596</c:v>
                </c:pt>
                <c:pt idx="10">
                  <c:v>0.12835806675503675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C26-4F55-A330-04D11087A15B}"/>
            </c:ext>
          </c:extLst>
        </c:ser>
        <c:ser>
          <c:idx val="3"/>
          <c:order val="3"/>
          <c:tx>
            <c:strRef>
              <c:f>secontPart_new!$AO$194</c:f>
              <c:strCache>
                <c:ptCount val="1"/>
                <c:pt idx="0">
                  <c:v>0.364383562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secontPart_new!$AH$195:$AH$205</c:f>
              <c:numCache>
                <c:formatCode>General</c:formatCode>
                <c:ptCount val="1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</c:numCache>
            </c:numRef>
          </c:cat>
          <c:val>
            <c:numRef>
              <c:f>secontPart_new!$AP$195:$AP$205</c:f>
              <c:numCache>
                <c:formatCode>General</c:formatCode>
                <c:ptCount val="11"/>
                <c:pt idx="0">
                  <c:v>0.76620164033815141</c:v>
                </c:pt>
                <c:pt idx="1">
                  <c:v>0.71979695608479333</c:v>
                </c:pt>
                <c:pt idx="2">
                  <c:v>0.66731432427461601</c:v>
                </c:pt>
                <c:pt idx="3">
                  <c:v>0.60935239700386157</c:v>
                </c:pt>
                <c:pt idx="4">
                  <c:v>0.54632769276243465</c:v>
                </c:pt>
                <c:pt idx="5">
                  <c:v>0.48063413523768561</c:v>
                </c:pt>
                <c:pt idx="6">
                  <c:v>0.41318988407945745</c:v>
                </c:pt>
                <c:pt idx="7">
                  <c:v>0.34928791943089266</c:v>
                </c:pt>
                <c:pt idx="8">
                  <c:v>0.28931069178677538</c:v>
                </c:pt>
                <c:pt idx="9">
                  <c:v>0.23378126562457113</c:v>
                </c:pt>
                <c:pt idx="10">
                  <c:v>0.18713523669720408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C26-4F55-A330-04D11087A15B}"/>
            </c:ext>
          </c:extLst>
        </c:ser>
        <c:ser>
          <c:idx val="4"/>
          <c:order val="4"/>
          <c:tx>
            <c:strRef>
              <c:f>secontPart_new!$AQ$194</c:f>
              <c:strCache>
                <c:ptCount val="1"/>
                <c:pt idx="0">
                  <c:v>0.44109589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secontPart_new!$AH$195:$AH$205</c:f>
              <c:numCache>
                <c:formatCode>General</c:formatCode>
                <c:ptCount val="1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</c:numCache>
            </c:numRef>
          </c:cat>
          <c:val>
            <c:numRef>
              <c:f>secontPart_new!$AR$195:$AR$205</c:f>
              <c:numCache>
                <c:formatCode>General</c:formatCode>
                <c:ptCount val="11"/>
                <c:pt idx="0">
                  <c:v>0.75055327225970392</c:v>
                </c:pt>
                <c:pt idx="1">
                  <c:v>0.70779711617372465</c:v>
                </c:pt>
                <c:pt idx="2">
                  <c:v>0.66041883443274718</c:v>
                </c:pt>
                <c:pt idx="3">
                  <c:v>0.60831684058490509</c:v>
                </c:pt>
                <c:pt idx="4">
                  <c:v>0.5526769160853322</c:v>
                </c:pt>
                <c:pt idx="5">
                  <c:v>0.49436384433841085</c:v>
                </c:pt>
                <c:pt idx="6">
                  <c:v>0.43606998110474282</c:v>
                </c:pt>
                <c:pt idx="7">
                  <c:v>0.37658671534126203</c:v>
                </c:pt>
                <c:pt idx="8">
                  <c:v>0.32062019042723988</c:v>
                </c:pt>
                <c:pt idx="9">
                  <c:v>0.27015069017301024</c:v>
                </c:pt>
                <c:pt idx="10">
                  <c:v>0.22385427891503368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26-4F55-A330-04D11087A15B}"/>
            </c:ext>
          </c:extLst>
        </c:ser>
        <c:ser>
          <c:idx val="5"/>
          <c:order val="5"/>
          <c:tx>
            <c:strRef>
              <c:f>secontPart_new!$AS$194</c:f>
              <c:strCache>
                <c:ptCount val="1"/>
                <c:pt idx="0">
                  <c:v>0.536986301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secontPart_new!$AH$195:$AH$205</c:f>
              <c:numCache>
                <c:formatCode>General</c:formatCode>
                <c:ptCount val="1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</c:numCache>
            </c:numRef>
          </c:cat>
          <c:val>
            <c:numRef>
              <c:f>secontPart_new!$AT$195:$AT$205</c:f>
              <c:numCache>
                <c:formatCode>General</c:formatCode>
                <c:ptCount val="11"/>
                <c:pt idx="0">
                  <c:v>0.74045166283138852</c:v>
                </c:pt>
                <c:pt idx="1">
                  <c:v>0.70012414310540882</c:v>
                </c:pt>
                <c:pt idx="2">
                  <c:v>0.6567432420687509</c:v>
                </c:pt>
                <c:pt idx="3">
                  <c:v>0.60945523832602466</c:v>
                </c:pt>
                <c:pt idx="4">
                  <c:v>0.55932162317932521</c:v>
                </c:pt>
                <c:pt idx="5">
                  <c:v>0.50722067152449568</c:v>
                </c:pt>
                <c:pt idx="6">
                  <c:v>0.45473652675942705</c:v>
                </c:pt>
                <c:pt idx="7">
                  <c:v>0.40192535078612551</c:v>
                </c:pt>
                <c:pt idx="8">
                  <c:v>0.35087926500405142</c:v>
                </c:pt>
                <c:pt idx="9">
                  <c:v>0.3020945950023286</c:v>
                </c:pt>
                <c:pt idx="10">
                  <c:v>0.25709663245855074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C26-4F55-A330-04D11087A15B}"/>
            </c:ext>
          </c:extLst>
        </c:ser>
        <c:ser>
          <c:idx val="6"/>
          <c:order val="6"/>
          <c:tx>
            <c:strRef>
              <c:f>secontPart_new!$AU$194</c:f>
              <c:strCache>
                <c:ptCount val="1"/>
                <c:pt idx="0">
                  <c:v>0.61369863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secontPart_new!$AH$195:$AH$205</c:f>
              <c:numCache>
                <c:formatCode>General</c:formatCode>
                <c:ptCount val="1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</c:numCache>
            </c:numRef>
          </c:cat>
          <c:val>
            <c:numRef>
              <c:f>secontPart_new!$AV$195:$AV$205</c:f>
              <c:numCache>
                <c:formatCode>General</c:formatCode>
                <c:ptCount val="11"/>
                <c:pt idx="0">
                  <c:v>0.7347504834551688</c:v>
                </c:pt>
                <c:pt idx="1">
                  <c:v>0.69654107442228463</c:v>
                </c:pt>
                <c:pt idx="2">
                  <c:v>0.65496238203665347</c:v>
                </c:pt>
                <c:pt idx="3">
                  <c:v>0.61123549070933736</c:v>
                </c:pt>
                <c:pt idx="4">
                  <c:v>0.56489085822254537</c:v>
                </c:pt>
                <c:pt idx="5">
                  <c:v>0.51686008974417141</c:v>
                </c:pt>
                <c:pt idx="6">
                  <c:v>0.46823926122978499</c:v>
                </c:pt>
                <c:pt idx="7">
                  <c:v>0.41972762232002142</c:v>
                </c:pt>
                <c:pt idx="8">
                  <c:v>0.37308215456300525</c:v>
                </c:pt>
                <c:pt idx="9">
                  <c:v>0.32699457277782407</c:v>
                </c:pt>
                <c:pt idx="10">
                  <c:v>0.28399495464160773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C26-4F55-A330-04D11087A15B}"/>
            </c:ext>
          </c:extLst>
        </c:ser>
        <c:ser>
          <c:idx val="7"/>
          <c:order val="7"/>
          <c:tx>
            <c:strRef>
              <c:f>secontPart_new!$AW$194</c:f>
              <c:strCache>
                <c:ptCount val="1"/>
                <c:pt idx="0">
                  <c:v>0.78630137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secontPart_new!$AH$195:$AH$205</c:f>
              <c:numCache>
                <c:formatCode>General</c:formatCode>
                <c:ptCount val="1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</c:numCache>
            </c:numRef>
          </c:cat>
          <c:val>
            <c:numRef>
              <c:f>secontPart_new!$AX$195:$AX$205</c:f>
              <c:numCache>
                <c:formatCode>General</c:formatCode>
                <c:ptCount val="11"/>
                <c:pt idx="0">
                  <c:v>0.72646755495435533</c:v>
                </c:pt>
                <c:pt idx="1">
                  <c:v>0.69248463347667455</c:v>
                </c:pt>
                <c:pt idx="2">
                  <c:v>0.65559890745719618</c:v>
                </c:pt>
                <c:pt idx="3">
                  <c:v>0.61667337212011342</c:v>
                </c:pt>
                <c:pt idx="4">
                  <c:v>0.57611504271386771</c:v>
                </c:pt>
                <c:pt idx="5">
                  <c:v>0.53439201435052819</c:v>
                </c:pt>
                <c:pt idx="6">
                  <c:v>0.49219560141882801</c:v>
                </c:pt>
                <c:pt idx="7">
                  <c:v>0.44940480044655573</c:v>
                </c:pt>
                <c:pt idx="8">
                  <c:v>0.40786093317673755</c:v>
                </c:pt>
                <c:pt idx="9">
                  <c:v>0.3666991629236761</c:v>
                </c:pt>
                <c:pt idx="10">
                  <c:v>0.3271188768389981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C26-4F55-A330-04D11087A15B}"/>
            </c:ext>
          </c:extLst>
        </c:ser>
        <c:ser>
          <c:idx val="8"/>
          <c:order val="8"/>
          <c:tx>
            <c:strRef>
              <c:f>secontPart_new!$AY$194</c:f>
              <c:strCache>
                <c:ptCount val="1"/>
                <c:pt idx="0">
                  <c:v>0.939726027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val>
            <c:numRef>
              <c:f>secontPart_new!$AZ$195:$AZ$205</c:f>
              <c:numCache>
                <c:formatCode>General</c:formatCode>
                <c:ptCount val="11"/>
                <c:pt idx="0">
                  <c:v>0.72321497011450875</c:v>
                </c:pt>
                <c:pt idx="1">
                  <c:v>0.69179469513309888</c:v>
                </c:pt>
                <c:pt idx="2">
                  <c:v>0.6583365481541763</c:v>
                </c:pt>
                <c:pt idx="3">
                  <c:v>0.62334142421790639</c:v>
                </c:pt>
                <c:pt idx="4">
                  <c:v>0.58708540797414066</c:v>
                </c:pt>
                <c:pt idx="5">
                  <c:v>0.54981616796820276</c:v>
                </c:pt>
                <c:pt idx="6">
                  <c:v>0.51219025817291808</c:v>
                </c:pt>
                <c:pt idx="7">
                  <c:v>0.47420006794319247</c:v>
                </c:pt>
                <c:pt idx="8">
                  <c:v>0.43643036800696039</c:v>
                </c:pt>
                <c:pt idx="9">
                  <c:v>0.39944781485434733</c:v>
                </c:pt>
                <c:pt idx="10">
                  <c:v>0.36372486112631602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C26-4F55-A330-04D11087A15B}"/>
            </c:ext>
          </c:extLst>
        </c:ser>
        <c:ser>
          <c:idx val="9"/>
          <c:order val="9"/>
          <c:tx>
            <c:strRef>
              <c:f>secontPart_new!$BA$194</c:f>
              <c:strCache>
                <c:ptCount val="1"/>
                <c:pt idx="0">
                  <c:v>1.189041096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val>
            <c:numRef>
              <c:f>secontPart_new!$BB$195:$BB$205</c:f>
              <c:numCache>
                <c:formatCode>General</c:formatCode>
                <c:ptCount val="11"/>
                <c:pt idx="0">
                  <c:v>0.7195449638716308</c:v>
                </c:pt>
                <c:pt idx="1">
                  <c:v>0.69150495824394898</c:v>
                </c:pt>
                <c:pt idx="2">
                  <c:v>0.66189412556308214</c:v>
                </c:pt>
                <c:pt idx="3">
                  <c:v>0.63133938992879657</c:v>
                </c:pt>
                <c:pt idx="4">
                  <c:v>0.59996960517955367</c:v>
                </c:pt>
                <c:pt idx="5">
                  <c:v>0.56773936046549367</c:v>
                </c:pt>
                <c:pt idx="6">
                  <c:v>0.53506702227019964</c:v>
                </c:pt>
                <c:pt idx="7">
                  <c:v>0.50262229105165757</c:v>
                </c:pt>
                <c:pt idx="8">
                  <c:v>0.46999967800182346</c:v>
                </c:pt>
                <c:pt idx="9">
                  <c:v>0.4379748240726396</c:v>
                </c:pt>
                <c:pt idx="10">
                  <c:v>0.40706160697900046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C26-4F55-A330-04D11087A15B}"/>
            </c:ext>
          </c:extLst>
        </c:ser>
        <c:ser>
          <c:idx val="10"/>
          <c:order val="10"/>
          <c:tx>
            <c:strRef>
              <c:f>secontPart_new!$BC$194</c:f>
              <c:strCache>
                <c:ptCount val="1"/>
                <c:pt idx="0">
                  <c:v>1.438356164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val>
            <c:numRef>
              <c:f>secontPart_new!$BD$195:$BD$205</c:f>
              <c:numCache>
                <c:formatCode>General</c:formatCode>
                <c:ptCount val="11"/>
                <c:pt idx="0">
                  <c:v>0.72085141260337426</c:v>
                </c:pt>
                <c:pt idx="1">
                  <c:v>0.69532823860262405</c:v>
                </c:pt>
                <c:pt idx="2">
                  <c:v>0.66850970603609361</c:v>
                </c:pt>
                <c:pt idx="3">
                  <c:v>0.64085022142545345</c:v>
                </c:pt>
                <c:pt idx="4">
                  <c:v>0.61250810259029909</c:v>
                </c:pt>
                <c:pt idx="5">
                  <c:v>0.58335398041339026</c:v>
                </c:pt>
                <c:pt idx="6">
                  <c:v>0.55376330418063835</c:v>
                </c:pt>
                <c:pt idx="7">
                  <c:v>0.52431709794718662</c:v>
                </c:pt>
                <c:pt idx="8">
                  <c:v>0.49458649714452685</c:v>
                </c:pt>
                <c:pt idx="9">
                  <c:v>0.46526261127188229</c:v>
                </c:pt>
                <c:pt idx="10">
                  <c:v>0.436795171250843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C26-4F55-A330-04D11087A15B}"/>
            </c:ext>
          </c:extLst>
        </c:ser>
        <c:ser>
          <c:idx val="11"/>
          <c:order val="11"/>
          <c:tx>
            <c:strRef>
              <c:f>secontPart_new!$BE$194</c:f>
              <c:strCache>
                <c:ptCount val="1"/>
                <c:pt idx="0">
                  <c:v>1.783561644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val>
            <c:numRef>
              <c:f>secontPart_new!$BF$195:$BF$205</c:f>
              <c:numCache>
                <c:formatCode>General</c:formatCode>
                <c:ptCount val="11"/>
                <c:pt idx="0">
                  <c:v>0.72372365072791844</c:v>
                </c:pt>
                <c:pt idx="1">
                  <c:v>0.70123008123636987</c:v>
                </c:pt>
                <c:pt idx="2">
                  <c:v>0.67793988503043989</c:v>
                </c:pt>
                <c:pt idx="3">
                  <c:v>0.65405626853646415</c:v>
                </c:pt>
                <c:pt idx="4">
                  <c:v>0.62968445600668066</c:v>
                </c:pt>
                <c:pt idx="5">
                  <c:v>0.60496505203304074</c:v>
                </c:pt>
                <c:pt idx="6">
                  <c:v>0.57993396697170219</c:v>
                </c:pt>
                <c:pt idx="7">
                  <c:v>0.55458650356310191</c:v>
                </c:pt>
                <c:pt idx="8">
                  <c:v>0.52778812270922892</c:v>
                </c:pt>
                <c:pt idx="9">
                  <c:v>0.50439198908787897</c:v>
                </c:pt>
                <c:pt idx="10">
                  <c:v>0.47969836064631494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C26-4F55-A330-04D11087A15B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3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5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8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9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1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4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</c:bandFmts>
        <c:axId val="1073735104"/>
        <c:axId val="1073731360"/>
        <c:axId val="1085734864"/>
      </c:surface3DChart>
      <c:catAx>
        <c:axId val="10737351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Strike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3731360"/>
        <c:crosses val="autoZero"/>
        <c:auto val="1"/>
        <c:lblAlgn val="ctr"/>
        <c:lblOffset val="100"/>
        <c:noMultiLvlLbl val="0"/>
      </c:catAx>
      <c:valAx>
        <c:axId val="1073731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Delta</a:t>
                </a:r>
              </a:p>
            </c:rich>
          </c:tx>
          <c:layout>
            <c:manualLayout>
              <c:xMode val="edge"/>
              <c:yMode val="edge"/>
              <c:x val="0.20572587974077372"/>
              <c:y val="0.137918373252209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3735104"/>
        <c:crosses val="autoZero"/>
        <c:crossBetween val="midCat"/>
      </c:valAx>
      <c:serAx>
        <c:axId val="1085734864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3731360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Call Price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Market Value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(ThirdPart_new!$Q$7,ThirdPart_new!$Q$9,ThirdPart_new!$Q$11,ThirdPart_new!$Q$13,ThirdPart_new!$Q$15,ThirdPart_new!$Q$17,ThirdPart_new!$Q$19,ThirdPart_new!$Q$21,ThirdPart_new!$Q$23,ThirdPart_new!$Q$25,ThirdPart_new!$Q$27,ThirdPart_new!$Q$29)</c:f>
              <c:numCache>
                <c:formatCode>General</c:formatCode>
                <c:ptCount val="12"/>
                <c:pt idx="0">
                  <c:v>9.5890410958904104E-2</c:v>
                </c:pt>
                <c:pt idx="1">
                  <c:v>0.19178082191780821</c:v>
                </c:pt>
                <c:pt idx="2">
                  <c:v>0.26849315068493151</c:v>
                </c:pt>
                <c:pt idx="3">
                  <c:v>0.36438356164383562</c:v>
                </c:pt>
                <c:pt idx="4">
                  <c:v>0.44109589041095892</c:v>
                </c:pt>
                <c:pt idx="5">
                  <c:v>0.53698630136986303</c:v>
                </c:pt>
                <c:pt idx="6">
                  <c:v>0.61369863013698633</c:v>
                </c:pt>
                <c:pt idx="7">
                  <c:v>0.78630136986301369</c:v>
                </c:pt>
                <c:pt idx="8">
                  <c:v>0.9397260273972603</c:v>
                </c:pt>
                <c:pt idx="9">
                  <c:v>1.189041095890411</c:v>
                </c:pt>
                <c:pt idx="10">
                  <c:v>1.4383561643835616</c:v>
                </c:pt>
                <c:pt idx="11">
                  <c:v>1.7835616438356163</c:v>
                </c:pt>
              </c:numCache>
            </c:numRef>
          </c:cat>
          <c:val>
            <c:numRef>
              <c:f>(ThirdPart_new!$U$8,ThirdPart_new!$U$10,ThirdPart_new!$U$12,ThirdPart_new!$U$14,ThirdPart_new!$U$16,ThirdPart_new!$U$18,ThirdPart_new!$U$20,ThirdPart_new!$U$22,ThirdPart_new!$U$24,ThirdPart_new!$U$26,ThirdPart_new!$U$28,ThirdPart_new!$U$30)</c:f>
              <c:numCache>
                <c:formatCode>General</c:formatCode>
                <c:ptCount val="12"/>
                <c:pt idx="0">
                  <c:v>6.25</c:v>
                </c:pt>
                <c:pt idx="1">
                  <c:v>8.7750000000000004</c:v>
                </c:pt>
                <c:pt idx="2">
                  <c:v>10.399999999999999</c:v>
                </c:pt>
                <c:pt idx="3">
                  <c:v>12.649999999999999</c:v>
                </c:pt>
                <c:pt idx="4">
                  <c:v>14.15</c:v>
                </c:pt>
                <c:pt idx="5">
                  <c:v>15.7</c:v>
                </c:pt>
                <c:pt idx="6">
                  <c:v>16.975000000000001</c:v>
                </c:pt>
                <c:pt idx="7">
                  <c:v>19.299999999999997</c:v>
                </c:pt>
                <c:pt idx="8">
                  <c:v>21.5</c:v>
                </c:pt>
                <c:pt idx="9">
                  <c:v>24.674999999999997</c:v>
                </c:pt>
                <c:pt idx="10">
                  <c:v>24.674999999999997</c:v>
                </c:pt>
                <c:pt idx="11">
                  <c:v>31.024999999999999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77-4717-9B80-FD2CEDE9345B}"/>
            </c:ext>
          </c:extLst>
        </c:ser>
        <c:ser>
          <c:idx val="1"/>
          <c:order val="1"/>
          <c:tx>
            <c:v>Black-Scholes</c:v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(ThirdPart_new!$Z$8,ThirdPart_new!$Z$10,ThirdPart_new!$Z$12,ThirdPart_new!$Z$14,ThirdPart_new!$Z$16,ThirdPart_new!$Z$18,ThirdPart_new!$Z$20,ThirdPart_new!$Z$22,ThirdPart_new!$Z$24,ThirdPart_new!$Z$26,ThirdPart_new!$Z$28,ThirdPart_new!$Z$30)</c:f>
              <c:numCache>
                <c:formatCode>General</c:formatCode>
                <c:ptCount val="12"/>
                <c:pt idx="0">
                  <c:v>6.0875460616938994</c:v>
                </c:pt>
                <c:pt idx="1">
                  <c:v>8.7154926113427251</c:v>
                </c:pt>
                <c:pt idx="2">
                  <c:v>10.401339988846345</c:v>
                </c:pt>
                <c:pt idx="3">
                  <c:v>12.763974292073343</c:v>
                </c:pt>
                <c:pt idx="4">
                  <c:v>14.4979114273563</c:v>
                </c:pt>
                <c:pt idx="5">
                  <c:v>16.189281975261153</c:v>
                </c:pt>
                <c:pt idx="6">
                  <c:v>17.610521430611499</c:v>
                </c:pt>
                <c:pt idx="7">
                  <c:v>20.315532257316818</c:v>
                </c:pt>
                <c:pt idx="8">
                  <c:v>22.907821916409574</c:v>
                </c:pt>
                <c:pt idx="9">
                  <c:v>26.568561328152512</c:v>
                </c:pt>
                <c:pt idx="10">
                  <c:v>29.581925129323224</c:v>
                </c:pt>
                <c:pt idx="11">
                  <c:v>34.460210556467942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E77-4717-9B80-FD2CEDE934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14152368"/>
        <c:axId val="1014146128"/>
      </c:lineChart>
      <c:catAx>
        <c:axId val="1014152368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Maturity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4146128"/>
        <c:crosses val="autoZero"/>
        <c:auto val="1"/>
        <c:lblAlgn val="ctr"/>
        <c:lblOffset val="100"/>
        <c:noMultiLvlLbl val="0"/>
      </c:catAx>
      <c:valAx>
        <c:axId val="101414612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Call 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4152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Delta (Volatility</a:t>
            </a:r>
            <a:r>
              <a:rPr lang="en-US" baseline="0"/>
              <a:t> = 0.3)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20"/>
      <c:rotY val="340"/>
      <c:depthPercent val="220"/>
      <c:rAngAx val="0"/>
      <c:perspective val="6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v>0.1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first_part_delta!$Y$6:$Y$22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first_part_delta!$AA$6:$AA$22</c:f>
              <c:numCache>
                <c:formatCode>General</c:formatCode>
                <c:ptCount val="17"/>
                <c:pt idx="0">
                  <c:v>5.0034162369055407E-8</c:v>
                </c:pt>
                <c:pt idx="1">
                  <c:v>3.6821940892309305E-6</c:v>
                </c:pt>
                <c:pt idx="2">
                  <c:v>1.0707610281507444E-4</c:v>
                </c:pt>
                <c:pt idx="3">
                  <c:v>1.4675225785184831E-3</c:v>
                </c:pt>
                <c:pt idx="4">
                  <c:v>1.0890526735845741E-2</c:v>
                </c:pt>
                <c:pt idx="5">
                  <c:v>4.8949588230018437E-2</c:v>
                </c:pt>
                <c:pt idx="6">
                  <c:v>0.14625707559799994</c:v>
                </c:pt>
                <c:pt idx="7">
                  <c:v>0.31465306570218488</c:v>
                </c:pt>
                <c:pt idx="8">
                  <c:v>0.52311576495136336</c:v>
                </c:pt>
                <c:pt idx="9">
                  <c:v>0.71642998296826488</c:v>
                </c:pt>
                <c:pt idx="10">
                  <c:v>0.85602570106502918</c:v>
                </c:pt>
                <c:pt idx="11">
                  <c:v>0.9371394361344666</c:v>
                </c:pt>
                <c:pt idx="12">
                  <c:v>0.97613772992890591</c:v>
                </c:pt>
                <c:pt idx="13">
                  <c:v>0.99202624587419741</c:v>
                </c:pt>
                <c:pt idx="14">
                  <c:v>0.9976251547967403</c:v>
                </c:pt>
                <c:pt idx="15">
                  <c:v>0.99936207053892745</c:v>
                </c:pt>
                <c:pt idx="16">
                  <c:v>0.99984374547949573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AF-4705-8649-9FB02C6A2044}"/>
            </c:ext>
          </c:extLst>
        </c:ser>
        <c:ser>
          <c:idx val="1"/>
          <c:order val="1"/>
          <c:tx>
            <c:v>0.2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first_part_delta!$Y$6:$Y$22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first_part_delta!$AB$6:$AB$22</c:f>
              <c:numCache>
                <c:formatCode>General</c:formatCode>
                <c:ptCount val="17"/>
                <c:pt idx="0">
                  <c:v>9.7471862538906133E-5</c:v>
                </c:pt>
                <c:pt idx="1">
                  <c:v>8.7737836912211542E-4</c:v>
                </c:pt>
                <c:pt idx="2">
                  <c:v>4.9901816736536639E-3</c:v>
                </c:pt>
                <c:pt idx="3">
                  <c:v>1.9591189701574866E-2</c:v>
                </c:pt>
                <c:pt idx="4">
                  <c:v>5.6913337986291397E-2</c:v>
                </c:pt>
                <c:pt idx="5">
                  <c:v>0.1293739652284181</c:v>
                </c:pt>
                <c:pt idx="6">
                  <c:v>0.24092762709076576</c:v>
                </c:pt>
                <c:pt idx="7">
                  <c:v>0.3819633040789554</c:v>
                </c:pt>
                <c:pt idx="8">
                  <c:v>0.53267233292182181</c:v>
                </c:pt>
                <c:pt idx="9">
                  <c:v>0.67207480164598299</c:v>
                </c:pt>
                <c:pt idx="10">
                  <c:v>0.78593314054026053</c:v>
                </c:pt>
                <c:pt idx="11">
                  <c:v>0.86943263666792814</c:v>
                </c:pt>
                <c:pt idx="12">
                  <c:v>0.92519830817009863</c:v>
                </c:pt>
                <c:pt idx="13">
                  <c:v>0.95952522958374731</c:v>
                </c:pt>
                <c:pt idx="14">
                  <c:v>0.97920186730211123</c:v>
                </c:pt>
                <c:pt idx="15">
                  <c:v>0.98979805440371849</c:v>
                </c:pt>
                <c:pt idx="16">
                  <c:v>0.99519988085741351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BAF-4705-8649-9FB02C6A2044}"/>
            </c:ext>
          </c:extLst>
        </c:ser>
        <c:ser>
          <c:idx val="2"/>
          <c:order val="2"/>
          <c:tx>
            <c:v>0.3</c:v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first_part_delta!$Y$6:$Y$22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first_part_delta!$AC$6:$AC$22</c:f>
              <c:numCache>
                <c:formatCode>General</c:formatCode>
                <c:ptCount val="17"/>
                <c:pt idx="0">
                  <c:v>1.3132659794663289E-3</c:v>
                </c:pt>
                <c:pt idx="1">
                  <c:v>5.847011044032159E-3</c:v>
                </c:pt>
                <c:pt idx="2">
                  <c:v>1.9214994632873059E-2</c:v>
                </c:pt>
                <c:pt idx="3">
                  <c:v>4.9434506570869327E-2</c:v>
                </c:pt>
                <c:pt idx="4">
                  <c:v>0.10426956463923276</c:v>
                </c:pt>
                <c:pt idx="5">
                  <c:v>0.18709751221137344</c:v>
                </c:pt>
                <c:pt idx="6">
                  <c:v>0.29432689998056172</c:v>
                </c:pt>
                <c:pt idx="7">
                  <c:v>0.4161528933790935</c:v>
                </c:pt>
                <c:pt idx="8">
                  <c:v>0.53999288758705544</c:v>
                </c:pt>
                <c:pt idx="9">
                  <c:v>0.65444283411208759</c:v>
                </c:pt>
                <c:pt idx="10">
                  <c:v>0.75189182389050946</c:v>
                </c:pt>
                <c:pt idx="11">
                  <c:v>0.82919270948748747</c:v>
                </c:pt>
                <c:pt idx="12">
                  <c:v>0.88685853170876361</c:v>
                </c:pt>
                <c:pt idx="13">
                  <c:v>0.92763817410360494</c:v>
                </c:pt>
                <c:pt idx="14">
                  <c:v>0.95516243259384059</c:v>
                </c:pt>
                <c:pt idx="15">
                  <c:v>0.97299735807546195</c:v>
                </c:pt>
                <c:pt idx="16">
                  <c:v>0.98414791288614301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BAF-4705-8649-9FB02C6A2044}"/>
            </c:ext>
          </c:extLst>
        </c:ser>
        <c:ser>
          <c:idx val="3"/>
          <c:order val="3"/>
          <c:tx>
            <c:v>0.4</c:v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first_part_delta!$Y$6:$Y$22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first_part_delta!$AD$6:$AD$22</c:f>
              <c:numCache>
                <c:formatCode>General</c:formatCode>
                <c:ptCount val="17"/>
                <c:pt idx="0">
                  <c:v>4.992660033900336E-3</c:v>
                </c:pt>
                <c:pt idx="1">
                  <c:v>1.5601464786896047E-2</c:v>
                </c:pt>
                <c:pt idx="2">
                  <c:v>3.8875096230606622E-2</c:v>
                </c:pt>
                <c:pt idx="3">
                  <c:v>8.0716619021007047E-2</c:v>
                </c:pt>
                <c:pt idx="4">
                  <c:v>0.14454509647225661</c:v>
                </c:pt>
                <c:pt idx="5">
                  <c:v>0.22946806891671254</c:v>
                </c:pt>
                <c:pt idx="6">
                  <c:v>0.33020452050949323</c:v>
                </c:pt>
                <c:pt idx="7">
                  <c:v>0.43865142750198133</c:v>
                </c:pt>
                <c:pt idx="8">
                  <c:v>0.54615398735857779</c:v>
                </c:pt>
                <c:pt idx="9">
                  <c:v>0.64546184621426217</c:v>
                </c:pt>
                <c:pt idx="10">
                  <c:v>0.7318042573881709</c:v>
                </c:pt>
                <c:pt idx="11">
                  <c:v>0.80304840536517041</c:v>
                </c:pt>
                <c:pt idx="12">
                  <c:v>0.85923063815805933</c:v>
                </c:pt>
                <c:pt idx="13">
                  <c:v>0.90182488378357173</c:v>
                </c:pt>
                <c:pt idx="14">
                  <c:v>0.93302831921275364</c:v>
                </c:pt>
                <c:pt idx="15">
                  <c:v>0.95521216048553548</c:v>
                </c:pt>
                <c:pt idx="16">
                  <c:v>0.97057515521784565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BAF-4705-8649-9FB02C6A2044}"/>
            </c:ext>
          </c:extLst>
        </c:ser>
        <c:ser>
          <c:idx val="4"/>
          <c:order val="4"/>
          <c:tx>
            <c:v>0.5</c:v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first_part_delta!$Y$6:$Y$22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first_part_delta!$AE$6:$AE$22</c:f>
              <c:numCache>
                <c:formatCode>General</c:formatCode>
                <c:ptCount val="17"/>
                <c:pt idx="0">
                  <c:v>1.1350817464731676E-2</c:v>
                </c:pt>
                <c:pt idx="1">
                  <c:v>2.8644857358513225E-2</c:v>
                </c:pt>
                <c:pt idx="2">
                  <c:v>6.0361557489523619E-2</c:v>
                </c:pt>
                <c:pt idx="3">
                  <c:v>0.11000339750396831</c:v>
                </c:pt>
                <c:pt idx="4">
                  <c:v>0.17819321540160804</c:v>
                </c:pt>
                <c:pt idx="5">
                  <c:v>0.26223006736843324</c:v>
                </c:pt>
                <c:pt idx="6">
                  <c:v>0.35679534006601854</c:v>
                </c:pt>
                <c:pt idx="7">
                  <c:v>0.45534721551467583</c:v>
                </c:pt>
                <c:pt idx="8">
                  <c:v>0.55157288637548119</c:v>
                </c:pt>
                <c:pt idx="9">
                  <c:v>0.64044005264399373</c:v>
                </c:pt>
                <c:pt idx="10">
                  <c:v>0.71868272096314856</c:v>
                </c:pt>
                <c:pt idx="11">
                  <c:v>0.78479210831011448</c:v>
                </c:pt>
                <c:pt idx="12">
                  <c:v>0.83869492248144772</c:v>
                </c:pt>
                <c:pt idx="13">
                  <c:v>0.8813068623898227</c:v>
                </c:pt>
                <c:pt idx="14">
                  <c:v>0.91409849026161683</c:v>
                </c:pt>
                <c:pt idx="15">
                  <c:v>0.93874735257652986</c:v>
                </c:pt>
                <c:pt idx="16">
                  <c:v>0.95689898642329607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BAF-4705-8649-9FB02C6A2044}"/>
            </c:ext>
          </c:extLst>
        </c:ser>
        <c:ser>
          <c:idx val="5"/>
          <c:order val="5"/>
          <c:tx>
            <c:v>0.6</c:v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first_part_delta!$Y$6:$Y$22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first_part_delta!$AF$6:$AF$22</c:f>
              <c:numCache>
                <c:formatCode>General</c:formatCode>
                <c:ptCount val="17"/>
                <c:pt idx="0">
                  <c:v>1.9879978802043376E-2</c:v>
                </c:pt>
                <c:pt idx="1">
                  <c:v>4.3468137473605249E-2</c:v>
                </c:pt>
                <c:pt idx="2">
                  <c:v>8.1828768636166921E-2</c:v>
                </c:pt>
                <c:pt idx="3">
                  <c:v>0.13654438951976758</c:v>
                </c:pt>
                <c:pt idx="4">
                  <c:v>0.20660792036453604</c:v>
                </c:pt>
                <c:pt idx="5">
                  <c:v>0.28864049524186719</c:v>
                </c:pt>
                <c:pt idx="6">
                  <c:v>0.37775204713439936</c:v>
                </c:pt>
                <c:pt idx="7">
                  <c:v>0.46862695070489663</c:v>
                </c:pt>
                <c:pt idx="8">
                  <c:v>0.55646370539182832</c:v>
                </c:pt>
                <c:pt idx="9">
                  <c:v>0.6375691792945577</c:v>
                </c:pt>
                <c:pt idx="10">
                  <c:v>0.70958032306564656</c:v>
                </c:pt>
                <c:pt idx="11">
                  <c:v>0.77139506484411136</c:v>
                </c:pt>
                <c:pt idx="12">
                  <c:v>0.82293195018806276</c:v>
                </c:pt>
                <c:pt idx="13">
                  <c:v>0.86482705141973804</c:v>
                </c:pt>
                <c:pt idx="14">
                  <c:v>0.89814375452956496</c:v>
                </c:pt>
                <c:pt idx="15">
                  <c:v>0.92413592245152854</c:v>
                </c:pt>
                <c:pt idx="16">
                  <c:v>0.94407756560009015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BAF-4705-8649-9FB02C6A2044}"/>
            </c:ext>
          </c:extLst>
        </c:ser>
        <c:ser>
          <c:idx val="6"/>
          <c:order val="6"/>
          <c:tx>
            <c:v>0.7</c:v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first_part_delta!$Y$6:$Y$22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first_part_delta!$AG$6:$AG$22</c:f>
              <c:numCache>
                <c:formatCode>General</c:formatCode>
                <c:ptCount val="17"/>
                <c:pt idx="0">
                  <c:v>2.9932244764737284E-2</c:v>
                </c:pt>
                <c:pt idx="1">
                  <c:v>5.9038935425869576E-2</c:v>
                </c:pt>
                <c:pt idx="2">
                  <c:v>0.10246339188434647</c:v>
                </c:pt>
                <c:pt idx="3">
                  <c:v>0.16041221101185985</c:v>
                </c:pt>
                <c:pt idx="4">
                  <c:v>0.23097566222627239</c:v>
                </c:pt>
                <c:pt idx="5">
                  <c:v>0.31061663415168483</c:v>
                </c:pt>
                <c:pt idx="6">
                  <c:v>0.39497379522555537</c:v>
                </c:pt>
                <c:pt idx="7">
                  <c:v>0.47967483058661126</c:v>
                </c:pt>
                <c:pt idx="8">
                  <c:v>0.56095371673383299</c:v>
                </c:pt>
                <c:pt idx="9">
                  <c:v>0.63599441741087059</c:v>
                </c:pt>
                <c:pt idx="10">
                  <c:v>0.70302215257089251</c:v>
                </c:pt>
                <c:pt idx="11">
                  <c:v>0.76121383901599127</c:v>
                </c:pt>
                <c:pt idx="12">
                  <c:v>0.81050916202186163</c:v>
                </c:pt>
                <c:pt idx="13">
                  <c:v>0.85138984659601924</c:v>
                </c:pt>
                <c:pt idx="14">
                  <c:v>0.8846722298971994</c:v>
                </c:pt>
                <c:pt idx="15">
                  <c:v>0.91133681457196536</c:v>
                </c:pt>
                <c:pt idx="16">
                  <c:v>0.93240240791875728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BAF-4705-8649-9FB02C6A2044}"/>
            </c:ext>
          </c:extLst>
        </c:ser>
        <c:ser>
          <c:idx val="7"/>
          <c:order val="7"/>
          <c:tx>
            <c:v>0.8</c:v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first_part_delta!$Y$6:$Y$22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first_part_delta!$AH$6:$AH$22</c:f>
              <c:numCache>
                <c:formatCode>General</c:formatCode>
                <c:ptCount val="17"/>
                <c:pt idx="0">
                  <c:v>4.0950902335764483E-2</c:v>
                </c:pt>
                <c:pt idx="1">
                  <c:v>7.4728116021825122E-2</c:v>
                </c:pt>
                <c:pt idx="2">
                  <c:v>0.12195471445596062</c:v>
                </c:pt>
                <c:pt idx="3">
                  <c:v>0.18189962970104834</c:v>
                </c:pt>
                <c:pt idx="4">
                  <c:v>0.25218534923298636</c:v>
                </c:pt>
                <c:pt idx="5">
                  <c:v>0.32935533629557545</c:v>
                </c:pt>
                <c:pt idx="6">
                  <c:v>0.4095599317357414</c:v>
                </c:pt>
                <c:pt idx="7">
                  <c:v>0.48915788300334873</c:v>
                </c:pt>
                <c:pt idx="8">
                  <c:v>0.56512589389530654</c:v>
                </c:pt>
                <c:pt idx="9">
                  <c:v>0.63525669084775638</c:v>
                </c:pt>
                <c:pt idx="10">
                  <c:v>0.69818182521677907</c:v>
                </c:pt>
                <c:pt idx="11">
                  <c:v>0.75327765691030435</c:v>
                </c:pt>
                <c:pt idx="12">
                  <c:v>0.80051177059449707</c:v>
                </c:pt>
                <c:pt idx="13">
                  <c:v>0.84027414396084255</c:v>
                </c:pt>
                <c:pt idx="14">
                  <c:v>0.87322148228571717</c:v>
                </c:pt>
                <c:pt idx="15">
                  <c:v>0.90014918606468963</c:v>
                </c:pt>
                <c:pt idx="16">
                  <c:v>0.92189531953464121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BAF-4705-8649-9FB02C6A2044}"/>
            </c:ext>
          </c:extLst>
        </c:ser>
        <c:ser>
          <c:idx val="8"/>
          <c:order val="8"/>
          <c:tx>
            <c:v>0.9</c:v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first_part_delta!$Y$6:$Y$22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first_part_delta!$AI$6:$AI$22</c:f>
              <c:numCache>
                <c:formatCode>General</c:formatCode>
                <c:ptCount val="17"/>
                <c:pt idx="0">
                  <c:v>5.2516002614189643E-2</c:v>
                </c:pt>
                <c:pt idx="1">
                  <c:v>9.0172813400075422E-2</c:v>
                </c:pt>
                <c:pt idx="2">
                  <c:v>0.1402263966706617</c:v>
                </c:pt>
                <c:pt idx="3">
                  <c:v>0.20132818570829822</c:v>
                </c:pt>
                <c:pt idx="4">
                  <c:v>0.27089074616784536</c:v>
                </c:pt>
                <c:pt idx="5">
                  <c:v>0.34564389568681986</c:v>
                </c:pt>
                <c:pt idx="6">
                  <c:v>0.42219791583544131</c:v>
                </c:pt>
                <c:pt idx="7">
                  <c:v>0.49748628363861275</c:v>
                </c:pt>
                <c:pt idx="8">
                  <c:v>0.56903790416143729</c:v>
                </c:pt>
                <c:pt idx="9">
                  <c:v>0.63508678730440149</c:v>
                </c:pt>
                <c:pt idx="10">
                  <c:v>0.69455768345693381</c:v>
                </c:pt>
                <c:pt idx="11">
                  <c:v>0.74697433142683933</c:v>
                </c:pt>
                <c:pt idx="12">
                  <c:v>0.79233157169098423</c:v>
                </c:pt>
                <c:pt idx="13">
                  <c:v>0.83096150825161674</c:v>
                </c:pt>
                <c:pt idx="14">
                  <c:v>0.86341232176687477</c:v>
                </c:pt>
                <c:pt idx="15">
                  <c:v>0.89034882296294016</c:v>
                </c:pt>
                <c:pt idx="16">
                  <c:v>0.9124771715221327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BAF-4705-8649-9FB02C6A2044}"/>
            </c:ext>
          </c:extLst>
        </c:ser>
        <c:ser>
          <c:idx val="9"/>
          <c:order val="9"/>
          <c:tx>
            <c:v>1</c:v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first_part_delta!$Y$6:$Y$22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first_part_delta!$AJ$6:$AJ$22</c:f>
              <c:numCache>
                <c:formatCode>General</c:formatCode>
                <c:ptCount val="17"/>
                <c:pt idx="0">
                  <c:v>6.4328563178375001E-2</c:v>
                </c:pt>
                <c:pt idx="1">
                  <c:v>0.10517388780770238</c:v>
                </c:pt>
                <c:pt idx="2">
                  <c:v>0.15730806721544691</c:v>
                </c:pt>
                <c:pt idx="3">
                  <c:v>0.21899056011833215</c:v>
                </c:pt>
                <c:pt idx="4">
                  <c:v>0.28757654881407335</c:v>
                </c:pt>
                <c:pt idx="5">
                  <c:v>0.36002333083467097</c:v>
                </c:pt>
                <c:pt idx="6">
                  <c:v>0.43334341092094797</c:v>
                </c:pt>
                <c:pt idx="7">
                  <c:v>0.50492907988438374</c:v>
                </c:pt>
                <c:pt idx="8">
                  <c:v>0.57273175930304054</c:v>
                </c:pt>
                <c:pt idx="9">
                  <c:v>0.63531632275589001</c:v>
                </c:pt>
                <c:pt idx="10">
                  <c:v>0.69182637898167587</c:v>
                </c:pt>
                <c:pt idx="11">
                  <c:v>0.74189753633829758</c:v>
                </c:pt>
                <c:pt idx="12">
                  <c:v>0.78554896929810647</c:v>
                </c:pt>
                <c:pt idx="13">
                  <c:v>0.82307441711333762</c:v>
                </c:pt>
                <c:pt idx="14">
                  <c:v>0.85494512380940124</c:v>
                </c:pt>
                <c:pt idx="15">
                  <c:v>0.88173051157264637</c:v>
                </c:pt>
                <c:pt idx="16">
                  <c:v>0.90403781886513113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BAF-4705-8649-9FB02C6A2044}"/>
            </c:ext>
          </c:extLst>
        </c:ser>
        <c:ser>
          <c:idx val="10"/>
          <c:order val="10"/>
          <c:tx>
            <c:v>2</c:v>
          </c:tx>
          <c:cat>
            <c:numRef>
              <c:f>first_part_delta!$Y$6:$Y$22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first_part_delta!$AK$6:$AK$22</c:f>
              <c:numCache>
                <c:formatCode>General</c:formatCode>
                <c:ptCount val="17"/>
                <c:pt idx="0">
                  <c:v>0.17239197114368851</c:v>
                </c:pt>
                <c:pt idx="1">
                  <c:v>0.22479684393807561</c:v>
                </c:pt>
                <c:pt idx="2">
                  <c:v>0.28047924339879649</c:v>
                </c:pt>
                <c:pt idx="3">
                  <c:v>0.33768091083242541</c:v>
                </c:pt>
                <c:pt idx="4">
                  <c:v>0.39485704248118841</c:v>
                </c:pt>
                <c:pt idx="5">
                  <c:v>0.45074144633462454</c:v>
                </c:pt>
                <c:pt idx="6">
                  <c:v>0.50436249428511837</c:v>
                </c:pt>
                <c:pt idx="7">
                  <c:v>0.55502719539571732</c:v>
                </c:pt>
                <c:pt idx="8">
                  <c:v>0.60228749680470339</c:v>
                </c:pt>
                <c:pt idx="9">
                  <c:v>0.64589902155139922</c:v>
                </c:pt>
                <c:pt idx="10">
                  <c:v>0.68577893776060739</c:v>
                </c:pt>
                <c:pt idx="11">
                  <c:v>0.72196690064701641</c:v>
                </c:pt>
                <c:pt idx="12">
                  <c:v>0.754591046066726</c:v>
                </c:pt>
                <c:pt idx="13">
                  <c:v>0.78383972120701739</c:v>
                </c:pt>
                <c:pt idx="14">
                  <c:v>0.80993885351262629</c:v>
                </c:pt>
                <c:pt idx="15">
                  <c:v>0.83313443249219921</c:v>
                </c:pt>
                <c:pt idx="16">
                  <c:v>0.85367938888663453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74E-4106-8D23-5E6648876CBC}"/>
            </c:ext>
          </c:extLst>
        </c:ser>
        <c:ser>
          <c:idx val="11"/>
          <c:order val="11"/>
          <c:tx>
            <c:v>3</c:v>
          </c:tx>
          <c:cat>
            <c:numRef>
              <c:f>first_part_delta!$Y$6:$Y$22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first_part_delta!$AL$6:$AL$22</c:f>
              <c:numCache>
                <c:formatCode>General</c:formatCode>
                <c:ptCount val="17"/>
                <c:pt idx="0">
                  <c:v>0.25285203319023192</c:v>
                </c:pt>
                <c:pt idx="1">
                  <c:v>0.3045006830407393</c:v>
                </c:pt>
                <c:pt idx="2">
                  <c:v>0.35610910688425379</c:v>
                </c:pt>
                <c:pt idx="3">
                  <c:v>0.40667685470200449</c:v>
                </c:pt>
                <c:pt idx="4">
                  <c:v>0.45545241211238541</c:v>
                </c:pt>
                <c:pt idx="5">
                  <c:v>0.50190487130170336</c:v>
                </c:pt>
                <c:pt idx="6">
                  <c:v>0.54568875929400229</c:v>
                </c:pt>
                <c:pt idx="7">
                  <c:v>0.58660823860191547</c:v>
                </c:pt>
                <c:pt idx="8">
                  <c:v>0.62458405795544159</c:v>
                </c:pt>
                <c:pt idx="9">
                  <c:v>0.65962480217204278</c:v>
                </c:pt>
                <c:pt idx="10">
                  <c:v>0.69180288754629138</c:v>
                </c:pt>
                <c:pt idx="11">
                  <c:v>0.72123513401713546</c:v>
                </c:pt>
                <c:pt idx="12">
                  <c:v>0.74806744044833073</c:v>
                </c:pt>
                <c:pt idx="13">
                  <c:v>0.77246297183665924</c:v>
                </c:pt>
                <c:pt idx="14">
                  <c:v>0.79459325631183764</c:v>
                </c:pt>
                <c:pt idx="15">
                  <c:v>0.81463163438593589</c:v>
                </c:pt>
                <c:pt idx="16">
                  <c:v>0.83274857213885123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74E-4106-8D23-5E6648876CBC}"/>
            </c:ext>
          </c:extLst>
        </c:ser>
        <c:ser>
          <c:idx val="12"/>
          <c:order val="12"/>
          <c:tx>
            <c:v>4</c:v>
          </c:tx>
          <c:cat>
            <c:numRef>
              <c:f>first_part_delta!$Y$6:$Y$22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first_part_delta!$AM$6:$AM$22</c:f>
              <c:numCache>
                <c:formatCode>General</c:formatCode>
                <c:ptCount val="17"/>
                <c:pt idx="0">
                  <c:v>0.31394125841594145</c:v>
                </c:pt>
                <c:pt idx="1">
                  <c:v>0.36267982457804149</c:v>
                </c:pt>
                <c:pt idx="2">
                  <c:v>0.40990413904026235</c:v>
                </c:pt>
                <c:pt idx="3">
                  <c:v>0.45509318992994574</c:v>
                </c:pt>
                <c:pt idx="4">
                  <c:v>0.49790985034594043</c:v>
                </c:pt>
                <c:pt idx="5">
                  <c:v>0.53816099984174448</c:v>
                </c:pt>
                <c:pt idx="6">
                  <c:v>0.57576298201651444</c:v>
                </c:pt>
                <c:pt idx="7">
                  <c:v>0.61071300082010072</c:v>
                </c:pt>
                <c:pt idx="8">
                  <c:v>0.64306616326250143</c:v>
                </c:pt>
                <c:pt idx="9">
                  <c:v>0.67291748622828185</c:v>
                </c:pt>
                <c:pt idx="10">
                  <c:v>0.70038806898924744</c:v>
                </c:pt>
                <c:pt idx="11">
                  <c:v>0.72561465541937875</c:v>
                </c:pt>
                <c:pt idx="12">
                  <c:v>0.74874189438577665</c:v>
                </c:pt>
                <c:pt idx="13">
                  <c:v>0.76991671192728905</c:v>
                </c:pt>
                <c:pt idx="14">
                  <c:v>0.78928431354169604</c:v>
                </c:pt>
                <c:pt idx="15">
                  <c:v>0.80698542949219532</c:v>
                </c:pt>
                <c:pt idx="16">
                  <c:v>0.82315449700674104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74E-4106-8D23-5E6648876CBC}"/>
            </c:ext>
          </c:extLst>
        </c:ser>
        <c:ser>
          <c:idx val="13"/>
          <c:order val="13"/>
          <c:tx>
            <c:v>5</c:v>
          </c:tx>
          <c:cat>
            <c:numRef>
              <c:f>first_part_delta!$Y$6:$Y$22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first_part_delta!$AN$6:$AN$22</c:f>
              <c:numCache>
                <c:formatCode>General</c:formatCode>
                <c:ptCount val="17"/>
                <c:pt idx="0">
                  <c:v>0.3625886029317465</c:v>
                </c:pt>
                <c:pt idx="1">
                  <c:v>0.4081806753100849</c:v>
                </c:pt>
                <c:pt idx="2">
                  <c:v>0.45154699490085998</c:v>
                </c:pt>
                <c:pt idx="3">
                  <c:v>0.49245831881467117</c:v>
                </c:pt>
                <c:pt idx="4">
                  <c:v>0.53080875955769424</c:v>
                </c:pt>
                <c:pt idx="5">
                  <c:v>0.56658125708655704</c:v>
                </c:pt>
                <c:pt idx="6">
                  <c:v>0.59982092332225356</c:v>
                </c:pt>
                <c:pt idx="7">
                  <c:v>0.63061486355917407</c:v>
                </c:pt>
                <c:pt idx="8">
                  <c:v>0.65907714492767744</c:v>
                </c:pt>
                <c:pt idx="9">
                  <c:v>0.68533776358227261</c:v>
                </c:pt>
                <c:pt idx="10">
                  <c:v>0.70953466945632937</c:v>
                </c:pt>
                <c:pt idx="11">
                  <c:v>0.7318081009305093</c:v>
                </c:pt>
                <c:pt idx="12">
                  <c:v>0.75229664733269386</c:v>
                </c:pt>
                <c:pt idx="13">
                  <c:v>0.77113459229413017</c:v>
                </c:pt>
                <c:pt idx="14">
                  <c:v>0.78845019812977468</c:v>
                </c:pt>
                <c:pt idx="15">
                  <c:v>0.80436467483037943</c:v>
                </c:pt>
                <c:pt idx="16">
                  <c:v>0.81899164140300906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74E-4106-8D23-5E6648876CBC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3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5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8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9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1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4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</c:bandFmts>
        <c:axId val="910635248"/>
        <c:axId val="910635664"/>
        <c:axId val="832163376"/>
      </c:surface3DChart>
      <c:catAx>
        <c:axId val="9106352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0635664"/>
        <c:crosses val="autoZero"/>
        <c:auto val="1"/>
        <c:lblAlgn val="ctr"/>
        <c:lblOffset val="100"/>
        <c:noMultiLvlLbl val="0"/>
      </c:catAx>
      <c:valAx>
        <c:axId val="91063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0635248"/>
        <c:crosses val="autoZero"/>
        <c:crossBetween val="midCat"/>
      </c:valAx>
      <c:serAx>
        <c:axId val="83216337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0635664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Delta (Volatility = 0.2)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20"/>
      <c:rotY val="340"/>
      <c:depthPercent val="220"/>
      <c:rAngAx val="0"/>
      <c:perspective val="6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v>0.1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first_part_delta!$H$6:$H$22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first_part_delta!$J$6:$J$22</c:f>
              <c:numCache>
                <c:formatCode>General</c:formatCode>
                <c:ptCount val="17"/>
                <c:pt idx="0">
                  <c:v>4.8964030371399111E-16</c:v>
                </c:pt>
                <c:pt idx="1">
                  <c:v>6.7189909908190016E-12</c:v>
                </c:pt>
                <c:pt idx="2">
                  <c:v>1.1217502453550677E-8</c:v>
                </c:pt>
                <c:pt idx="3">
                  <c:v>3.3782456328086734E-6</c:v>
                </c:pt>
                <c:pt idx="4">
                  <c:v>2.4998248472572982E-4</c:v>
                </c:pt>
                <c:pt idx="5">
                  <c:v>5.830908137902522E-3</c:v>
                </c:pt>
                <c:pt idx="6">
                  <c:v>5.2781549996934837E-2</c:v>
                </c:pt>
                <c:pt idx="7">
                  <c:v>0.22255758462414449</c:v>
                </c:pt>
                <c:pt idx="8">
                  <c:v>0.51891639999929629</c:v>
                </c:pt>
                <c:pt idx="9">
                  <c:v>0.79357096026156482</c:v>
                </c:pt>
                <c:pt idx="10">
                  <c:v>0.93995791805464912</c:v>
                </c:pt>
                <c:pt idx="11">
                  <c:v>0.98800422406854482</c:v>
                </c:pt>
                <c:pt idx="12">
                  <c:v>0.99830623193923973</c:v>
                </c:pt>
                <c:pt idx="13">
                  <c:v>0.99982531626414572</c:v>
                </c:pt>
                <c:pt idx="14">
                  <c:v>0.99998640314018139</c:v>
                </c:pt>
                <c:pt idx="15">
                  <c:v>0.99999917643923686</c:v>
                </c:pt>
                <c:pt idx="16">
                  <c:v>0.99999996008829672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49-41FB-B893-0CAD21725E2E}"/>
            </c:ext>
          </c:extLst>
        </c:ser>
        <c:ser>
          <c:idx val="1"/>
          <c:order val="1"/>
          <c:tx>
            <c:v>0.2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first_part_delta!$H$6:$H$22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first_part_delta!$K$6:$K$22</c:f>
              <c:numCache>
                <c:formatCode>General</c:formatCode>
                <c:ptCount val="17"/>
                <c:pt idx="0">
                  <c:v>8.3013130785334355E-9</c:v>
                </c:pt>
                <c:pt idx="1">
                  <c:v>1.0210267589266487E-6</c:v>
                </c:pt>
                <c:pt idx="2">
                  <c:v>4.4152463014191854E-5</c:v>
                </c:pt>
                <c:pt idx="3">
                  <c:v>8.1830678243053191E-4</c:v>
                </c:pt>
                <c:pt idx="4">
                  <c:v>7.5966424381891306E-3</c:v>
                </c:pt>
                <c:pt idx="5">
                  <c:v>4.006477982445996E-2</c:v>
                </c:pt>
                <c:pt idx="6">
                  <c:v>0.13330906924780192</c:v>
                </c:pt>
                <c:pt idx="7">
                  <c:v>0.3062898934344146</c:v>
                </c:pt>
                <c:pt idx="8">
                  <c:v>0.5267418038869226</c:v>
                </c:pt>
                <c:pt idx="9">
                  <c:v>0.72992052908241489</c:v>
                </c:pt>
                <c:pt idx="10">
                  <c:v>0.87132614165736733</c:v>
                </c:pt>
                <c:pt idx="11">
                  <c:v>0.94841416414843493</c:v>
                </c:pt>
                <c:pt idx="12">
                  <c:v>0.9823760534317052</c:v>
                </c:pt>
                <c:pt idx="13">
                  <c:v>0.99479497737862488</c:v>
                </c:pt>
                <c:pt idx="14">
                  <c:v>0.99865188998007925</c:v>
                </c:pt>
                <c:pt idx="15">
                  <c:v>0.99968959215435294</c:v>
                </c:pt>
                <c:pt idx="16">
                  <c:v>0.99993565599706147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49-41FB-B893-0CAD21725E2E}"/>
            </c:ext>
          </c:extLst>
        </c:ser>
        <c:ser>
          <c:idx val="2"/>
          <c:order val="2"/>
          <c:tx>
            <c:v>0.3</c:v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first_part_delta!$H$6:$H$22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first_part_delta!$L$6:$L$22</c:f>
              <c:numCache>
                <c:formatCode>General</c:formatCode>
                <c:ptCount val="17"/>
                <c:pt idx="0">
                  <c:v>2.3135653326617214E-6</c:v>
                </c:pt>
                <c:pt idx="1">
                  <c:v>5.8978518150786922E-5</c:v>
                </c:pt>
                <c:pt idx="2">
                  <c:v>7.522257491842688E-4</c:v>
                </c:pt>
                <c:pt idx="3">
                  <c:v>5.4794346275411467E-3</c:v>
                </c:pt>
                <c:pt idx="4">
                  <c:v>2.5300139283739118E-2</c:v>
                </c:pt>
                <c:pt idx="5">
                  <c:v>8.0542811303141587E-2</c:v>
                </c:pt>
                <c:pt idx="6">
                  <c:v>0.18952524812777746</c:v>
                </c:pt>
                <c:pt idx="7">
                  <c:v>0.34971752968021519</c:v>
                </c:pt>
                <c:pt idx="8">
                  <c:v>0.53273961671267711</c:v>
                </c:pt>
                <c:pt idx="9">
                  <c:v>0.70109401201543453</c:v>
                </c:pt>
                <c:pt idx="10">
                  <c:v>0.82950660741686155</c:v>
                </c:pt>
                <c:pt idx="11">
                  <c:v>0.91276887593354383</c:v>
                </c:pt>
                <c:pt idx="12">
                  <c:v>0.95963958476134859</c:v>
                </c:pt>
                <c:pt idx="13">
                  <c:v>0.98296199066116863</c:v>
                </c:pt>
                <c:pt idx="14">
                  <c:v>0.99337921785148087</c:v>
                </c:pt>
                <c:pt idx="15">
                  <c:v>0.99761170131759624</c:v>
                </c:pt>
                <c:pt idx="16">
                  <c:v>0.99919396953371908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649-41FB-B893-0CAD21725E2E}"/>
            </c:ext>
          </c:extLst>
        </c:ser>
        <c:ser>
          <c:idx val="3"/>
          <c:order val="3"/>
          <c:tx>
            <c:v>0.4</c:v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first_part_delta!$H$6:$H$22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first_part_delta!$M$6:$M$22</c:f>
              <c:numCache>
                <c:formatCode>General</c:formatCode>
                <c:ptCount val="17"/>
                <c:pt idx="0">
                  <c:v>4.0139975424484934E-5</c:v>
                </c:pt>
                <c:pt idx="1">
                  <c:v>4.6519881412379274E-4</c:v>
                </c:pt>
                <c:pt idx="2">
                  <c:v>3.2160999955850558E-3</c:v>
                </c:pt>
                <c:pt idx="3">
                  <c:v>1.4648825269289092E-2</c:v>
                </c:pt>
                <c:pt idx="4">
                  <c:v>4.7535275559280651E-2</c:v>
                </c:pt>
                <c:pt idx="5">
                  <c:v>0.11703172121234477</c:v>
                </c:pt>
                <c:pt idx="6">
                  <c:v>0.23023301469857285</c:v>
                </c:pt>
                <c:pt idx="7">
                  <c:v>0.3780368656656477</c:v>
                </c:pt>
                <c:pt idx="8">
                  <c:v>0.53779029390666466</c:v>
                </c:pt>
                <c:pt idx="9">
                  <c:v>0.68459548536557624</c:v>
                </c:pt>
                <c:pt idx="10">
                  <c:v>0.80188165059672933</c:v>
                </c:pt>
                <c:pt idx="11">
                  <c:v>0.88488828305391432</c:v>
                </c:pt>
                <c:pt idx="12">
                  <c:v>0.93776106845399343</c:v>
                </c:pt>
                <c:pt idx="13">
                  <c:v>0.96848451708238714</c:v>
                </c:pt>
                <c:pt idx="14">
                  <c:v>0.98496017489321974</c:v>
                </c:pt>
                <c:pt idx="15">
                  <c:v>0.99319515409537595</c:v>
                </c:pt>
                <c:pt idx="16">
                  <c:v>0.99706463005532564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649-41FB-B893-0CAD21725E2E}"/>
            </c:ext>
          </c:extLst>
        </c:ser>
        <c:ser>
          <c:idx val="4"/>
          <c:order val="4"/>
          <c:tx>
            <c:v>0.5</c:v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first_part_delta!$H$6:$H$22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first_part_delta!$N$6:$N$22</c:f>
              <c:numCache>
                <c:formatCode>General</c:formatCode>
                <c:ptCount val="17"/>
                <c:pt idx="0">
                  <c:v>2.2743341786876357E-4</c:v>
                </c:pt>
                <c:pt idx="1">
                  <c:v>1.6409066155964737E-3</c:v>
                </c:pt>
                <c:pt idx="2">
                  <c:v>7.8458863408448522E-3</c:v>
                </c:pt>
                <c:pt idx="3">
                  <c:v>2.6918022682862655E-2</c:v>
                </c:pt>
                <c:pt idx="4">
                  <c:v>7.0537829580775729E-2</c:v>
                </c:pt>
                <c:pt idx="5">
                  <c:v>0.14844720364554423</c:v>
                </c:pt>
                <c:pt idx="6">
                  <c:v>0.26142924756390218</c:v>
                </c:pt>
                <c:pt idx="7">
                  <c:v>0.39873130138189328</c:v>
                </c:pt>
                <c:pt idx="8">
                  <c:v>0.54223501331161406</c:v>
                </c:pt>
                <c:pt idx="9">
                  <c:v>0.67402849627857031</c:v>
                </c:pt>
                <c:pt idx="10">
                  <c:v>0.78230772963384732</c:v>
                </c:pt>
                <c:pt idx="11">
                  <c:v>0.8630953437034381</c:v>
                </c:pt>
                <c:pt idx="12">
                  <c:v>0.91853340172068842</c:v>
                </c:pt>
                <c:pt idx="13">
                  <c:v>0.95390232385199913</c:v>
                </c:pt>
                <c:pt idx="14">
                  <c:v>0.97507573833647321</c:v>
                </c:pt>
                <c:pt idx="15">
                  <c:v>0.987063941065492</c:v>
                </c:pt>
                <c:pt idx="16">
                  <c:v>0.9935275944696309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649-41FB-B893-0CAD21725E2E}"/>
            </c:ext>
          </c:extLst>
        </c:ser>
        <c:ser>
          <c:idx val="5"/>
          <c:order val="5"/>
          <c:tx>
            <c:v>0.6</c:v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first_part_delta!$H$6:$H$22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first_part_delta!$O$6:$O$22</c:f>
              <c:numCache>
                <c:formatCode>General</c:formatCode>
                <c:ptCount val="17"/>
                <c:pt idx="0">
                  <c:v>7.3339315349598864E-4</c:v>
                </c:pt>
                <c:pt idx="1">
                  <c:v>3.8551173459696964E-3</c:v>
                </c:pt>
                <c:pt idx="2">
                  <c:v>1.4402778602930108E-2</c:v>
                </c:pt>
                <c:pt idx="3">
                  <c:v>4.0860172111759581E-2</c:v>
                </c:pt>
                <c:pt idx="4">
                  <c:v>9.2718991154622718E-2</c:v>
                </c:pt>
                <c:pt idx="5">
                  <c:v>0.17544466250951118</c:v>
                </c:pt>
                <c:pt idx="6">
                  <c:v>0.28640779285454132</c:v>
                </c:pt>
                <c:pt idx="7">
                  <c:v>0.41491980008730484</c:v>
                </c:pt>
                <c:pt idx="8">
                  <c:v>0.54624882106468031</c:v>
                </c:pt>
                <c:pt idx="9">
                  <c:v>0.66681258720741177</c:v>
                </c:pt>
                <c:pt idx="10">
                  <c:v>0.76773686176629652</c:v>
                </c:pt>
                <c:pt idx="11">
                  <c:v>0.84574392541104015</c:v>
                </c:pt>
                <c:pt idx="12">
                  <c:v>0.90200659044195874</c:v>
                </c:pt>
                <c:pt idx="13">
                  <c:v>0.9402142801511969</c:v>
                </c:pt>
                <c:pt idx="14">
                  <c:v>0.96483221684018183</c:v>
                </c:pt>
                <c:pt idx="15">
                  <c:v>0.97998098357938546</c:v>
                </c:pt>
                <c:pt idx="16">
                  <c:v>0.98893439681623385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649-41FB-B893-0CAD21725E2E}"/>
            </c:ext>
          </c:extLst>
        </c:ser>
        <c:ser>
          <c:idx val="6"/>
          <c:order val="6"/>
          <c:tx>
            <c:v>0.7</c:v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first_part_delta!$H$6:$H$22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first_part_delta!$P$6:$P$22</c:f>
              <c:numCache>
                <c:formatCode>General</c:formatCode>
                <c:ptCount val="17"/>
                <c:pt idx="0">
                  <c:v>1.7097704105366416E-3</c:v>
                </c:pt>
                <c:pt idx="1">
                  <c:v>7.1642370961297339E-3</c:v>
                </c:pt>
                <c:pt idx="2">
                  <c:v>2.242591118396205E-2</c:v>
                </c:pt>
                <c:pt idx="3">
                  <c:v>5.5498237073536447E-2</c:v>
                </c:pt>
                <c:pt idx="4">
                  <c:v>0.11351617326502472</c:v>
                </c:pt>
                <c:pt idx="5">
                  <c:v>0.19884963648426759</c:v>
                </c:pt>
                <c:pt idx="6">
                  <c:v>0.30707780777053395</c:v>
                </c:pt>
                <c:pt idx="7">
                  <c:v>0.42816924322332078</c:v>
                </c:pt>
                <c:pt idx="8">
                  <c:v>0.54993574324296035</c:v>
                </c:pt>
                <c:pt idx="9">
                  <c:v>0.66168859212232867</c:v>
                </c:pt>
                <c:pt idx="10">
                  <c:v>0.7564993813863905</c:v>
                </c:pt>
                <c:pt idx="11">
                  <c:v>0.83165762889347106</c:v>
                </c:pt>
                <c:pt idx="12">
                  <c:v>0.88783196322373703</c:v>
                </c:pt>
                <c:pt idx="13">
                  <c:v>0.92772250848626392</c:v>
                </c:pt>
                <c:pt idx="14">
                  <c:v>0.95481273623086027</c:v>
                </c:pt>
                <c:pt idx="15">
                  <c:v>0.97250574341060869</c:v>
                </c:pt>
                <c:pt idx="16">
                  <c:v>0.98367272820713014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649-41FB-B893-0CAD21725E2E}"/>
            </c:ext>
          </c:extLst>
        </c:ser>
        <c:ser>
          <c:idx val="7"/>
          <c:order val="7"/>
          <c:tx>
            <c:v>0.8</c:v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first_part_delta!$H$6:$H$22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first_part_delta!$Q$6:$Q$22</c:f>
              <c:numCache>
                <c:formatCode>General</c:formatCode>
                <c:ptCount val="17"/>
                <c:pt idx="0">
                  <c:v>3.2499291224938613E-3</c:v>
                </c:pt>
                <c:pt idx="1">
                  <c:v>1.1483425231958777E-2</c:v>
                </c:pt>
                <c:pt idx="2">
                  <c:v>3.1463320553836806E-2</c:v>
                </c:pt>
                <c:pt idx="3">
                  <c:v>7.0237080583764377E-2</c:v>
                </c:pt>
                <c:pt idx="4">
                  <c:v>0.13280133237005642</c:v>
                </c:pt>
                <c:pt idx="5">
                  <c:v>0.21936358982447046</c:v>
                </c:pt>
                <c:pt idx="6">
                  <c:v>0.32461969070784658</c:v>
                </c:pt>
                <c:pt idx="7">
                  <c:v>0.4393670542417723</c:v>
                </c:pt>
                <c:pt idx="8">
                  <c:v>0.55336358492889404</c:v>
                </c:pt>
                <c:pt idx="9">
                  <c:v>0.65796272969308234</c:v>
                </c:pt>
                <c:pt idx="10">
                  <c:v>0.74760249342748353</c:v>
                </c:pt>
                <c:pt idx="11">
                  <c:v>0.82002413987768763</c:v>
                </c:pt>
                <c:pt idx="12">
                  <c:v>0.87562125149536263</c:v>
                </c:pt>
                <c:pt idx="13">
                  <c:v>0.91644879859772543</c:v>
                </c:pt>
                <c:pt idx="14">
                  <c:v>0.9452921469955603</c:v>
                </c:pt>
                <c:pt idx="15">
                  <c:v>0.9649914282191755</c:v>
                </c:pt>
                <c:pt idx="16">
                  <c:v>0.97805296953813903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649-41FB-B893-0CAD21725E2E}"/>
            </c:ext>
          </c:extLst>
        </c:ser>
        <c:ser>
          <c:idx val="8"/>
          <c:order val="8"/>
          <c:tx>
            <c:v>0.9</c:v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first_part_delta!$H$6:$H$22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first_part_delta!$R$6:$R$22</c:f>
              <c:numCache>
                <c:formatCode>General</c:formatCode>
                <c:ptCount val="17"/>
                <c:pt idx="0">
                  <c:v>5.3863786913071277E-3</c:v>
                </c:pt>
                <c:pt idx="1">
                  <c:v>1.6663450654240821E-2</c:v>
                </c:pt>
                <c:pt idx="2">
                  <c:v>4.1145992558525323E-2</c:v>
                </c:pt>
                <c:pt idx="3">
                  <c:v>8.4734011793984806E-2</c:v>
                </c:pt>
                <c:pt idx="4">
                  <c:v>0.1506224847545854</c:v>
                </c:pt>
                <c:pt idx="5">
                  <c:v>0.23753708342668733</c:v>
                </c:pt>
                <c:pt idx="6">
                  <c:v>0.3398047061837523</c:v>
                </c:pt>
                <c:pt idx="7">
                  <c:v>0.4490598842795181</c:v>
                </c:pt>
                <c:pt idx="8">
                  <c:v>0.55657946195545982</c:v>
                </c:pt>
                <c:pt idx="9">
                  <c:v>0.65521889020886737</c:v>
                </c:pt>
                <c:pt idx="10">
                  <c:v>0.74041691025313783</c:v>
                </c:pt>
                <c:pt idx="11">
                  <c:v>0.81027566906216286</c:v>
                </c:pt>
                <c:pt idx="12">
                  <c:v>0.86503450040480123</c:v>
                </c:pt>
                <c:pt idx="13">
                  <c:v>0.90631047116941144</c:v>
                </c:pt>
                <c:pt idx="14">
                  <c:v>0.93638087415065951</c:v>
                </c:pt>
                <c:pt idx="15">
                  <c:v>0.95764540824748623</c:v>
                </c:pt>
                <c:pt idx="16">
                  <c:v>0.97229624527713165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649-41FB-B893-0CAD21725E2E}"/>
            </c:ext>
          </c:extLst>
        </c:ser>
        <c:ser>
          <c:idx val="9"/>
          <c:order val="9"/>
          <c:tx>
            <c:v>1</c:v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first_part_delta!$H$6:$H$22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first_part_delta!$S$6:$S$22</c:f>
              <c:numCache>
                <c:formatCode>General</c:formatCode>
                <c:ptCount val="17"/>
                <c:pt idx="0">
                  <c:v>8.1055453543928818E-3</c:v>
                </c:pt>
                <c:pt idx="1">
                  <c:v>2.2539605701555526E-2</c:v>
                </c:pt>
                <c:pt idx="2">
                  <c:v>5.1195105289887979E-2</c:v>
                </c:pt>
                <c:pt idx="3">
                  <c:v>9.88015767617475E-2</c:v>
                </c:pt>
                <c:pt idx="4">
                  <c:v>0.16709271590694216</c:v>
                </c:pt>
                <c:pt idx="5">
                  <c:v>0.2537950995737065</c:v>
                </c:pt>
                <c:pt idx="6">
                  <c:v>0.35316016226972924</c:v>
                </c:pt>
                <c:pt idx="7">
                  <c:v>0.45760612784927152</c:v>
                </c:pt>
                <c:pt idx="8">
                  <c:v>0.5596176923702425</c:v>
                </c:pt>
                <c:pt idx="9">
                  <c:v>0.65319132580079731</c:v>
                </c:pt>
                <c:pt idx="10">
                  <c:v>0.73452316868917078</c:v>
                </c:pt>
                <c:pt idx="11">
                  <c:v>0.80200640740621953</c:v>
                </c:pt>
                <c:pt idx="12">
                  <c:v>0.85579311074329822</c:v>
                </c:pt>
                <c:pt idx="13">
                  <c:v>0.89719292559733332</c:v>
                </c:pt>
                <c:pt idx="14">
                  <c:v>0.92810491023994279</c:v>
                </c:pt>
                <c:pt idx="15">
                  <c:v>0.95058198959185258</c:v>
                </c:pt>
                <c:pt idx="16">
                  <c:v>0.96655118639654458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649-41FB-B893-0CAD21725E2E}"/>
            </c:ext>
          </c:extLst>
        </c:ser>
        <c:ser>
          <c:idx val="10"/>
          <c:order val="10"/>
          <c:tx>
            <c:v>2</c:v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first_part_delta!$H$6:$H$22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first_part_delta!$T$6:$T$22</c:f>
              <c:numCache>
                <c:formatCode>General</c:formatCode>
                <c:ptCount val="17"/>
                <c:pt idx="0">
                  <c:v>5.5478177979400571E-2</c:v>
                </c:pt>
                <c:pt idx="1">
                  <c:v>9.4943144684704661E-2</c:v>
                </c:pt>
                <c:pt idx="2">
                  <c:v>0.14711107776501314</c:v>
                </c:pt>
                <c:pt idx="3">
                  <c:v>0.21041627797587964</c:v>
                </c:pt>
                <c:pt idx="4">
                  <c:v>0.2820374343620774</c:v>
                </c:pt>
                <c:pt idx="5">
                  <c:v>0.35850447187481504</c:v>
                </c:pt>
                <c:pt idx="6">
                  <c:v>0.43629337610345331</c:v>
                </c:pt>
                <c:pt idx="7">
                  <c:v>0.51227864232904818</c:v>
                </c:pt>
                <c:pt idx="8">
                  <c:v>0.58399798571368178</c:v>
                </c:pt>
                <c:pt idx="9">
                  <c:v>0.64974470477957968</c:v>
                </c:pt>
                <c:pt idx="10">
                  <c:v>0.7085330993545631</c:v>
                </c:pt>
                <c:pt idx="11">
                  <c:v>0.75998835998968672</c:v>
                </c:pt>
                <c:pt idx="12">
                  <c:v>0.80420462073819765</c:v>
                </c:pt>
                <c:pt idx="13">
                  <c:v>0.84160197553171501</c:v>
                </c:pt>
                <c:pt idx="14">
                  <c:v>0.87280055331254425</c:v>
                </c:pt>
                <c:pt idx="15">
                  <c:v>0.89851971842195577</c:v>
                </c:pt>
                <c:pt idx="16">
                  <c:v>0.91950370400292614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649-41FB-B893-0CAD21725E2E}"/>
            </c:ext>
          </c:extLst>
        </c:ser>
        <c:ser>
          <c:idx val="11"/>
          <c:order val="11"/>
          <c:tx>
            <c:v>3</c:v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first_part_delta!$H$6:$H$22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first_part_delta!$U$6:$U$22</c:f>
              <c:numCache>
                <c:formatCode>General</c:formatCode>
                <c:ptCount val="17"/>
                <c:pt idx="0">
                  <c:v>0.11221757852337162</c:v>
                </c:pt>
                <c:pt idx="1">
                  <c:v>0.16261786177644788</c:v>
                </c:pt>
                <c:pt idx="2">
                  <c:v>0.22070207540533249</c:v>
                </c:pt>
                <c:pt idx="3">
                  <c:v>0.2841154119321706</c:v>
                </c:pt>
                <c:pt idx="4">
                  <c:v>0.35035866509647884</c:v>
                </c:pt>
                <c:pt idx="5">
                  <c:v>0.41708980700977716</c:v>
                </c:pt>
                <c:pt idx="6">
                  <c:v>0.48231590099564647</c:v>
                </c:pt>
                <c:pt idx="7">
                  <c:v>0.54448388447384266</c:v>
                </c:pt>
                <c:pt idx="8">
                  <c:v>0.60249391401788099</c:v>
                </c:pt>
                <c:pt idx="9">
                  <c:v>0.6556620776426314</c:v>
                </c:pt>
                <c:pt idx="10">
                  <c:v>0.70365585138940701</c:v>
                </c:pt>
                <c:pt idx="11">
                  <c:v>0.74641976679143052</c:v>
                </c:pt>
                <c:pt idx="12">
                  <c:v>0.78410275921225248</c:v>
                </c:pt>
                <c:pt idx="13">
                  <c:v>0.81699370064357868</c:v>
                </c:pt>
                <c:pt idx="14">
                  <c:v>0.84546800175065795</c:v>
                </c:pt>
                <c:pt idx="15">
                  <c:v>0.86994580030636615</c:v>
                </c:pt>
                <c:pt idx="16">
                  <c:v>0.89086087651205026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649-41FB-B893-0CAD21725E2E}"/>
            </c:ext>
          </c:extLst>
        </c:ser>
        <c:ser>
          <c:idx val="12"/>
          <c:order val="12"/>
          <c:tx>
            <c:v>4</c:v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first_part_delta!$H$6:$H$22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first_part_delta!$V$6:$V$22</c:f>
              <c:numCache>
                <c:formatCode>General</c:formatCode>
                <c:ptCount val="17"/>
                <c:pt idx="0">
                  <c:v>0.16426871972840887</c:v>
                </c:pt>
                <c:pt idx="1">
                  <c:v>0.21859198446496683</c:v>
                </c:pt>
                <c:pt idx="2">
                  <c:v>0.27702998118727484</c:v>
                </c:pt>
                <c:pt idx="3">
                  <c:v>0.33753309294546507</c:v>
                </c:pt>
                <c:pt idx="4">
                  <c:v>0.39825791110296049</c:v>
                </c:pt>
                <c:pt idx="5">
                  <c:v>0.45767322745215844</c:v>
                </c:pt>
                <c:pt idx="6">
                  <c:v>0.51459751428423428</c:v>
                </c:pt>
                <c:pt idx="7">
                  <c:v>0.56818955220522305</c:v>
                </c:pt>
                <c:pt idx="8">
                  <c:v>0.61791142218895267</c:v>
                </c:pt>
                <c:pt idx="9">
                  <c:v>0.66347851713393957</c:v>
                </c:pt>
                <c:pt idx="10">
                  <c:v>0.70480655105134737</c:v>
                </c:pt>
                <c:pt idx="11">
                  <c:v>0.74196163694002004</c:v>
                </c:pt>
                <c:pt idx="12">
                  <c:v>0.77511660853638908</c:v>
                </c:pt>
                <c:pt idx="13">
                  <c:v>0.80451480332788361</c:v>
                </c:pt>
                <c:pt idx="14">
                  <c:v>0.83044131386615572</c:v>
                </c:pt>
                <c:pt idx="15">
                  <c:v>0.85320104521339801</c:v>
                </c:pt>
                <c:pt idx="16">
                  <c:v>0.87310261037867953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649-41FB-B893-0CAD21725E2E}"/>
            </c:ext>
          </c:extLst>
        </c:ser>
        <c:ser>
          <c:idx val="13"/>
          <c:order val="13"/>
          <c:tx>
            <c:v>5</c:v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first_part_delta!$H$6:$H$22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first_part_delta!$W$6:$W$22</c:f>
              <c:numCache>
                <c:formatCode>General</c:formatCode>
                <c:ptCount val="17"/>
                <c:pt idx="0">
                  <c:v>0.20988203686100165</c:v>
                </c:pt>
                <c:pt idx="1">
                  <c:v>0.26505120645503799</c:v>
                </c:pt>
                <c:pt idx="2">
                  <c:v>0.32199074177395015</c:v>
                </c:pt>
                <c:pt idx="3">
                  <c:v>0.37909196897565967</c:v>
                </c:pt>
                <c:pt idx="4">
                  <c:v>0.4350411483736476</c:v>
                </c:pt>
                <c:pt idx="5">
                  <c:v>0.48883379634600066</c:v>
                </c:pt>
                <c:pt idx="6">
                  <c:v>0.53975516312316763</c:v>
                </c:pt>
                <c:pt idx="7">
                  <c:v>0.58734278687654107</c:v>
                </c:pt>
                <c:pt idx="8">
                  <c:v>0.63134216139179089</c:v>
                </c:pt>
                <c:pt idx="9">
                  <c:v>0.67166244266164088</c:v>
                </c:pt>
                <c:pt idx="10">
                  <c:v>0.70833606363246282</c:v>
                </c:pt>
                <c:pt idx="11">
                  <c:v>0.74148404620256403</c:v>
                </c:pt>
                <c:pt idx="12">
                  <c:v>0.77128749032735988</c:v>
                </c:pt>
                <c:pt idx="13">
                  <c:v>0.79796496558691377</c:v>
                </c:pt>
                <c:pt idx="14">
                  <c:v>0.82175514850703979</c:v>
                </c:pt>
                <c:pt idx="15">
                  <c:v>0.8429039016580514</c:v>
                </c:pt>
                <c:pt idx="16">
                  <c:v>0.86165498136593754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649-41FB-B893-0CAD21725E2E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3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5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8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9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1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4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</c:bandFmts>
        <c:axId val="1287657743"/>
        <c:axId val="1287659823"/>
        <c:axId val="1174531727"/>
      </c:surface3DChart>
      <c:catAx>
        <c:axId val="12876577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stock 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659823"/>
        <c:crosses val="autoZero"/>
        <c:auto val="1"/>
        <c:lblAlgn val="ctr"/>
        <c:lblOffset val="100"/>
        <c:noMultiLvlLbl val="0"/>
      </c:catAx>
      <c:valAx>
        <c:axId val="12876598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Delta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657743"/>
        <c:crosses val="autoZero"/>
        <c:crossBetween val="midCat"/>
      </c:valAx>
      <c:serAx>
        <c:axId val="1174531727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maturity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659823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Delta (Volatility = 0.1)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20"/>
      <c:rotY val="340"/>
      <c:rAngAx val="0"/>
      <c:perspective val="6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v>0.1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first_part_delta!$AP$6:$AP$22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first_part_delta!$AR$6:$AR$22</c:f>
              <c:numCache>
                <c:formatCode>General</c:formatCode>
                <c:ptCount val="17"/>
                <c:pt idx="0">
                  <c:v>1.152199866581175E-58</c:v>
                </c:pt>
                <c:pt idx="1">
                  <c:v>2.8126612880569749E-42</c:v>
                </c:pt>
                <c:pt idx="2">
                  <c:v>1.4260381787834196E-29</c:v>
                </c:pt>
                <c:pt idx="3">
                  <c:v>7.1568181094979558E-20</c:v>
                </c:pt>
                <c:pt idx="4">
                  <c:v>1.2002701474206063E-12</c:v>
                </c:pt>
                <c:pt idx="5">
                  <c:v>1.7727866846205845E-7</c:v>
                </c:pt>
                <c:pt idx="6">
                  <c:v>5.1107517146906892E-4</c:v>
                </c:pt>
                <c:pt idx="7">
                  <c:v>5.7674144516076838E-2</c:v>
                </c:pt>
                <c:pt idx="8">
                  <c:v>0.51891639999929629</c:v>
                </c:pt>
                <c:pt idx="9">
                  <c:v>0.94411804837488877</c:v>
                </c:pt>
                <c:pt idx="10">
                  <c:v>0.99889850177275419</c:v>
                </c:pt>
                <c:pt idx="11">
                  <c:v>0.99999603555087258</c:v>
                </c:pt>
                <c:pt idx="12">
                  <c:v>0.99999999693089381</c:v>
                </c:pt>
                <c:pt idx="13">
                  <c:v>0.99999999999939337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0E-4044-8B6C-4F352F7D992A}"/>
            </c:ext>
          </c:extLst>
        </c:ser>
        <c:ser>
          <c:idx val="1"/>
          <c:order val="1"/>
          <c:tx>
            <c:v>0.2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first_part_delta!$AP$6:$AP$22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first_part_delta!$AS$6:$AS$22</c:f>
              <c:numCache>
                <c:formatCode>General</c:formatCode>
                <c:ptCount val="17"/>
                <c:pt idx="0">
                  <c:v>3.4889502026674058E-30</c:v>
                </c:pt>
                <c:pt idx="1">
                  <c:v>5.5821144851585946E-22</c:v>
                </c:pt>
                <c:pt idx="2">
                  <c:v>1.3034623767509508E-15</c:v>
                </c:pt>
                <c:pt idx="3">
                  <c:v>9.7210253802256359E-11</c:v>
                </c:pt>
                <c:pt idx="4">
                  <c:v>4.2709800292238633E-7</c:v>
                </c:pt>
                <c:pt idx="5">
                  <c:v>1.8057900763335621E-4</c:v>
                </c:pt>
                <c:pt idx="6">
                  <c:v>1.1044013907594808E-2</c:v>
                </c:pt>
                <c:pt idx="7">
                  <c:v>0.14009983864577802</c:v>
                </c:pt>
                <c:pt idx="8">
                  <c:v>0.5267418038869226</c:v>
                </c:pt>
                <c:pt idx="9">
                  <c:v>0.87658089249568349</c:v>
                </c:pt>
                <c:pt idx="10">
                  <c:v>0.98603550784275051</c:v>
                </c:pt>
                <c:pt idx="11">
                  <c:v>0.99929416451516662</c:v>
                </c:pt>
                <c:pt idx="12">
                  <c:v>0.9999829287565416</c:v>
                </c:pt>
                <c:pt idx="13">
                  <c:v>0.99999978673956835</c:v>
                </c:pt>
                <c:pt idx="14">
                  <c:v>0.99999999851931465</c:v>
                </c:pt>
                <c:pt idx="15">
                  <c:v>0.99999999999389166</c:v>
                </c:pt>
                <c:pt idx="16">
                  <c:v>0.99999999999998412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0E-4044-8B6C-4F352F7D992A}"/>
            </c:ext>
          </c:extLst>
        </c:ser>
        <c:ser>
          <c:idx val="2"/>
          <c:order val="2"/>
          <c:tx>
            <c:v>0.3</c:v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first_part_delta!$AP$6:$AP$22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first_part_delta!$AT$6:$AT$22</c:f>
              <c:numCache>
                <c:formatCode>General</c:formatCode>
                <c:ptCount val="17"/>
                <c:pt idx="0">
                  <c:v>1.1850476086013734E-20</c:v>
                </c:pt>
                <c:pt idx="1">
                  <c:v>3.5461176703588084E-15</c:v>
                </c:pt>
                <c:pt idx="2">
                  <c:v>6.3883719199083708E-11</c:v>
                </c:pt>
                <c:pt idx="3">
                  <c:v>1.1693829518833767E-7</c:v>
                </c:pt>
                <c:pt idx="4">
                  <c:v>3.2777591453569817E-5</c:v>
                </c:pt>
                <c:pt idx="5">
                  <c:v>1.9569580318317646E-3</c:v>
                </c:pt>
                <c:pt idx="6">
                  <c:v>3.2777626460408021E-2</c:v>
                </c:pt>
                <c:pt idx="7">
                  <c:v>0.19646253524083446</c:v>
                </c:pt>
                <c:pt idx="8">
                  <c:v>0.53273961671267711</c:v>
                </c:pt>
                <c:pt idx="9">
                  <c:v>0.83470864554501067</c:v>
                </c:pt>
                <c:pt idx="10">
                  <c:v>0.96579345861513155</c:v>
                </c:pt>
                <c:pt idx="11">
                  <c:v>0.99577886954542294</c:v>
                </c:pt>
                <c:pt idx="12">
                  <c:v>0.99967623132709937</c:v>
                </c:pt>
                <c:pt idx="13">
                  <c:v>0.99998381961018046</c:v>
                </c:pt>
                <c:pt idx="14">
                  <c:v>0.99999944833507226</c:v>
                </c:pt>
                <c:pt idx="15">
                  <c:v>0.9999999866108833</c:v>
                </c:pt>
                <c:pt idx="16">
                  <c:v>0.99999999975964071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A0E-4044-8B6C-4F352F7D992A}"/>
            </c:ext>
          </c:extLst>
        </c:ser>
        <c:ser>
          <c:idx val="3"/>
          <c:order val="3"/>
          <c:tx>
            <c:v>0.4</c:v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first_part_delta!$AP$6:$AP$22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first_part_delta!$AU$6:$AU$22</c:f>
              <c:numCache>
                <c:formatCode>General</c:formatCode>
                <c:ptCount val="17"/>
                <c:pt idx="0">
                  <c:v>7.1994037560856956E-16</c:v>
                </c:pt>
                <c:pt idx="1">
                  <c:v>9.3129642843240566E-12</c:v>
                </c:pt>
                <c:pt idx="2">
                  <c:v>1.4726488482514407E-8</c:v>
                </c:pt>
                <c:pt idx="3">
                  <c:v>4.2184867637814504E-6</c:v>
                </c:pt>
                <c:pt idx="4">
                  <c:v>2.9809587513643615E-4</c:v>
                </c:pt>
                <c:pt idx="5">
                  <c:v>6.6658842436191712E-3</c:v>
                </c:pt>
                <c:pt idx="6">
                  <c:v>5.8088107987320343E-2</c:v>
                </c:pt>
                <c:pt idx="7">
                  <c:v>0.23694940812133697</c:v>
                </c:pt>
                <c:pt idx="8">
                  <c:v>0.53779029390666466</c:v>
                </c:pt>
                <c:pt idx="9">
                  <c:v>0.80683951354982253</c:v>
                </c:pt>
                <c:pt idx="10">
                  <c:v>0.94540611613468872</c:v>
                </c:pt>
                <c:pt idx="11">
                  <c:v>0.98940827229066197</c:v>
                </c:pt>
                <c:pt idx="12">
                  <c:v>0.99854754541412227</c:v>
                </c:pt>
                <c:pt idx="13">
                  <c:v>0.99985444081884667</c:v>
                </c:pt>
                <c:pt idx="14">
                  <c:v>0.99998898282504689</c:v>
                </c:pt>
                <c:pt idx="15">
                  <c:v>0.99999935060366185</c:v>
                </c:pt>
                <c:pt idx="16">
                  <c:v>0.99999996934905533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A0E-4044-8B6C-4F352F7D992A}"/>
            </c:ext>
          </c:extLst>
        </c:ser>
        <c:ser>
          <c:idx val="4"/>
          <c:order val="4"/>
          <c:tx>
            <c:v>0.5</c:v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first_part_delta!$AP$6:$AP$22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first_part_delta!$AV$6:$AV$22</c:f>
              <c:numCache>
                <c:formatCode>General</c:formatCode>
                <c:ptCount val="17"/>
                <c:pt idx="0">
                  <c:v>5.4712789718468615E-13</c:v>
                </c:pt>
                <c:pt idx="1">
                  <c:v>1.0745001039870842E-9</c:v>
                </c:pt>
                <c:pt idx="2">
                  <c:v>3.9447858056893467E-7</c:v>
                </c:pt>
                <c:pt idx="3">
                  <c:v>3.7104262232348042E-5</c:v>
                </c:pt>
                <c:pt idx="4">
                  <c:v>1.1455014907192074E-3</c:v>
                </c:pt>
                <c:pt idx="5">
                  <c:v>1.4178971876106417E-2</c:v>
                </c:pt>
                <c:pt idx="6">
                  <c:v>8.3185859132694412E-2</c:v>
                </c:pt>
                <c:pt idx="7">
                  <c:v>0.26784925915213059</c:v>
                </c:pt>
                <c:pt idx="8">
                  <c:v>0.54223501331161406</c:v>
                </c:pt>
                <c:pt idx="9">
                  <c:v>0.7870023302677005</c:v>
                </c:pt>
                <c:pt idx="10">
                  <c:v>0.9270206788480384</c:v>
                </c:pt>
                <c:pt idx="11">
                  <c:v>0.98135607564044858</c:v>
                </c:pt>
                <c:pt idx="12">
                  <c:v>0.99636788743791604</c:v>
                </c:pt>
                <c:pt idx="13">
                  <c:v>0.99944644902317548</c:v>
                </c:pt>
                <c:pt idx="14">
                  <c:v>0.99993230917992704</c:v>
                </c:pt>
                <c:pt idx="15">
                  <c:v>0.99999319889057736</c:v>
                </c:pt>
                <c:pt idx="16">
                  <c:v>0.99999942627332528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A0E-4044-8B6C-4F352F7D992A}"/>
            </c:ext>
          </c:extLst>
        </c:ser>
        <c:ser>
          <c:idx val="5"/>
          <c:order val="5"/>
          <c:tx>
            <c:v>0.6</c:v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first_part_delta!$AP$6:$AP$22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first_part_delta!$AW$6:$AW$22</c:f>
              <c:numCache>
                <c:formatCode>General</c:formatCode>
                <c:ptCount val="17"/>
                <c:pt idx="0">
                  <c:v>4.6306900470662182E-11</c:v>
                </c:pt>
                <c:pt idx="1">
                  <c:v>2.5874472084445203E-8</c:v>
                </c:pt>
                <c:pt idx="2">
                  <c:v>3.5869233961988741E-6</c:v>
                </c:pt>
                <c:pt idx="3">
                  <c:v>1.6047856986437615E-4</c:v>
                </c:pt>
                <c:pt idx="4">
                  <c:v>2.8497945838167173E-3</c:v>
                </c:pt>
                <c:pt idx="5">
                  <c:v>2.3744049559651273E-2</c:v>
                </c:pt>
                <c:pt idx="6">
                  <c:v>0.10674814223186854</c:v>
                </c:pt>
                <c:pt idx="7">
                  <c:v>0.29253156538610559</c:v>
                </c:pt>
                <c:pt idx="8">
                  <c:v>0.54624882106468031</c:v>
                </c:pt>
                <c:pt idx="9">
                  <c:v>0.77218677368637101</c:v>
                </c:pt>
                <c:pt idx="10">
                  <c:v>0.910951676948353</c:v>
                </c:pt>
                <c:pt idx="11">
                  <c:v>0.97260314455363983</c:v>
                </c:pt>
                <c:pt idx="12">
                  <c:v>0.99324341588079323</c:v>
                </c:pt>
                <c:pt idx="13">
                  <c:v>0.99863656915944365</c:v>
                </c:pt>
                <c:pt idx="14">
                  <c:v>0.99977023212247085</c:v>
                </c:pt>
                <c:pt idx="15">
                  <c:v>0.99996703614043125</c:v>
                </c:pt>
                <c:pt idx="16">
                  <c:v>0.99999590254116577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A0E-4044-8B6C-4F352F7D992A}"/>
            </c:ext>
          </c:extLst>
        </c:ser>
        <c:ser>
          <c:idx val="6"/>
          <c:order val="6"/>
          <c:tx>
            <c:v>0.7</c:v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first_part_delta!$AP$6:$AP$22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first_part_delta!$AX$6:$AX$22</c:f>
              <c:numCache>
                <c:formatCode>General</c:formatCode>
                <c:ptCount val="17"/>
                <c:pt idx="0">
                  <c:v>1.1154484392717851E-9</c:v>
                </c:pt>
                <c:pt idx="1">
                  <c:v>2.5390046836316603E-7</c:v>
                </c:pt>
                <c:pt idx="2">
                  <c:v>1.7549254029347776E-5</c:v>
                </c:pt>
                <c:pt idx="3">
                  <c:v>4.6157184850289515E-4</c:v>
                </c:pt>
                <c:pt idx="4">
                  <c:v>5.5176887334378597E-3</c:v>
                </c:pt>
                <c:pt idx="5">
                  <c:v>3.4610567414057034E-2</c:v>
                </c:pt>
                <c:pt idx="6">
                  <c:v>0.12843922086837081</c:v>
                </c:pt>
                <c:pt idx="7">
                  <c:v>0.31292611764332445</c:v>
                </c:pt>
                <c:pt idx="8">
                  <c:v>0.54993574324296035</c:v>
                </c:pt>
                <c:pt idx="9">
                  <c:v>0.760730082505234</c:v>
                </c:pt>
                <c:pt idx="10">
                  <c:v>0.8970058106562373</c:v>
                </c:pt>
                <c:pt idx="11">
                  <c:v>0.96375065198429899</c:v>
                </c:pt>
                <c:pt idx="12">
                  <c:v>0.98940714410148023</c:v>
                </c:pt>
                <c:pt idx="13">
                  <c:v>0.9973854793151351</c:v>
                </c:pt>
                <c:pt idx="14">
                  <c:v>0.99944558802202021</c:v>
                </c:pt>
                <c:pt idx="15">
                  <c:v>0.99989736258573836</c:v>
                </c:pt>
                <c:pt idx="16">
                  <c:v>0.99998316518966346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A0E-4044-8B6C-4F352F7D992A}"/>
            </c:ext>
          </c:extLst>
        </c:ser>
        <c:ser>
          <c:idx val="7"/>
          <c:order val="7"/>
          <c:tx>
            <c:v>0.8</c:v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first_part_delta!$AP$6:$AP$22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first_part_delta!$AY$6:$AY$22</c:f>
              <c:numCache>
                <c:formatCode>General</c:formatCode>
                <c:ptCount val="17"/>
                <c:pt idx="0">
                  <c:v>1.2232280237899387E-8</c:v>
                </c:pt>
                <c:pt idx="1">
                  <c:v>1.4195096494921114E-6</c:v>
                </c:pt>
                <c:pt idx="2">
                  <c:v>5.820088365787128E-5</c:v>
                </c:pt>
                <c:pt idx="3">
                  <c:v>1.0273171406440292E-3</c:v>
                </c:pt>
                <c:pt idx="4">
                  <c:v>9.1213054737095019E-3</c:v>
                </c:pt>
                <c:pt idx="5">
                  <c:v>4.6201796215212594E-2</c:v>
                </c:pt>
                <c:pt idx="6">
                  <c:v>0.14828843430084723</c:v>
                </c:pt>
                <c:pt idx="7">
                  <c:v>0.33021760012856716</c:v>
                </c:pt>
                <c:pt idx="8">
                  <c:v>0.55336358492889404</c:v>
                </c:pt>
                <c:pt idx="9">
                  <c:v>0.75163843630541693</c:v>
                </c:pt>
                <c:pt idx="10">
                  <c:v>0.88488455046683934</c:v>
                </c:pt>
                <c:pt idx="11">
                  <c:v>0.95512804158206499</c:v>
                </c:pt>
                <c:pt idx="12">
                  <c:v>0.98509406838389901</c:v>
                </c:pt>
                <c:pt idx="13">
                  <c:v>0.99571799089194879</c:v>
                </c:pt>
                <c:pt idx="14">
                  <c:v>0.99892066116278744</c:v>
                </c:pt>
                <c:pt idx="15">
                  <c:v>0.99975797900363672</c:v>
                </c:pt>
                <c:pt idx="16">
                  <c:v>0.99995111048223762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A0E-4044-8B6C-4F352F7D992A}"/>
            </c:ext>
          </c:extLst>
        </c:ser>
        <c:ser>
          <c:idx val="8"/>
          <c:order val="8"/>
          <c:tx>
            <c:v>0.9</c:v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first_part_delta!$AP$6:$AP$22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first_part_delta!$AZ$6:$AZ$22</c:f>
              <c:numCache>
                <c:formatCode>General</c:formatCode>
                <c:ptCount val="17"/>
                <c:pt idx="0">
                  <c:v>7.9305503738124766E-8</c:v>
                </c:pt>
                <c:pt idx="1">
                  <c:v>5.4488726576165721E-6</c:v>
                </c:pt>
                <c:pt idx="2">
                  <c:v>1.4879923588186921E-4</c:v>
                </c:pt>
                <c:pt idx="3">
                  <c:v>1.9253955209529885E-3</c:v>
                </c:pt>
                <c:pt idx="4">
                  <c:v>1.3558236229164227E-2</c:v>
                </c:pt>
                <c:pt idx="5">
                  <c:v>5.8114853573404297E-2</c:v>
                </c:pt>
                <c:pt idx="6">
                  <c:v>0.1664485667707323</c:v>
                </c:pt>
                <c:pt idx="7">
                  <c:v>0.34517641190667869</c:v>
                </c:pt>
                <c:pt idx="8">
                  <c:v>0.55657946195545982</c:v>
                </c:pt>
                <c:pt idx="9">
                  <c:v>0.74427963343394432</c:v>
                </c:pt>
                <c:pt idx="10">
                  <c:v>0.87430092401455395</c:v>
                </c:pt>
                <c:pt idx="11">
                  <c:v>0.94690122807155452</c:v>
                </c:pt>
                <c:pt idx="12">
                  <c:v>0.98049779905589118</c:v>
                </c:pt>
                <c:pt idx="13">
                  <c:v>0.99369223383243865</c:v>
                </c:pt>
                <c:pt idx="14">
                  <c:v>0.99818047109526631</c:v>
                </c:pt>
                <c:pt idx="15">
                  <c:v>0.99952627336039468</c:v>
                </c:pt>
                <c:pt idx="16">
                  <c:v>0.99988744523010076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A0E-4044-8B6C-4F352F7D992A}"/>
            </c:ext>
          </c:extLst>
        </c:ser>
        <c:ser>
          <c:idx val="9"/>
          <c:order val="9"/>
          <c:tx>
            <c:v>1</c:v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first_part_delta!$AP$6:$AP$22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first_part_delta!$BA$6:$BA$22</c:f>
              <c:numCache>
                <c:formatCode>General</c:formatCode>
                <c:ptCount val="17"/>
                <c:pt idx="0">
                  <c:v>3.5564355541459722E-7</c:v>
                </c:pt>
                <c:pt idx="1">
                  <c:v>1.6064307266339651E-5</c:v>
                </c:pt>
                <c:pt idx="2">
                  <c:v>3.1686788675612499E-4</c:v>
                </c:pt>
                <c:pt idx="3">
                  <c:v>3.1973886164727121E-3</c:v>
                </c:pt>
                <c:pt idx="4">
                  <c:v>1.8697030468110401E-2</c:v>
                </c:pt>
                <c:pt idx="5">
                  <c:v>7.0080829341433393E-2</c:v>
                </c:pt>
                <c:pt idx="6">
                  <c:v>0.18310240300676622</c:v>
                </c:pt>
                <c:pt idx="7">
                  <c:v>0.35832748828828459</c:v>
                </c:pt>
                <c:pt idx="8">
                  <c:v>0.5596176923702425</c:v>
                </c:pt>
                <c:pt idx="9">
                  <c:v>0.73823114549048119</c:v>
                </c:pt>
                <c:pt idx="10">
                  <c:v>0.86500851994546202</c:v>
                </c:pt>
                <c:pt idx="11">
                  <c:v>0.9391430239591263</c:v>
                </c:pt>
                <c:pt idx="12">
                  <c:v>0.9757644962341846</c:v>
                </c:pt>
                <c:pt idx="13">
                  <c:v>0.9913773450413681</c:v>
                </c:pt>
                <c:pt idx="14">
                  <c:v>0.99722837337629622</c:v>
                </c:pt>
                <c:pt idx="15">
                  <c:v>0.99918656546080542</c:v>
                </c:pt>
                <c:pt idx="16">
                  <c:v>0.99977989302522097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A0E-4044-8B6C-4F352F7D992A}"/>
            </c:ext>
          </c:extLst>
        </c:ser>
        <c:ser>
          <c:idx val="10"/>
          <c:order val="10"/>
          <c:tx>
            <c:v>2</c:v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first_part_delta!$AP$6:$AP$22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first_part_delta!$BB$6:$BB$22</c:f>
              <c:numCache>
                <c:formatCode>General</c:formatCode>
                <c:ptCount val="17"/>
                <c:pt idx="0">
                  <c:v>3.3699015309893697E-4</c:v>
                </c:pt>
                <c:pt idx="1">
                  <c:v>2.2987314592982327E-3</c:v>
                </c:pt>
                <c:pt idx="2">
                  <c:v>1.0445719216560184E-2</c:v>
                </c:pt>
                <c:pt idx="3">
                  <c:v>3.4220862001572698E-2</c:v>
                </c:pt>
                <c:pt idx="4">
                  <c:v>8.6011681908250856E-2</c:v>
                </c:pt>
                <c:pt idx="5">
                  <c:v>0.17436633291241277</c:v>
                </c:pt>
                <c:pt idx="6">
                  <c:v>0.29705856189617313</c:v>
                </c:pt>
                <c:pt idx="7">
                  <c:v>0.44015891222205472</c:v>
                </c:pt>
                <c:pt idx="8">
                  <c:v>0.58399798571368178</c:v>
                </c:pt>
                <c:pt idx="9">
                  <c:v>0.71128089691736807</c:v>
                </c:pt>
                <c:pt idx="10">
                  <c:v>0.81221192244611107</c:v>
                </c:pt>
                <c:pt idx="11">
                  <c:v>0.88500763743571798</c:v>
                </c:pt>
                <c:pt idx="12">
                  <c:v>0.93336619424077227</c:v>
                </c:pt>
                <c:pt idx="13">
                  <c:v>0.96327265988008681</c:v>
                </c:pt>
                <c:pt idx="14">
                  <c:v>0.9806483495408157</c:v>
                </c:pt>
                <c:pt idx="15">
                  <c:v>0.99020716359662175</c:v>
                </c:pt>
                <c:pt idx="16">
                  <c:v>0.99521999012116835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A0E-4044-8B6C-4F352F7D992A}"/>
            </c:ext>
          </c:extLst>
        </c:ser>
        <c:ser>
          <c:idx val="11"/>
          <c:order val="11"/>
          <c:tx>
            <c:v>3</c:v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first_part_delta!$AP$6:$AP$22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first_part_delta!$BC$6:$BC$22</c:f>
              <c:numCache>
                <c:formatCode>General</c:formatCode>
                <c:ptCount val="17"/>
                <c:pt idx="0">
                  <c:v>3.5785417129918693E-3</c:v>
                </c:pt>
                <c:pt idx="1">
                  <c:v>1.2962990657514536E-2</c:v>
                </c:pt>
                <c:pt idx="2">
                  <c:v>3.5973278929724156E-2</c:v>
                </c:pt>
                <c:pt idx="3">
                  <c:v>8.0588258967957058E-2</c:v>
                </c:pt>
                <c:pt idx="4">
                  <c:v>0.15185446032881006</c:v>
                </c:pt>
                <c:pt idx="5">
                  <c:v>0.24872867527518139</c:v>
                </c:pt>
                <c:pt idx="6">
                  <c:v>0.36373551072271876</c:v>
                </c:pt>
                <c:pt idx="7">
                  <c:v>0.48550787950516516</c:v>
                </c:pt>
                <c:pt idx="8">
                  <c:v>0.60249391401788088</c:v>
                </c:pt>
                <c:pt idx="9">
                  <c:v>0.70591773123367962</c:v>
                </c:pt>
                <c:pt idx="10">
                  <c:v>0.79105324594553816</c:v>
                </c:pt>
                <c:pt idx="11">
                  <c:v>0.85695166013778001</c:v>
                </c:pt>
                <c:pt idx="12">
                  <c:v>0.90531441414396252</c:v>
                </c:pt>
                <c:pt idx="13">
                  <c:v>0.9392042006984751</c:v>
                </c:pt>
                <c:pt idx="14">
                  <c:v>0.96201541129490264</c:v>
                </c:pt>
                <c:pt idx="15">
                  <c:v>0.97683982081086107</c:v>
                </c:pt>
                <c:pt idx="16">
                  <c:v>0.98618256040797059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A0E-4044-8B6C-4F352F7D992A}"/>
            </c:ext>
          </c:extLst>
        </c:ser>
        <c:ser>
          <c:idx val="12"/>
          <c:order val="12"/>
          <c:tx>
            <c:v>4</c:v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first_part_delta!$AP$6:$AP$22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first_part_delta!$BD$6:$BD$22</c:f>
              <c:numCache>
                <c:formatCode>General</c:formatCode>
                <c:ptCount val="17"/>
                <c:pt idx="0">
                  <c:v>1.2094054588474413E-2</c:v>
                </c:pt>
                <c:pt idx="1">
                  <c:v>3.1875690795675732E-2</c:v>
                </c:pt>
                <c:pt idx="2">
                  <c:v>6.8987440114615495E-2</c:v>
                </c:pt>
                <c:pt idx="3">
                  <c:v>0.127474584567597</c:v>
                </c:pt>
                <c:pt idx="4">
                  <c:v>0.20733079045218472</c:v>
                </c:pt>
                <c:pt idx="5">
                  <c:v>0.30411744905751403</c:v>
                </c:pt>
                <c:pt idx="6">
                  <c:v>0.4102886293803284</c:v>
                </c:pt>
                <c:pt idx="7">
                  <c:v>0.51736188083892132</c:v>
                </c:pt>
                <c:pt idx="8">
                  <c:v>0.61791142218895267</c:v>
                </c:pt>
                <c:pt idx="9">
                  <c:v>0.70676234221741052</c:v>
                </c:pt>
                <c:pt idx="10">
                  <c:v>0.78128810999478626</c:v>
                </c:pt>
                <c:pt idx="11">
                  <c:v>0.84105655977843707</c:v>
                </c:pt>
                <c:pt idx="12">
                  <c:v>0.88716872324765816</c:v>
                </c:pt>
                <c:pt idx="13">
                  <c:v>0.9215709212989972</c:v>
                </c:pt>
                <c:pt idx="14">
                  <c:v>0.94649958655795841</c:v>
                </c:pt>
                <c:pt idx="15">
                  <c:v>0.9641109494110095</c:v>
                </c:pt>
                <c:pt idx="16">
                  <c:v>0.97628058460472156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A0E-4044-8B6C-4F352F7D992A}"/>
            </c:ext>
          </c:extLst>
        </c:ser>
        <c:ser>
          <c:idx val="13"/>
          <c:order val="13"/>
          <c:tx>
            <c:v>5</c:v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first_part_delta!$AP$6:$AP$22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first_part_delta!$BE$6:$BE$22</c:f>
              <c:numCache>
                <c:formatCode>General</c:formatCode>
                <c:ptCount val="17"/>
                <c:pt idx="0">
                  <c:v>2.564344677496205E-2</c:v>
                </c:pt>
                <c:pt idx="1">
                  <c:v>5.5792459445646918E-2</c:v>
                </c:pt>
                <c:pt idx="2">
                  <c:v>0.10389085170754279</c:v>
                </c:pt>
                <c:pt idx="3">
                  <c:v>0.17076585813219761</c:v>
                </c:pt>
                <c:pt idx="4">
                  <c:v>0.25381961865942948</c:v>
                </c:pt>
                <c:pt idx="5">
                  <c:v>0.34775207052445578</c:v>
                </c:pt>
                <c:pt idx="6">
                  <c:v>0.44599904247550076</c:v>
                </c:pt>
                <c:pt idx="7">
                  <c:v>0.54221660354441636</c:v>
                </c:pt>
                <c:pt idx="8">
                  <c:v>0.63134216139179089</c:v>
                </c:pt>
                <c:pt idx="9">
                  <c:v>0.71007589254163683</c:v>
                </c:pt>
                <c:pt idx="10">
                  <c:v>0.77686562090211797</c:v>
                </c:pt>
                <c:pt idx="11">
                  <c:v>0.83158425080253329</c:v>
                </c:pt>
                <c:pt idx="12">
                  <c:v>0.87508800250645269</c:v>
                </c:pt>
                <c:pt idx="13">
                  <c:v>0.90878962693226017</c:v>
                </c:pt>
                <c:pt idx="14">
                  <c:v>0.93431723431540992</c:v>
                </c:pt>
                <c:pt idx="15">
                  <c:v>0.9532794554679479</c:v>
                </c:pt>
                <c:pt idx="16">
                  <c:v>0.96712760884191817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A0E-4044-8B6C-4F352F7D992A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3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5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8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9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1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4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</c:bandFmts>
        <c:axId val="575769855"/>
        <c:axId val="575765695"/>
        <c:axId val="500154431"/>
      </c:surface3DChart>
      <c:catAx>
        <c:axId val="57576985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stock 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65695"/>
        <c:crosses val="autoZero"/>
        <c:auto val="1"/>
        <c:lblAlgn val="ctr"/>
        <c:lblOffset val="100"/>
        <c:noMultiLvlLbl val="0"/>
      </c:catAx>
      <c:valAx>
        <c:axId val="5757656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Delta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69855"/>
        <c:crosses val="autoZero"/>
        <c:crossBetween val="midCat"/>
      </c:valAx>
      <c:serAx>
        <c:axId val="500154431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65695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Gamma</a:t>
            </a:r>
            <a:r>
              <a:rPr lang="en-US" baseline="0"/>
              <a:t> (Volatility = 0.2)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0"/>
      <c:rotY val="20"/>
      <c:depthPercent val="250"/>
      <c:rAngAx val="0"/>
      <c:perspective val="2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1.6635160680529299E-2"/>
          <c:y val="0.12623655913978496"/>
          <c:w val="0.96346099459684742"/>
          <c:h val="0.73622627816684205"/>
        </c:manualLayout>
      </c:layout>
      <c:surface3DChart>
        <c:wireframe val="0"/>
        <c:ser>
          <c:idx val="0"/>
          <c:order val="0"/>
          <c:tx>
            <c:v>0.1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first_part_gamma!$G$5:$G$21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first_part_gamma!$I$5:$I$21</c:f>
              <c:numCache>
                <c:formatCode>General</c:formatCode>
                <c:ptCount val="17"/>
                <c:pt idx="0">
                  <c:v>1.0516556577990479E-15</c:v>
                </c:pt>
                <c:pt idx="1">
                  <c:v>1.1286957540817279E-11</c:v>
                </c:pt>
                <c:pt idx="2">
                  <c:v>1.4597010892531745E-8</c:v>
                </c:pt>
                <c:pt idx="3">
                  <c:v>3.3512354645083037E-6</c:v>
                </c:pt>
                <c:pt idx="4">
                  <c:v>1.8444991272199745E-4</c:v>
                </c:pt>
                <c:pt idx="5">
                  <c:v>3.0836372935947143E-3</c:v>
                </c:pt>
                <c:pt idx="6">
                  <c:v>1.8916378586336522E-2</c:v>
                </c:pt>
                <c:pt idx="7">
                  <c:v>4.960740057577824E-2</c:v>
                </c:pt>
                <c:pt idx="8">
                  <c:v>6.3007389850102583E-2</c:v>
                </c:pt>
                <c:pt idx="9">
                  <c:v>4.2961708392642108E-2</c:v>
                </c:pt>
                <c:pt idx="10">
                  <c:v>1.7132125878144413E-2</c:v>
                </c:pt>
                <c:pt idx="11">
                  <c:v>4.2930333278127031E-3</c:v>
                </c:pt>
                <c:pt idx="12">
                  <c:v>7.1823787351586244E-4</c:v>
                </c:pt>
                <c:pt idx="13">
                  <c:v>8.4468232865850956E-5</c:v>
                </c:pt>
                <c:pt idx="14">
                  <c:v>7.2972234478141014E-6</c:v>
                </c:pt>
                <c:pt idx="15">
                  <c:v>4.8093577566927407E-7</c:v>
                </c:pt>
                <c:pt idx="16">
                  <c:v>2.4984119686305784E-8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B8-42C0-A683-D356FBC44A6D}"/>
            </c:ext>
          </c:extLst>
        </c:ser>
        <c:ser>
          <c:idx val="1"/>
          <c:order val="1"/>
          <c:tx>
            <c:v>0.2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first_part_gamma!$G$5:$G$21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first_part_gamma!$J$5:$J$21</c:f>
              <c:numCache>
                <c:formatCode>General</c:formatCode>
                <c:ptCount val="17"/>
                <c:pt idx="0">
                  <c:v>8.9897290546272933E-9</c:v>
                </c:pt>
                <c:pt idx="1">
                  <c:v>8.6832323834608022E-7</c:v>
                </c:pt>
                <c:pt idx="2">
                  <c:v>2.9265998523210969E-5</c:v>
                </c:pt>
                <c:pt idx="3">
                  <c:v>4.1746111765088789E-4</c:v>
                </c:pt>
                <c:pt idx="4">
                  <c:v>2.9270332354272232E-3</c:v>
                </c:pt>
                <c:pt idx="5">
                  <c:v>1.134964427745312E-2</c:v>
                </c:pt>
                <c:pt idx="6">
                  <c:v>2.6739234389615497E-2</c:v>
                </c:pt>
                <c:pt idx="7">
                  <c:v>4.1300684164172589E-2</c:v>
                </c:pt>
                <c:pt idx="8">
                  <c:v>4.4502858739261325E-2</c:v>
                </c:pt>
                <c:pt idx="9">
                  <c:v>3.5212130286942131E-2</c:v>
                </c:pt>
                <c:pt idx="10">
                  <c:v>2.1349081451222499E-2</c:v>
                </c:pt>
                <c:pt idx="11">
                  <c:v>1.0279303406877476E-2</c:v>
                </c:pt>
                <c:pt idx="12">
                  <c:v>4.0508179535475647E-3</c:v>
                </c:pt>
                <c:pt idx="13">
                  <c:v>1.3404252747399995E-3</c:v>
                </c:pt>
                <c:pt idx="14">
                  <c:v>3.8068919850193204E-4</c:v>
                </c:pt>
                <c:pt idx="15">
                  <c:v>9.4556994587265296E-5</c:v>
                </c:pt>
                <c:pt idx="16">
                  <c:v>2.0876714879530865E-5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B8-42C0-A683-D356FBC44A6D}"/>
            </c:ext>
          </c:extLst>
        </c:ser>
        <c:ser>
          <c:idx val="2"/>
          <c:order val="2"/>
          <c:tx>
            <c:v>0.3</c:v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first_part_gamma!$G$5:$G$21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first_part_gamma!$K$5:$K$21</c:f>
              <c:numCache>
                <c:formatCode>General</c:formatCode>
                <c:ptCount val="17"/>
                <c:pt idx="0">
                  <c:v>1.6833377571562758E-6</c:v>
                </c:pt>
                <c:pt idx="1">
                  <c:v>3.3820751258091636E-5</c:v>
                </c:pt>
                <c:pt idx="2">
                  <c:v>3.3795857220289077E-4</c:v>
                </c:pt>
                <c:pt idx="3">
                  <c:v>1.9093551185000314E-3</c:v>
                </c:pt>
                <c:pt idx="4">
                  <c:v>6.7361389316554247E-3</c:v>
                </c:pt>
                <c:pt idx="5">
                  <c:v>1.6048048164004219E-2</c:v>
                </c:pt>
                <c:pt idx="6">
                  <c:v>2.7482291431425852E-2</c:v>
                </c:pt>
                <c:pt idx="7">
                  <c:v>3.5581792279001198E-2</c:v>
                </c:pt>
                <c:pt idx="8">
                  <c:v>3.6295576501642057E-2</c:v>
                </c:pt>
                <c:pt idx="9">
                  <c:v>3.0178399358531966E-2</c:v>
                </c:pt>
                <c:pt idx="10">
                  <c:v>2.1039503593612036E-2</c:v>
                </c:pt>
                <c:pt idx="11">
                  <c:v>1.2594003477751478E-2</c:v>
                </c:pt>
                <c:pt idx="12">
                  <c:v>6.6034037139998062E-3</c:v>
                </c:pt>
                <c:pt idx="13">
                  <c:v>3.084792741286774E-3</c:v>
                </c:pt>
                <c:pt idx="14">
                  <c:v>1.3026922814580184E-3</c:v>
                </c:pt>
                <c:pt idx="15">
                  <c:v>5.0353481185787989E-4</c:v>
                </c:pt>
                <c:pt idx="16">
                  <c:v>1.800784918926651E-4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B8-42C0-A683-D356FBC44A6D}"/>
            </c:ext>
          </c:extLst>
        </c:ser>
        <c:ser>
          <c:idx val="3"/>
          <c:order val="3"/>
          <c:tx>
            <c:v>0.4</c:v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first_part_gamma!$G$5:$G$21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first_part_gamma!$L$5:$L$21</c:f>
              <c:numCache>
                <c:formatCode>General</c:formatCode>
                <c:ptCount val="17"/>
                <c:pt idx="0">
                  <c:v>2.2064431982817092E-5</c:v>
                </c:pt>
                <c:pt idx="1">
                  <c:v>2.0218238688417126E-4</c:v>
                </c:pt>
                <c:pt idx="2">
                  <c:v>1.1000759814895978E-3</c:v>
                </c:pt>
                <c:pt idx="3">
                  <c:v>3.9113907532951544E-3</c:v>
                </c:pt>
                <c:pt idx="4">
                  <c:v>9.7884039294375211E-3</c:v>
                </c:pt>
                <c:pt idx="5">
                  <c:v>1.827895482236909E-2</c:v>
                </c:pt>
                <c:pt idx="6">
                  <c:v>2.6687880405210137E-2</c:v>
                </c:pt>
                <c:pt idx="7">
                  <c:v>3.1635322258043566E-2</c:v>
                </c:pt>
                <c:pt idx="8">
                  <c:v>3.1397549176385632E-2</c:v>
                </c:pt>
                <c:pt idx="9">
                  <c:v>2.6761306237360671E-2</c:v>
                </c:pt>
                <c:pt idx="10">
                  <c:v>2.0006577096239694E-2</c:v>
                </c:pt>
                <c:pt idx="11">
                  <c:v>1.3352820984703351E-2</c:v>
                </c:pt>
                <c:pt idx="12">
                  <c:v>8.0758746095868535E-3</c:v>
                </c:pt>
                <c:pt idx="13">
                  <c:v>4.4825674910614188E-3</c:v>
                </c:pt>
                <c:pt idx="14">
                  <c:v>2.3082701661092638E-3</c:v>
                </c:pt>
                <c:pt idx="15">
                  <c:v>1.1130292486590083E-3</c:v>
                </c:pt>
                <c:pt idx="16">
                  <c:v>5.0660659975445015E-4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B8-42C0-A683-D356FBC44A6D}"/>
            </c:ext>
          </c:extLst>
        </c:ser>
        <c:ser>
          <c:idx val="4"/>
          <c:order val="4"/>
          <c:tx>
            <c:v>0.5</c:v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first_part_gamma!$G$5:$G$21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first_part_gamma!$M$5:$M$21</c:f>
              <c:numCache>
                <c:formatCode>General</c:formatCode>
                <c:ptCount val="17"/>
                <c:pt idx="0">
                  <c:v>1.0070170546498096E-4</c:v>
                </c:pt>
                <c:pt idx="1">
                  <c:v>5.7611680391896742E-4</c:v>
                </c:pt>
                <c:pt idx="2">
                  <c:v>2.1766539744157011E-3</c:v>
                </c:pt>
                <c:pt idx="3">
                  <c:v>5.8617741810673696E-3</c:v>
                </c:pt>
                <c:pt idx="4">
                  <c:v>1.1937780047109168E-2</c:v>
                </c:pt>
                <c:pt idx="5">
                  <c:v>1.926193999623425E-2</c:v>
                </c:pt>
                <c:pt idx="6">
                  <c:v>2.5556533759819561E-2</c:v>
                </c:pt>
                <c:pt idx="7">
                  <c:v>2.8732281352043244E-2</c:v>
                </c:pt>
                <c:pt idx="8">
                  <c:v>2.8051246304186251E-2</c:v>
                </c:pt>
                <c:pt idx="9">
                  <c:v>2.4267506445708333E-2</c:v>
                </c:pt>
                <c:pt idx="10">
                  <c:v>1.8918485039079756E-2</c:v>
                </c:pt>
                <c:pt idx="11">
                  <c:v>1.3478753756809101E-2</c:v>
                </c:pt>
                <c:pt idx="12">
                  <c:v>8.881243547387634E-3</c:v>
                </c:pt>
                <c:pt idx="13">
                  <c:v>5.466867238047071E-3</c:v>
                </c:pt>
                <c:pt idx="14">
                  <c:v>3.1709157235184286E-3</c:v>
                </c:pt>
                <c:pt idx="15">
                  <c:v>1.7459186523562447E-3</c:v>
                </c:pt>
                <c:pt idx="16">
                  <c:v>9.1839058774420622E-4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B8-42C0-A683-D356FBC44A6D}"/>
            </c:ext>
          </c:extLst>
        </c:ser>
        <c:ser>
          <c:idx val="5"/>
          <c:order val="5"/>
          <c:tx>
            <c:v>0.6</c:v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first_part_gamma!$G$5:$G$21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first_part_gamma!$N$5:$N$21</c:f>
              <c:numCache>
                <c:formatCode>General</c:formatCode>
                <c:ptCount val="17"/>
                <c:pt idx="0">
                  <c:v>2.7236380704730449E-4</c:v>
                </c:pt>
                <c:pt idx="1">
                  <c:v>1.1382523244176247E-3</c:v>
                </c:pt>
                <c:pt idx="2">
                  <c:v>3.3722289783455592E-3</c:v>
                </c:pt>
                <c:pt idx="3">
                  <c:v>7.5458967272333394E-3</c:v>
                </c:pt>
                <c:pt idx="4">
                  <c:v>1.3395159432299533E-2</c:v>
                </c:pt>
                <c:pt idx="5">
                  <c:v>1.9607203543702149E-2</c:v>
                </c:pt>
                <c:pt idx="6">
                  <c:v>2.4406774147524603E-2</c:v>
                </c:pt>
                <c:pt idx="7">
                  <c:v>2.64881643942976E-2</c:v>
                </c:pt>
                <c:pt idx="8">
                  <c:v>2.5578375413499596E-2</c:v>
                </c:pt>
                <c:pt idx="9">
                  <c:v>2.234876720629585E-2</c:v>
                </c:pt>
                <c:pt idx="10">
                  <c:v>1.7916173218194179E-2</c:v>
                </c:pt>
                <c:pt idx="11">
                  <c:v>1.333267834934383E-2</c:v>
                </c:pt>
                <c:pt idx="12">
                  <c:v>9.3013597568778455E-3</c:v>
                </c:pt>
                <c:pt idx="13">
                  <c:v>6.1342693499021788E-3</c:v>
                </c:pt>
                <c:pt idx="14">
                  <c:v>3.8518254155354282E-3</c:v>
                </c:pt>
                <c:pt idx="15">
                  <c:v>2.3169614647433373E-3</c:v>
                </c:pt>
                <c:pt idx="16">
                  <c:v>1.3421930911671853E-3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B8-42C0-A683-D356FBC44A6D}"/>
            </c:ext>
          </c:extLst>
        </c:ser>
        <c:ser>
          <c:idx val="6"/>
          <c:order val="6"/>
          <c:tx>
            <c:v>0.7</c:v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first_part_gamma!$G$5:$G$21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first_part_gamma!$O$5:$O$21</c:f>
              <c:numCache>
                <c:formatCode>General</c:formatCode>
                <c:ptCount val="17"/>
                <c:pt idx="0">
                  <c:v>5.476048159651799E-4</c:v>
                </c:pt>
                <c:pt idx="1">
                  <c:v>1.8286848240875091E-3</c:v>
                </c:pt>
                <c:pt idx="2">
                  <c:v>4.5539531232495038E-3</c:v>
                </c:pt>
                <c:pt idx="3">
                  <c:v>8.92731806222242E-3</c:v>
                </c:pt>
                <c:pt idx="4">
                  <c:v>1.4366321033900604E-2</c:v>
                </c:pt>
                <c:pt idx="5">
                  <c:v>1.9615204928584505E-2</c:v>
                </c:pt>
                <c:pt idx="6">
                  <c:v>2.3329031963279279E-2</c:v>
                </c:pt>
                <c:pt idx="7">
                  <c:v>2.4688265009858643E-2</c:v>
                </c:pt>
                <c:pt idx="8">
                  <c:v>2.3654347961507342E-2</c:v>
                </c:pt>
                <c:pt idx="9">
                  <c:v>2.0814619144845087E-2</c:v>
                </c:pt>
                <c:pt idx="10">
                  <c:v>1.7022556226213847E-2</c:v>
                </c:pt>
                <c:pt idx="11">
                  <c:v>1.3067821328100538E-2</c:v>
                </c:pt>
                <c:pt idx="12">
                  <c:v>9.4962050866496343E-3</c:v>
                </c:pt>
                <c:pt idx="13">
                  <c:v>6.5790096216856182E-3</c:v>
                </c:pt>
                <c:pt idx="14">
                  <c:v>4.3719665660242645E-3</c:v>
                </c:pt>
                <c:pt idx="15">
                  <c:v>2.8013465758306814E-3</c:v>
                </c:pt>
                <c:pt idx="16">
                  <c:v>1.7385470025647579E-3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B8-42C0-A683-D356FBC44A6D}"/>
            </c:ext>
          </c:extLst>
        </c:ser>
        <c:ser>
          <c:idx val="7"/>
          <c:order val="7"/>
          <c:tx>
            <c:v>0.8</c:v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first_part_gamma!$G$5:$G$21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first_part_gamma!$P$5:$P$21</c:f>
              <c:numCache>
                <c:formatCode>General</c:formatCode>
                <c:ptCount val="17"/>
                <c:pt idx="0">
                  <c:v>9.1609936771568209E-4</c:v>
                </c:pt>
                <c:pt idx="1">
                  <c:v>2.585538590771336E-3</c:v>
                </c:pt>
                <c:pt idx="2">
                  <c:v>5.6523508060789462E-3</c:v>
                </c:pt>
                <c:pt idx="3">
                  <c:v>1.0033802504733588E-2</c:v>
                </c:pt>
                <c:pt idx="4">
                  <c:v>1.5001364182628535E-2</c:v>
                </c:pt>
                <c:pt idx="5">
                  <c:v>1.944073459830415E-2</c:v>
                </c:pt>
                <c:pt idx="6">
                  <c:v>2.2344641814505347E-2</c:v>
                </c:pt>
                <c:pt idx="7">
                  <c:v>2.3203661883923712E-2</c:v>
                </c:pt>
                <c:pt idx="8">
                  <c:v>2.2101737998123483E-2</c:v>
                </c:pt>
                <c:pt idx="9">
                  <c:v>1.9552017122180455E-2</c:v>
                </c:pt>
                <c:pt idx="10">
                  <c:v>1.6231040004613291E-2</c:v>
                </c:pt>
                <c:pt idx="11">
                  <c:v>1.2754236173725023E-2</c:v>
                </c:pt>
                <c:pt idx="12">
                  <c:v>9.5562993383245896E-3</c:v>
                </c:pt>
                <c:pt idx="13">
                  <c:v>6.8698255498420117E-3</c:v>
                </c:pt>
                <c:pt idx="14">
                  <c:v>4.763448098667143E-3</c:v>
                </c:pt>
                <c:pt idx="15">
                  <c:v>3.2002933770762325E-3</c:v>
                </c:pt>
                <c:pt idx="16">
                  <c:v>2.0914714572423773E-3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B8-42C0-A683-D356FBC44A6D}"/>
            </c:ext>
          </c:extLst>
        </c:ser>
        <c:ser>
          <c:idx val="8"/>
          <c:order val="8"/>
          <c:tx>
            <c:v>0.9</c:v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first_part_gamma!$G$5:$G$21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first_part_gamma!$Q$5:$Q$21</c:f>
              <c:numCache>
                <c:formatCode>General</c:formatCode>
                <c:ptCount val="17"/>
                <c:pt idx="0">
                  <c:v>1.3571389458380512E-3</c:v>
                </c:pt>
                <c:pt idx="1">
                  <c:v>3.3605151026574521E-3</c:v>
                </c:pt>
                <c:pt idx="2">
                  <c:v>6.6387114573764538E-3</c:v>
                </c:pt>
                <c:pt idx="3">
                  <c:v>1.090940622330224E-2</c:v>
                </c:pt>
                <c:pt idx="4">
                  <c:v>1.5403132263133367E-2</c:v>
                </c:pt>
                <c:pt idx="5">
                  <c:v>1.9167361944162006E-2</c:v>
                </c:pt>
                <c:pt idx="6">
                  <c:v>2.1452524339852525E-2</c:v>
                </c:pt>
                <c:pt idx="7">
                  <c:v>2.1952066922098775E-2</c:v>
                </c:pt>
                <c:pt idx="8">
                  <c:v>2.0814289167512139E-2</c:v>
                </c:pt>
                <c:pt idx="9">
                  <c:v>1.8489346824041977E-2</c:v>
                </c:pt>
                <c:pt idx="10">
                  <c:v>1.5528543194402063E-2</c:v>
                </c:pt>
                <c:pt idx="11">
                  <c:v>1.2425602990436631E-2</c:v>
                </c:pt>
                <c:pt idx="12">
                  <c:v>9.5342861100476319E-3</c:v>
                </c:pt>
                <c:pt idx="13">
                  <c:v>7.0538139252298484E-3</c:v>
                </c:pt>
                <c:pt idx="14">
                  <c:v>5.0554177985015734E-3</c:v>
                </c:pt>
                <c:pt idx="15">
                  <c:v>3.5239585209983202E-3</c:v>
                </c:pt>
                <c:pt idx="16">
                  <c:v>2.3974428180687469E-3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B8-42C0-A683-D356FBC44A6D}"/>
            </c:ext>
          </c:extLst>
        </c:ser>
        <c:ser>
          <c:idx val="9"/>
          <c:order val="9"/>
          <c:tx>
            <c:v>1</c:v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first_part_gamma!$G$5:$G$21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first_part_gamma!$R$5:$R$21</c:f>
              <c:numCache>
                <c:formatCode>General</c:formatCode>
                <c:ptCount val="17"/>
                <c:pt idx="0">
                  <c:v>1.8477969471792112E-3</c:v>
                </c:pt>
                <c:pt idx="1">
                  <c:v>4.1207309613217006E-3</c:v>
                </c:pt>
                <c:pt idx="2">
                  <c:v>7.5067523489369872E-3</c:v>
                </c:pt>
                <c:pt idx="3">
                  <c:v>1.1597225794774839E-2</c:v>
                </c:pt>
                <c:pt idx="4">
                  <c:v>1.5641421674019225E-2</c:v>
                </c:pt>
                <c:pt idx="5">
                  <c:v>1.8841983940109528E-2</c:v>
                </c:pt>
                <c:pt idx="6">
                  <c:v>2.0644622964645629E-2</c:v>
                </c:pt>
                <c:pt idx="7">
                  <c:v>2.087829727981377E-2</c:v>
                </c:pt>
                <c:pt idx="8">
                  <c:v>1.9723966545394447E-2</c:v>
                </c:pt>
                <c:pt idx="9">
                  <c:v>1.7578836087368842E-2</c:v>
                </c:pt>
                <c:pt idx="10">
                  <c:v>1.4901938093572724E-2</c:v>
                </c:pt>
                <c:pt idx="11">
                  <c:v>1.2098525266351955E-2</c:v>
                </c:pt>
                <c:pt idx="12">
                  <c:v>9.46175015661453E-3</c:v>
                </c:pt>
                <c:pt idx="13">
                  <c:v>7.162937779782763E-3</c:v>
                </c:pt>
                <c:pt idx="14">
                  <c:v>5.2712072632879253E-3</c:v>
                </c:pt>
                <c:pt idx="15">
                  <c:v>3.7843224261389784E-3</c:v>
                </c:pt>
                <c:pt idx="16">
                  <c:v>2.6587031941631986E-3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5BB1-4215-8742-6C679D2EF97D}"/>
            </c:ext>
          </c:extLst>
        </c:ser>
        <c:ser>
          <c:idx val="10"/>
          <c:order val="10"/>
          <c:tx>
            <c:v>2</c:v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first_part_gamma!$G$5:$G$21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first_part_gamma!$S$5:$S$21</c:f>
              <c:numCache>
                <c:formatCode>General</c:formatCode>
                <c:ptCount val="17"/>
                <c:pt idx="0">
                  <c:v>6.5999568536451924E-3</c:v>
                </c:pt>
                <c:pt idx="1">
                  <c:v>9.1893387459059377E-3</c:v>
                </c:pt>
                <c:pt idx="2">
                  <c:v>1.1624159945686186E-2</c:v>
                </c:pt>
                <c:pt idx="3">
                  <c:v>1.3601749391133745E-2</c:v>
                </c:pt>
                <c:pt idx="4">
                  <c:v>1.4928999083209108E-2</c:v>
                </c:pt>
                <c:pt idx="5">
                  <c:v>1.5538821309956893E-2</c:v>
                </c:pt>
                <c:pt idx="6">
                  <c:v>1.5471684475151492E-2</c:v>
                </c:pt>
                <c:pt idx="7">
                  <c:v>1.4840061535306964E-2</c:v>
                </c:pt>
                <c:pt idx="8">
                  <c:v>1.3790926583135297E-2</c:v>
                </c:pt>
                <c:pt idx="9">
                  <c:v>1.2475292570391813E-2</c:v>
                </c:pt>
                <c:pt idx="10">
                  <c:v>1.1028059378052651E-2</c:v>
                </c:pt>
                <c:pt idx="11">
                  <c:v>9.5576676672171137E-3</c:v>
                </c:pt>
                <c:pt idx="12">
                  <c:v>8.1432630811320347E-3</c:v>
                </c:pt>
                <c:pt idx="13">
                  <c:v>6.8366861897907428E-3</c:v>
                </c:pt>
                <c:pt idx="14">
                  <c:v>5.6669702285113378E-3</c:v>
                </c:pt>
                <c:pt idx="15">
                  <c:v>4.6456697775222452E-3</c:v>
                </c:pt>
                <c:pt idx="16">
                  <c:v>3.7719785580502142E-3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BB1-4215-8742-6C679D2EF97D}"/>
            </c:ext>
          </c:extLst>
        </c:ser>
        <c:ser>
          <c:idx val="11"/>
          <c:order val="11"/>
          <c:tx>
            <c:v>3</c:v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first_part_gamma!$G$5:$G$21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first_part_gamma!$T$5:$T$21</c:f>
              <c:numCache>
                <c:formatCode>General</c:formatCode>
                <c:ptCount val="17"/>
                <c:pt idx="0">
                  <c:v>9.1771016304238069E-3</c:v>
                </c:pt>
                <c:pt idx="1">
                  <c:v>1.0920849507992854E-2</c:v>
                </c:pt>
                <c:pt idx="2">
                  <c:v>1.2233016676571298E-2</c:v>
                </c:pt>
                <c:pt idx="3">
                  <c:v>1.3047996011475228E-2</c:v>
                </c:pt>
                <c:pt idx="4">
                  <c:v>1.3370603439876852E-2</c:v>
                </c:pt>
                <c:pt idx="5">
                  <c:v>1.3255131727717093E-2</c:v>
                </c:pt>
                <c:pt idx="6">
                  <c:v>1.2783505889003443E-2</c:v>
                </c:pt>
                <c:pt idx="7">
                  <c:v>1.2047161650680642E-2</c:v>
                </c:pt>
                <c:pt idx="8">
                  <c:v>1.1134276551152785E-2</c:v>
                </c:pt>
                <c:pt idx="9">
                  <c:v>1.0122157910866229E-2</c:v>
                </c:pt>
                <c:pt idx="10">
                  <c:v>9.0737477955800411E-3</c:v>
                </c:pt>
                <c:pt idx="11">
                  <c:v>8.0369990403848391E-3</c:v>
                </c:pt>
                <c:pt idx="12">
                  <c:v>7.0460051549628569E-3</c:v>
                </c:pt>
                <c:pt idx="13">
                  <c:v>6.1230240136718661E-3</c:v>
                </c:pt>
                <c:pt idx="14">
                  <c:v>5.2808038728821569E-3</c:v>
                </c:pt>
                <c:pt idx="15">
                  <c:v>4.5248469998567693E-3</c:v>
                </c:pt>
                <c:pt idx="16">
                  <c:v>3.855415263882422E-3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5BB1-4215-8742-6C679D2EF97D}"/>
            </c:ext>
          </c:extLst>
        </c:ser>
        <c:ser>
          <c:idx val="12"/>
          <c:order val="12"/>
          <c:tx>
            <c:v>4</c:v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first_part_gamma!$G$5:$G$21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first_part_gamma!$U$5:$U$21</c:f>
              <c:numCache>
                <c:formatCode>General</c:formatCode>
                <c:ptCount val="17"/>
                <c:pt idx="0">
                  <c:v>1.0313315500073911E-2</c:v>
                </c:pt>
                <c:pt idx="1">
                  <c:v>1.1346268148064857E-2</c:v>
                </c:pt>
                <c:pt idx="2">
                  <c:v>1.1959970353331821E-2</c:v>
                </c:pt>
                <c:pt idx="3">
                  <c:v>1.2179483699411454E-2</c:v>
                </c:pt>
                <c:pt idx="4">
                  <c:v>1.205928909750143E-2</c:v>
                </c:pt>
                <c:pt idx="5">
                  <c:v>1.1667493720574828E-2</c:v>
                </c:pt>
                <c:pt idx="6">
                  <c:v>1.1074310697636874E-2</c:v>
                </c:pt>
                <c:pt idx="7">
                  <c:v>1.034474514620942E-2</c:v>
                </c:pt>
                <c:pt idx="8">
                  <c:v>9.5346953865131021E-3</c:v>
                </c:pt>
                <c:pt idx="9">
                  <c:v>8.6895009017126795E-3</c:v>
                </c:pt>
                <c:pt idx="10">
                  <c:v>7.8440625463605997E-3</c:v>
                </c:pt>
                <c:pt idx="11">
                  <c:v>7.0238536178371452E-3</c:v>
                </c:pt>
                <c:pt idx="12">
                  <c:v>6.2463417557349936E-3</c:v>
                </c:pt>
                <c:pt idx="13">
                  <c:v>5.5225119093422646E-3</c:v>
                </c:pt>
                <c:pt idx="14">
                  <c:v>4.858308981287961E-3</c:v>
                </c:pt>
                <c:pt idx="15">
                  <c:v>4.2559078918170063E-3</c:v>
                </c:pt>
                <c:pt idx="16">
                  <c:v>3.7147763845488606E-3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5BB1-4215-8742-6C679D2EF97D}"/>
            </c:ext>
          </c:extLst>
        </c:ser>
        <c:ser>
          <c:idx val="13"/>
          <c:order val="13"/>
          <c:tx>
            <c:v>5</c:v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first_part_gamma!$G$5:$G$21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first_part_gamma!$V$5:$V$21</c:f>
              <c:numCache>
                <c:formatCode>General</c:formatCode>
                <c:ptCount val="17"/>
                <c:pt idx="0">
                  <c:v>1.073708151996329E-2</c:v>
                </c:pt>
                <c:pt idx="1">
                  <c:v>1.1268946181697022E-2</c:v>
                </c:pt>
                <c:pt idx="2">
                  <c:v>1.1453027766679769E-2</c:v>
                </c:pt>
                <c:pt idx="3">
                  <c:v>1.1343634002882847E-2</c:v>
                </c:pt>
                <c:pt idx="4">
                  <c:v>1.1002627628314172E-2</c:v>
                </c:pt>
                <c:pt idx="5">
                  <c:v>1.0490736571836447E-2</c:v>
                </c:pt>
                <c:pt idx="6">
                  <c:v>9.8625457284395694E-3</c:v>
                </c:pt>
                <c:pt idx="7">
                  <c:v>9.1641696406864273E-3</c:v>
                </c:pt>
                <c:pt idx="8">
                  <c:v>8.4326874401380626E-3</c:v>
                </c:pt>
                <c:pt idx="9">
                  <c:v>7.6966219777363501E-3</c:v>
                </c:pt>
                <c:pt idx="10">
                  <c:v>6.9769553505238452E-3</c:v>
                </c:pt>
                <c:pt idx="11">
                  <c:v>6.2883493733863101E-3</c:v>
                </c:pt>
                <c:pt idx="12">
                  <c:v>5.6403714114604637E-3</c:v>
                </c:pt>
                <c:pt idx="13">
                  <c:v>5.0386172534840883E-3</c:v>
                </c:pt>
                <c:pt idx="14">
                  <c:v>4.4856819490140861E-3</c:v>
                </c:pt>
                <c:pt idx="15">
                  <c:v>3.9819655859202495E-3</c:v>
                </c:pt>
                <c:pt idx="16">
                  <c:v>3.5263212434632854E-3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5BB1-4215-8742-6C679D2EF97D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3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5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8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9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1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4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</c:bandFmts>
        <c:axId val="548354208"/>
        <c:axId val="548352128"/>
        <c:axId val="923537936"/>
      </c:surface3DChart>
      <c:catAx>
        <c:axId val="548354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stock 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352128"/>
        <c:crosses val="autoZero"/>
        <c:auto val="1"/>
        <c:lblAlgn val="ctr"/>
        <c:lblOffset val="100"/>
        <c:noMultiLvlLbl val="0"/>
      </c:catAx>
      <c:valAx>
        <c:axId val="548352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gamma</a:t>
                </a:r>
              </a:p>
            </c:rich>
          </c:tx>
          <c:layout>
            <c:manualLayout>
              <c:xMode val="edge"/>
              <c:yMode val="edge"/>
              <c:x val="7.1110040281423162E-2"/>
              <c:y val="0.4764751986646830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354208"/>
        <c:crosses val="autoZero"/>
        <c:crossBetween val="midCat"/>
      </c:valAx>
      <c:serAx>
        <c:axId val="923537936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Maturity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352128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Gamma ( Volatility = 0.3)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0"/>
      <c:rotY val="20"/>
      <c:depthPercent val="250"/>
      <c:rAngAx val="0"/>
      <c:perspective val="2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v>0.1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first_part_gamma!$Y$5:$Y$21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first_part_gamma!$AA$5:$AA$21</c:f>
              <c:numCache>
                <c:formatCode>General</c:formatCode>
                <c:ptCount val="17"/>
                <c:pt idx="0">
                  <c:v>4.8371729163416155E-8</c:v>
                </c:pt>
                <c:pt idx="1">
                  <c:v>2.7992835519207707E-6</c:v>
                </c:pt>
                <c:pt idx="2">
                  <c:v>6.3562115182022813E-5</c:v>
                </c:pt>
                <c:pt idx="3">
                  <c:v>6.7225819369320027E-4</c:v>
                </c:pt>
                <c:pt idx="4">
                  <c:v>3.7827836741325775E-3</c:v>
                </c:pt>
                <c:pt idx="5">
                  <c:v>1.257501258451457E-2</c:v>
                </c:pt>
                <c:pt idx="6">
                  <c:v>2.6849994493107564E-2</c:v>
                </c:pt>
                <c:pt idx="7">
                  <c:v>3.9397555493342631E-2</c:v>
                </c:pt>
                <c:pt idx="8">
                  <c:v>4.1981596977461719E-2</c:v>
                </c:pt>
                <c:pt idx="9">
                  <c:v>3.4000529020197359E-2</c:v>
                </c:pt>
                <c:pt idx="10">
                  <c:v>2.1736822486638243E-2</c:v>
                </c:pt>
                <c:pt idx="11">
                  <c:v>1.132338909622355E-2</c:v>
                </c:pt>
                <c:pt idx="12">
                  <c:v>4.9370130845059279E-3</c:v>
                </c:pt>
                <c:pt idx="13">
                  <c:v>1.8430873083992024E-3</c:v>
                </c:pt>
                <c:pt idx="14">
                  <c:v>6.0071558236562614E-4</c:v>
                </c:pt>
                <c:pt idx="15">
                  <c:v>1.7381608681207663E-4</c:v>
                </c:pt>
                <c:pt idx="16">
                  <c:v>4.5297412812204596E-5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43-489B-9B50-C1C77F383EDD}"/>
            </c:ext>
          </c:extLst>
        </c:ser>
        <c:ser>
          <c:idx val="1"/>
          <c:order val="1"/>
          <c:tx>
            <c:v>0.2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first_part_gamma!$Y$5:$Y$21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first_part_gamma!$AB$5:$AB$21</c:f>
              <c:numCache>
                <c:formatCode>General</c:formatCode>
                <c:ptCount val="17"/>
                <c:pt idx="0">
                  <c:v>4.8005602280442924E-5</c:v>
                </c:pt>
                <c:pt idx="1">
                  <c:v>3.4238659642402488E-4</c:v>
                </c:pt>
                <c:pt idx="2">
                  <c:v>1.5369719040112578E-3</c:v>
                </c:pt>
                <c:pt idx="3">
                  <c:v>4.7282210181891805E-3</c:v>
                </c:pt>
                <c:pt idx="4">
                  <c:v>1.0647723775453427E-2</c:v>
                </c:pt>
                <c:pt idx="5">
                  <c:v>1.8488250396357001E-2</c:v>
                </c:pt>
                <c:pt idx="6">
                  <c:v>2.5799834788109949E-2</c:v>
                </c:pt>
                <c:pt idx="7">
                  <c:v>2.9920175402764988E-2</c:v>
                </c:pt>
                <c:pt idx="8">
                  <c:v>2.963562571944587E-2</c:v>
                </c:pt>
                <c:pt idx="9">
                  <c:v>2.5642378317564656E-2</c:v>
                </c:pt>
                <c:pt idx="10">
                  <c:v>1.9748701502398165E-2</c:v>
                </c:pt>
                <c:pt idx="11">
                  <c:v>1.3752363931184045E-2</c:v>
                </c:pt>
                <c:pt idx="12">
                  <c:v>8.7746917760978451E-3</c:v>
                </c:pt>
                <c:pt idx="13">
                  <c:v>5.1878950118337827E-3</c:v>
                </c:pt>
                <c:pt idx="14">
                  <c:v>2.8696661309163176E-3</c:v>
                </c:pt>
                <c:pt idx="15">
                  <c:v>1.4974023713320017E-3</c:v>
                </c:pt>
                <c:pt idx="16">
                  <c:v>7.4234719458286542E-4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A43-489B-9B50-C1C77F383EDD}"/>
            </c:ext>
          </c:extLst>
        </c:ser>
        <c:ser>
          <c:idx val="2"/>
          <c:order val="2"/>
          <c:tx>
            <c:v>0.3</c:v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first_part_gamma!$Y$5:$Y$21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first_part_gamma!$AC$5:$AC$21</c:f>
              <c:numCache>
                <c:formatCode>General</c:formatCode>
                <c:ptCount val="17"/>
                <c:pt idx="0">
                  <c:v>4.3836057898992057E-4</c:v>
                </c:pt>
                <c:pt idx="1">
                  <c:v>1.5558922158995399E-3</c:v>
                </c:pt>
                <c:pt idx="2">
                  <c:v>4.0687523516901589E-3</c:v>
                </c:pt>
                <c:pt idx="3">
                  <c:v>8.2932442565351958E-3</c:v>
                </c:pt>
                <c:pt idx="4">
                  <c:v>1.3762943653982113E-2</c:v>
                </c:pt>
                <c:pt idx="5">
                  <c:v>1.9245583173855805E-2</c:v>
                </c:pt>
                <c:pt idx="6">
                  <c:v>2.3306691732956811E-2</c:v>
                </c:pt>
                <c:pt idx="7">
                  <c:v>2.4990132225163462E-2</c:v>
                </c:pt>
                <c:pt idx="8">
                  <c:v>2.4156756171112039E-2</c:v>
                </c:pt>
                <c:pt idx="9">
                  <c:v>2.1367578691690262E-2</c:v>
                </c:pt>
                <c:pt idx="10">
                  <c:v>1.7510243021562306E-2</c:v>
                </c:pt>
                <c:pt idx="11">
                  <c:v>1.3432302518922605E-2</c:v>
                </c:pt>
                <c:pt idx="12">
                  <c:v>9.7303217208305603E-3</c:v>
                </c:pt>
                <c:pt idx="13">
                  <c:v>6.7057249264153357E-3</c:v>
                </c:pt>
                <c:pt idx="14">
                  <c:v>4.4244401962093699E-3</c:v>
                </c:pt>
                <c:pt idx="15">
                  <c:v>2.8101370337925168E-3</c:v>
                </c:pt>
                <c:pt idx="16">
                  <c:v>1.726199932637131E-3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A43-489B-9B50-C1C77F383EDD}"/>
            </c:ext>
          </c:extLst>
        </c:ser>
        <c:ser>
          <c:idx val="3"/>
          <c:order val="3"/>
          <c:tx>
            <c:v>0.4</c:v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first_part_gamma!$Y$5:$Y$21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first_part_gamma!$AD$5:$AD$21</c:f>
              <c:numCache>
                <c:formatCode>General</c:formatCode>
                <c:ptCount val="17"/>
                <c:pt idx="0">
                  <c:v>1.2684980236185482E-3</c:v>
                </c:pt>
                <c:pt idx="1">
                  <c:v>3.1761382873591237E-3</c:v>
                </c:pt>
                <c:pt idx="2">
                  <c:v>6.3393895489089105E-3</c:v>
                </c:pt>
                <c:pt idx="3">
                  <c:v>1.0517834159617734E-2</c:v>
                </c:pt>
                <c:pt idx="4">
                  <c:v>1.4983978051139487E-2</c:v>
                </c:pt>
                <c:pt idx="5">
                  <c:v>1.8803436356655608E-2</c:v>
                </c:pt>
                <c:pt idx="6">
                  <c:v>2.1212946857819128E-2</c:v>
                </c:pt>
                <c:pt idx="7">
                  <c:v>2.187052870331763E-2</c:v>
                </c:pt>
                <c:pt idx="8">
                  <c:v>2.0885236208200961E-2</c:v>
                </c:pt>
                <c:pt idx="9">
                  <c:v>1.8678514542129088E-2</c:v>
                </c:pt>
                <c:pt idx="10">
                  <c:v>1.5789104753624824E-2</c:v>
                </c:pt>
                <c:pt idx="11">
                  <c:v>1.2712341075815795E-2</c:v>
                </c:pt>
                <c:pt idx="12">
                  <c:v>9.8121320272589463E-3</c:v>
                </c:pt>
                <c:pt idx="13">
                  <c:v>7.3006500382870035E-3</c:v>
                </c:pt>
                <c:pt idx="14">
                  <c:v>5.2609033868653314E-3</c:v>
                </c:pt>
                <c:pt idx="15">
                  <c:v>3.6864683342030654E-3</c:v>
                </c:pt>
                <c:pt idx="16">
                  <c:v>2.5207026945741878E-3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A43-489B-9B50-C1C77F383EDD}"/>
            </c:ext>
          </c:extLst>
        </c:ser>
        <c:ser>
          <c:idx val="4"/>
          <c:order val="4"/>
          <c:tx>
            <c:v>0.5</c:v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first_part_gamma!$Y$5:$Y$21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first_part_gamma!$AE$5:$AE$21</c:f>
              <c:numCache>
                <c:formatCode>General</c:formatCode>
                <c:ptCount val="17"/>
                <c:pt idx="0">
                  <c:v>2.3382957957450985E-3</c:v>
                </c:pt>
                <c:pt idx="1">
                  <c:v>4.7488233231175484E-3</c:v>
                </c:pt>
                <c:pt idx="2">
                  <c:v>8.0599773466249677E-3</c:v>
                </c:pt>
                <c:pt idx="3">
                  <c:v>1.1819037433225307E-2</c:v>
                </c:pt>
                <c:pt idx="4">
                  <c:v>1.5364246918448029E-2</c:v>
                </c:pt>
                <c:pt idx="5">
                  <c:v>1.8068228988525181E-2</c:v>
                </c:pt>
                <c:pt idx="6">
                  <c:v>1.9534751872486739E-2</c:v>
                </c:pt>
                <c:pt idx="7">
                  <c:v>1.9671994336736283E-2</c:v>
                </c:pt>
                <c:pt idx="8">
                  <c:v>1.8648956198552002E-2</c:v>
                </c:pt>
                <c:pt idx="9">
                  <c:v>1.6789169768697557E-2</c:v>
                </c:pt>
                <c:pt idx="10">
                  <c:v>1.4458770943216178E-2</c:v>
                </c:pt>
                <c:pt idx="11">
                  <c:v>1.1984095247208172E-2</c:v>
                </c:pt>
                <c:pt idx="12">
                  <c:v>9.6090347795308416E-3</c:v>
                </c:pt>
                <c:pt idx="13">
                  <c:v>7.4859286012427398E-3</c:v>
                </c:pt>
                <c:pt idx="14">
                  <c:v>5.6874317310270693E-3</c:v>
                </c:pt>
                <c:pt idx="15">
                  <c:v>4.2274159872265253E-3</c:v>
                </c:pt>
                <c:pt idx="16">
                  <c:v>3.0825818422678905E-3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43-489B-9B50-C1C77F383EDD}"/>
            </c:ext>
          </c:extLst>
        </c:ser>
        <c:ser>
          <c:idx val="5"/>
          <c:order val="5"/>
          <c:tx>
            <c:v>0.6</c:v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first_part_gamma!$Y$5:$Y$21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first_part_gamma!$AF$5:$AF$21</c:f>
              <c:numCache>
                <c:formatCode>General</c:formatCode>
                <c:ptCount val="17"/>
                <c:pt idx="0">
                  <c:v>3.4549517028754717E-3</c:v>
                </c:pt>
                <c:pt idx="1">
                  <c:v>6.1025757786037126E-3</c:v>
                </c:pt>
                <c:pt idx="2">
                  <c:v>9.2966719191608007E-3</c:v>
                </c:pt>
                <c:pt idx="3">
                  <c:v>1.2555154567235544E-2</c:v>
                </c:pt>
                <c:pt idx="4">
                  <c:v>1.5354539900425004E-2</c:v>
                </c:pt>
                <c:pt idx="5">
                  <c:v>1.7291682643531966E-2</c:v>
                </c:pt>
                <c:pt idx="6">
                  <c:v>1.8172524320191757E-2</c:v>
                </c:pt>
                <c:pt idx="7">
                  <c:v>1.8015399304984771E-2</c:v>
                </c:pt>
                <c:pt idx="8">
                  <c:v>1.6995504070964788E-2</c:v>
                </c:pt>
                <c:pt idx="9">
                  <c:v>1.5368208376167369E-2</c:v>
                </c:pt>
                <c:pt idx="10">
                  <c:v>1.3400367884206782E-2</c:v>
                </c:pt>
                <c:pt idx="11">
                  <c:v>1.132386000635301E-2</c:v>
                </c:pt>
                <c:pt idx="12">
                  <c:v>9.313082481780104E-3</c:v>
                </c:pt>
                <c:pt idx="13">
                  <c:v>7.4811990466972442E-3</c:v>
                </c:pt>
                <c:pt idx="14">
                  <c:v>5.8878427994134399E-3</c:v>
                </c:pt>
                <c:pt idx="15">
                  <c:v>4.5518443181372789E-3</c:v>
                </c:pt>
                <c:pt idx="16">
                  <c:v>3.4645436604697206E-3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A43-489B-9B50-C1C77F383EDD}"/>
            </c:ext>
          </c:extLst>
        </c:ser>
        <c:ser>
          <c:idx val="6"/>
          <c:order val="6"/>
          <c:tx>
            <c:v>0.7</c:v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first_part_gamma!$Y$5:$Y$21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first_part_gamma!$AG$5:$AG$21</c:f>
              <c:numCache>
                <c:formatCode>General</c:formatCode>
                <c:ptCount val="17"/>
                <c:pt idx="0">
                  <c:v>4.5096296845151063E-3</c:v>
                </c:pt>
                <c:pt idx="1">
                  <c:v>7.2096701015754924E-3</c:v>
                </c:pt>
                <c:pt idx="2">
                  <c:v>1.0167303762997196E-2</c:v>
                </c:pt>
                <c:pt idx="3">
                  <c:v>1.2946786325768763E-2</c:v>
                </c:pt>
                <c:pt idx="4">
                  <c:v>1.5157858484034765E-2</c:v>
                </c:pt>
                <c:pt idx="5">
                  <c:v>1.6550341873979184E-2</c:v>
                </c:pt>
                <c:pt idx="6">
                  <c:v>1.7044687194816176E-2</c:v>
                </c:pt>
                <c:pt idx="7">
                  <c:v>1.6709061466729101E-2</c:v>
                </c:pt>
                <c:pt idx="8">
                  <c:v>1.5708358311106813E-2</c:v>
                </c:pt>
                <c:pt idx="9">
                  <c:v>1.4249101786859477E-2</c:v>
                </c:pt>
                <c:pt idx="10">
                  <c:v>1.253521869678631E-2</c:v>
                </c:pt>
                <c:pt idx="11">
                  <c:v>1.074020246658062E-2</c:v>
                </c:pt>
                <c:pt idx="12">
                  <c:v>8.9946864621100828E-3</c:v>
                </c:pt>
                <c:pt idx="13">
                  <c:v>7.3853698760191324E-3</c:v>
                </c:pt>
                <c:pt idx="14">
                  <c:v>5.9606848610583791E-3</c:v>
                </c:pt>
                <c:pt idx="15">
                  <c:v>4.7393843504899566E-3</c:v>
                </c:pt>
                <c:pt idx="16">
                  <c:v>3.7194597267081694E-3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A43-489B-9B50-C1C77F383EDD}"/>
            </c:ext>
          </c:extLst>
        </c:ser>
        <c:ser>
          <c:idx val="7"/>
          <c:order val="7"/>
          <c:tx>
            <c:v>0.8</c:v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first_part_gamma!$Y$5:$Y$21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first_part_gamma!$AH$5:$AH$21</c:f>
              <c:numCache>
                <c:formatCode>General</c:formatCode>
                <c:ptCount val="17"/>
                <c:pt idx="0">
                  <c:v>5.4555892387964204E-3</c:v>
                </c:pt>
                <c:pt idx="1">
                  <c:v>8.0936358441935641E-3</c:v>
                </c:pt>
                <c:pt idx="2">
                  <c:v>1.0771870609204376E-2</c:v>
                </c:pt>
                <c:pt idx="3">
                  <c:v>1.3124825156577539E-2</c:v>
                </c:pt>
                <c:pt idx="4">
                  <c:v>1.4871858249720597E-2</c:v>
                </c:pt>
                <c:pt idx="5">
                  <c:v>1.5865759347980533E-2</c:v>
                </c:pt>
                <c:pt idx="6">
                  <c:v>1.6093332217008625E-2</c:v>
                </c:pt>
                <c:pt idx="7">
                  <c:v>1.5644431582997612E-2</c:v>
                </c:pt>
                <c:pt idx="8">
                  <c:v>1.4669150678135831E-2</c:v>
                </c:pt>
                <c:pt idx="9">
                  <c:v>1.3337894677823489E-2</c:v>
                </c:pt>
                <c:pt idx="10">
                  <c:v>1.1811904293602783E-2</c:v>
                </c:pt>
                <c:pt idx="11">
                  <c:v>1.022592397572397E-2</c:v>
                </c:pt>
                <c:pt idx="12">
                  <c:v>8.6812461969082502E-3</c:v>
                </c:pt>
                <c:pt idx="13">
                  <c:v>7.2460218594597326E-3</c:v>
                </c:pt>
                <c:pt idx="14">
                  <c:v>5.9597458042224315E-3</c:v>
                </c:pt>
                <c:pt idx="15">
                  <c:v>4.8394882133299885E-3</c:v>
                </c:pt>
                <c:pt idx="16">
                  <c:v>3.8862598492258598E-3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A43-489B-9B50-C1C77F383EDD}"/>
            </c:ext>
          </c:extLst>
        </c:ser>
        <c:ser>
          <c:idx val="8"/>
          <c:order val="8"/>
          <c:tx>
            <c:v>0.9</c:v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first_part_gamma!$Y$5:$Y$21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first_part_gamma!$AI$5:$AI$21</c:f>
              <c:numCache>
                <c:formatCode>General</c:formatCode>
                <c:ptCount val="17"/>
                <c:pt idx="0">
                  <c:v>6.2802722099484769E-3</c:v>
                </c:pt>
                <c:pt idx="1">
                  <c:v>8.7907122230331206E-3</c:v>
                </c:pt>
                <c:pt idx="2">
                  <c:v>1.1184482954854207E-2</c:v>
                </c:pt>
                <c:pt idx="3">
                  <c:v>1.3168033532704496E-2</c:v>
                </c:pt>
                <c:pt idx="4">
                  <c:v>1.4546046008012571E-2</c:v>
                </c:pt>
                <c:pt idx="5">
                  <c:v>1.5240725494598826E-2</c:v>
                </c:pt>
                <c:pt idx="6">
                  <c:v>1.5277763824001958E-2</c:v>
                </c:pt>
                <c:pt idx="7">
                  <c:v>1.4754868041798963E-2</c:v>
                </c:pt>
                <c:pt idx="8">
                  <c:v>1.38069849781331E-2</c:v>
                </c:pt>
                <c:pt idx="9">
                  <c:v>1.2577052515957671E-2</c:v>
                </c:pt>
                <c:pt idx="10">
                  <c:v>1.1195871235951033E-2</c:v>
                </c:pt>
                <c:pt idx="11">
                  <c:v>9.7710707636894881E-3</c:v>
                </c:pt>
                <c:pt idx="12">
                  <c:v>8.3833035199653554E-3</c:v>
                </c:pt>
                <c:pt idx="13">
                  <c:v>7.0872762215001793E-3</c:v>
                </c:pt>
                <c:pt idx="14">
                  <c:v>5.91545955769436E-3</c:v>
                </c:pt>
                <c:pt idx="15">
                  <c:v>4.8828534679731259E-3</c:v>
                </c:pt>
                <c:pt idx="16">
                  <c:v>3.9917562221930339E-3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A43-489B-9B50-C1C77F383EDD}"/>
            </c:ext>
          </c:extLst>
        </c:ser>
        <c:ser>
          <c:idx val="9"/>
          <c:order val="9"/>
          <c:tx>
            <c:v>1</c:v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first_part_gamma!$Y$5:$Y$21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first_part_gamma!$AJ$5:$AJ$21</c:f>
              <c:numCache>
                <c:formatCode>General</c:formatCode>
                <c:ptCount val="17"/>
                <c:pt idx="0">
                  <c:v>6.9875383385906891E-3</c:v>
                </c:pt>
                <c:pt idx="1">
                  <c:v>9.336082432746199E-3</c:v>
                </c:pt>
                <c:pt idx="2">
                  <c:v>1.1458084787714838E-2</c:v>
                </c:pt>
                <c:pt idx="3">
                  <c:v>1.3124994619891275E-2</c:v>
                </c:pt>
                <c:pt idx="4">
                  <c:v>1.4206432265572271E-2</c:v>
                </c:pt>
                <c:pt idx="5">
                  <c:v>1.4671609392337213E-2</c:v>
                </c:pt>
                <c:pt idx="6">
                  <c:v>1.4568912566910484E-2</c:v>
                </c:pt>
                <c:pt idx="7">
                  <c:v>1.3996906305568678E-2</c:v>
                </c:pt>
                <c:pt idx="8">
                  <c:v>1.3076461848524422E-2</c:v>
                </c:pt>
                <c:pt idx="9">
                  <c:v>1.1929120878360653E-2</c:v>
                </c:pt>
                <c:pt idx="10">
                  <c:v>1.0663126660408761E-2</c:v>
                </c:pt>
                <c:pt idx="11">
                  <c:v>9.366344559542529E-3</c:v>
                </c:pt>
                <c:pt idx="12">
                  <c:v>8.1043460458643246E-3</c:v>
                </c:pt>
                <c:pt idx="13">
                  <c:v>6.9218060724324567E-3</c:v>
                </c:pt>
                <c:pt idx="14">
                  <c:v>5.8456577452828994E-3</c:v>
                </c:pt>
                <c:pt idx="15">
                  <c:v>4.8888801197403868E-3</c:v>
                </c:pt>
                <c:pt idx="16">
                  <c:v>4.054208161540623E-3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A43-489B-9B50-C1C77F383EDD}"/>
            </c:ext>
          </c:extLst>
        </c:ser>
        <c:ser>
          <c:idx val="10"/>
          <c:order val="10"/>
          <c:tx>
            <c:v>2</c:v>
          </c:tx>
          <c:cat>
            <c:numRef>
              <c:f>first_part_gamma!$Y$5:$Y$21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first_part_gamma!$AK$5:$AK$21</c:f>
              <c:numCache>
                <c:formatCode>General</c:formatCode>
                <c:ptCount val="17"/>
                <c:pt idx="0">
                  <c:v>1.0030097674802637E-2</c:v>
                </c:pt>
                <c:pt idx="1">
                  <c:v>1.0869825982032193E-2</c:v>
                </c:pt>
                <c:pt idx="2">
                  <c:v>1.1344091423781007E-2</c:v>
                </c:pt>
                <c:pt idx="3">
                  <c:v>1.1484873818246508E-2</c:v>
                </c:pt>
                <c:pt idx="4">
                  <c:v>1.1343327721716881E-2</c:v>
                </c:pt>
                <c:pt idx="5">
                  <c:v>1.0978106060139997E-2</c:v>
                </c:pt>
                <c:pt idx="6">
                  <c:v>1.0447330574272131E-2</c:v>
                </c:pt>
                <c:pt idx="7">
                  <c:v>9.8037554378220954E-3</c:v>
                </c:pt>
                <c:pt idx="8">
                  <c:v>9.092361475410371E-3</c:v>
                </c:pt>
                <c:pt idx="9">
                  <c:v>8.3496184427614972E-3</c:v>
                </c:pt>
                <c:pt idx="10">
                  <c:v>7.603783522576131E-3</c:v>
                </c:pt>
                <c:pt idx="11">
                  <c:v>6.8757669831697628E-3</c:v>
                </c:pt>
                <c:pt idx="12">
                  <c:v>6.1802445927498402E-3</c:v>
                </c:pt>
                <c:pt idx="13">
                  <c:v>5.5268144202571534E-3</c:v>
                </c:pt>
                <c:pt idx="14">
                  <c:v>4.9210815203458436E-3</c:v>
                </c:pt>
                <c:pt idx="15">
                  <c:v>4.3656123603575472E-3</c:v>
                </c:pt>
                <c:pt idx="16">
                  <c:v>3.8607380733035749E-3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AD0-4CA7-97AF-3692F348A093}"/>
            </c:ext>
          </c:extLst>
        </c:ser>
        <c:ser>
          <c:idx val="11"/>
          <c:order val="11"/>
          <c:tx>
            <c:v>3</c:v>
          </c:tx>
          <c:cat>
            <c:numRef>
              <c:f>first_part_gamma!$Y$5:$Y$21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first_part_gamma!$AL$5:$AL$21</c:f>
              <c:numCache>
                <c:formatCode>General</c:formatCode>
                <c:ptCount val="17"/>
                <c:pt idx="0">
                  <c:v>1.025398028665004E-2</c:v>
                </c:pt>
                <c:pt idx="1">
                  <c:v>1.0363399155444456E-2</c:v>
                </c:pt>
                <c:pt idx="2">
                  <c:v>1.0246666696571999E-2</c:v>
                </c:pt>
                <c:pt idx="3">
                  <c:v>9.9554811818721202E-3</c:v>
                </c:pt>
                <c:pt idx="4">
                  <c:v>9.5371649510801234E-3</c:v>
                </c:pt>
                <c:pt idx="5">
                  <c:v>9.0324238181826739E-3</c:v>
                </c:pt>
                <c:pt idx="6">
                  <c:v>8.4747143075524275E-3</c:v>
                </c:pt>
                <c:pt idx="7">
                  <c:v>7.8905317151781781E-3</c:v>
                </c:pt>
                <c:pt idx="8">
                  <c:v>7.3001620980094519E-3</c:v>
                </c:pt>
                <c:pt idx="9">
                  <c:v>6.7186139847336453E-3</c:v>
                </c:pt>
                <c:pt idx="10">
                  <c:v>6.1565649557768741E-3</c:v>
                </c:pt>
                <c:pt idx="11">
                  <c:v>5.6212360131347814E-3</c:v>
                </c:pt>
                <c:pt idx="12">
                  <c:v>5.1171548019673802E-3</c:v>
                </c:pt>
                <c:pt idx="13">
                  <c:v>4.6467969605679992E-3</c:v>
                </c:pt>
                <c:pt idx="14">
                  <c:v>4.2111102732515695E-3</c:v>
                </c:pt>
                <c:pt idx="15">
                  <c:v>3.8099337821083405E-3</c:v>
                </c:pt>
                <c:pt idx="16">
                  <c:v>3.4423268142812504E-3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AD0-4CA7-97AF-3692F348A093}"/>
            </c:ext>
          </c:extLst>
        </c:ser>
        <c:ser>
          <c:idx val="12"/>
          <c:order val="12"/>
          <c:tx>
            <c:v>4</c:v>
          </c:tx>
          <c:cat>
            <c:numRef>
              <c:f>first_part_gamma!$Y$5:$Y$21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first_part_gamma!$AM$5:$AM$21</c:f>
              <c:numCache>
                <c:formatCode>General</c:formatCode>
                <c:ptCount val="17"/>
                <c:pt idx="0">
                  <c:v>9.8534950455954461E-3</c:v>
                </c:pt>
                <c:pt idx="1">
                  <c:v>9.6171460019162294E-3</c:v>
                </c:pt>
                <c:pt idx="2">
                  <c:v>9.2553580000514068E-3</c:v>
                </c:pt>
                <c:pt idx="3">
                  <c:v>8.8091587418353094E-3</c:v>
                </c:pt>
                <c:pt idx="4">
                  <c:v>8.3111834375704362E-3</c:v>
                </c:pt>
                <c:pt idx="5">
                  <c:v>7.7865829825335157E-3</c:v>
                </c:pt>
                <c:pt idx="6">
                  <c:v>7.2541928646975579E-3</c:v>
                </c:pt>
                <c:pt idx="7">
                  <c:v>6.727711143982254E-3</c:v>
                </c:pt>
                <c:pt idx="8">
                  <c:v>6.2167667801221425E-3</c:v>
                </c:pt>
                <c:pt idx="9">
                  <c:v>5.7278335105389287E-3</c:v>
                </c:pt>
                <c:pt idx="10">
                  <c:v>5.2649832426331956E-3</c:v>
                </c:pt>
                <c:pt idx="11">
                  <c:v>4.8304914892427558E-3</c:v>
                </c:pt>
                <c:pt idx="12">
                  <c:v>4.4253147744497462E-3</c:v>
                </c:pt>
                <c:pt idx="13">
                  <c:v>4.0494614630788676E-3</c:v>
                </c:pt>
                <c:pt idx="14">
                  <c:v>3.7022761379487913E-3</c:v>
                </c:pt>
                <c:pt idx="15">
                  <c:v>3.3826551294348179E-3</c:v>
                </c:pt>
                <c:pt idx="16">
                  <c:v>3.0892079723303248E-3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AD0-4CA7-97AF-3692F348A093}"/>
            </c:ext>
          </c:extLst>
        </c:ser>
        <c:ser>
          <c:idx val="13"/>
          <c:order val="13"/>
          <c:tx>
            <c:v>5</c:v>
          </c:tx>
          <c:cat>
            <c:numRef>
              <c:f>first_part_gamma!$Y$5:$Y$21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first_part_gamma!$AN$5:$AN$21</c:f>
              <c:numCache>
                <c:formatCode>General</c:formatCode>
                <c:ptCount val="17"/>
                <c:pt idx="0">
                  <c:v>9.3178601442685666E-3</c:v>
                </c:pt>
                <c:pt idx="1">
                  <c:v>8.9059405124312912E-3</c:v>
                </c:pt>
                <c:pt idx="2">
                  <c:v>8.4330908674948215E-3</c:v>
                </c:pt>
                <c:pt idx="3">
                  <c:v>7.9280236081079453E-3</c:v>
                </c:pt>
                <c:pt idx="4">
                  <c:v>7.4116721863495584E-3</c:v>
                </c:pt>
                <c:pt idx="5">
                  <c:v>6.8988971767481684E-3</c:v>
                </c:pt>
                <c:pt idx="6">
                  <c:v>6.399922384282445E-3</c:v>
                </c:pt>
                <c:pt idx="7">
                  <c:v>5.9214922774464777E-3</c:v>
                </c:pt>
                <c:pt idx="8">
                  <c:v>5.4677797056007201E-3</c:v>
                </c:pt>
                <c:pt idx="9">
                  <c:v>5.0410846970877594E-3</c:v>
                </c:pt>
                <c:pt idx="10">
                  <c:v>4.6423651796185005E-3</c:v>
                </c:pt>
                <c:pt idx="11">
                  <c:v>4.2716357498546308E-3</c:v>
                </c:pt>
                <c:pt idx="12">
                  <c:v>3.928264530213923E-3</c:v>
                </c:pt>
                <c:pt idx="13">
                  <c:v>3.6111922111984628E-3</c:v>
                </c:pt>
                <c:pt idx="14">
                  <c:v>3.3190921842812561E-3</c:v>
                </c:pt>
                <c:pt idx="15">
                  <c:v>3.0504863785204566E-3</c:v>
                </c:pt>
                <c:pt idx="16">
                  <c:v>2.8038279821686937E-3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AD0-4CA7-97AF-3692F348A093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3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5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8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9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1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4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</c:bandFmts>
        <c:axId val="541722992"/>
        <c:axId val="541723824"/>
        <c:axId val="923546288"/>
      </c:surface3DChart>
      <c:catAx>
        <c:axId val="541722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>
                    <a:solidFill>
                      <a:schemeClr val="bg1"/>
                    </a:solidFill>
                  </a:rPr>
                  <a:t>Stock 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723824"/>
        <c:crosses val="autoZero"/>
        <c:auto val="1"/>
        <c:lblAlgn val="ctr"/>
        <c:lblOffset val="100"/>
        <c:noMultiLvlLbl val="0"/>
      </c:catAx>
      <c:valAx>
        <c:axId val="541723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>
                    <a:solidFill>
                      <a:schemeClr val="bg1"/>
                    </a:solidFill>
                  </a:rPr>
                  <a:t>Gammma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722992"/>
        <c:crosses val="autoZero"/>
        <c:crossBetween val="midCat"/>
      </c:valAx>
      <c:serAx>
        <c:axId val="923546288"/>
        <c:scaling>
          <c:orientation val="minMax"/>
        </c:scaling>
        <c:delete val="0"/>
        <c:axPos val="b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>
                    <a:solidFill>
                      <a:schemeClr val="bg1"/>
                    </a:solidFill>
                  </a:rPr>
                  <a:t>maturity</a:t>
                </a:r>
              </a:p>
            </c:rich>
          </c:tx>
          <c:overlay val="0"/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723824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Gamma ( Volatility = 0.1)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0"/>
      <c:rotY val="20"/>
      <c:depthPercent val="250"/>
      <c:rAngAx val="0"/>
      <c:perspective val="2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v>0.1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first_part_gamma!$Y$32:$Y$48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first_part_gamma!$AA$32:$AA$48</c:f>
              <c:numCache>
                <c:formatCode>General</c:formatCode>
                <c:ptCount val="17"/>
                <c:pt idx="0">
                  <c:v>9.8181668070309793E-58</c:v>
                </c:pt>
                <c:pt idx="1">
                  <c:v>1.867554133449226E-41</c:v>
                </c:pt>
                <c:pt idx="2">
                  <c:v>7.2920970083606921E-29</c:v>
                </c:pt>
                <c:pt idx="3">
                  <c:v>2.7634460319906583E-19</c:v>
                </c:pt>
                <c:pt idx="4">
                  <c:v>3.3905822708430664E-12</c:v>
                </c:pt>
                <c:pt idx="5">
                  <c:v>3.4793158250122268E-7</c:v>
                </c:pt>
                <c:pt idx="6">
                  <c:v>6.3723381042931433E-4</c:v>
                </c:pt>
                <c:pt idx="7">
                  <c:v>3.8441261874572009E-2</c:v>
                </c:pt>
                <c:pt idx="8">
                  <c:v>0.12601477970020517</c:v>
                </c:pt>
                <c:pt idx="9">
                  <c:v>3.3926069444668298E-2</c:v>
                </c:pt>
                <c:pt idx="10">
                  <c:v>1.0577125055269182E-3</c:v>
                </c:pt>
                <c:pt idx="11">
                  <c:v>5.0939285700327113E-6</c:v>
                </c:pt>
                <c:pt idx="12">
                  <c:v>4.8333065983836828E-9</c:v>
                </c:pt>
                <c:pt idx="13">
                  <c:v>1.1110259985098475E-12</c:v>
                </c:pt>
                <c:pt idx="14">
                  <c:v>7.382971539826821E-17</c:v>
                </c:pt>
                <c:pt idx="15">
                  <c:v>1.6508431991277696E-21</c:v>
                </c:pt>
                <c:pt idx="16">
                  <c:v>1.4160803501951785E-26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631-A969-5EB93AF19171}"/>
            </c:ext>
          </c:extLst>
        </c:ser>
        <c:ser>
          <c:idx val="1"/>
          <c:order val="1"/>
          <c:tx>
            <c:v>0.2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first_part_gamma!$Y$32:$Y$48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first_part_gamma!$AB$32:$AB$48</c:f>
              <c:numCache>
                <c:formatCode>General</c:formatCode>
                <c:ptCount val="17"/>
                <c:pt idx="0">
                  <c:v>1.4877614568192042E-29</c:v>
                </c:pt>
                <c:pt idx="1">
                  <c:v>1.8565304082520428E-21</c:v>
                </c:pt>
                <c:pt idx="2">
                  <c:v>3.3439581371571196E-15</c:v>
                </c:pt>
                <c:pt idx="3">
                  <c:v>1.8884525527510619E-10</c:v>
                </c:pt>
                <c:pt idx="4">
                  <c:v>6.1021351588952594E-7</c:v>
                </c:pt>
                <c:pt idx="5">
                  <c:v>1.8120927891742718E-4</c:v>
                </c:pt>
                <c:pt idx="6">
                  <c:v>7.2202698909513228E-3</c:v>
                </c:pt>
                <c:pt idx="7">
                  <c:v>5.2414503254015789E-2</c:v>
                </c:pt>
                <c:pt idx="8">
                  <c:v>8.900571747852265E-2</c:v>
                </c:pt>
                <c:pt idx="9">
                  <c:v>4.3449753071981678E-2</c:v>
                </c:pt>
                <c:pt idx="10">
                  <c:v>7.2385257929532482E-3</c:v>
                </c:pt>
                <c:pt idx="11">
                  <c:v>4.751834300064429E-4</c:v>
                </c:pt>
                <c:pt idx="12">
                  <c:v>1.3878827508435486E-5</c:v>
                </c:pt>
                <c:pt idx="13">
                  <c:v>1.9995476488667826E-7</c:v>
                </c:pt>
                <c:pt idx="14">
                  <c:v>1.5520066218442012E-9</c:v>
                </c:pt>
                <c:pt idx="15">
                  <c:v>7.0007225305255789E-12</c:v>
                </c:pt>
                <c:pt idx="16">
                  <c:v>1.9592554647687471E-14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234-4631-A969-5EB93AF19171}"/>
            </c:ext>
          </c:extLst>
        </c:ser>
        <c:ser>
          <c:idx val="2"/>
          <c:order val="2"/>
          <c:tx>
            <c:v>0.3</c:v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first_part_gamma!$Y$32:$Y$48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first_part_gamma!$AC$32:$AC$48</c:f>
              <c:numCache>
                <c:formatCode>General</c:formatCode>
                <c:ptCount val="17"/>
                <c:pt idx="0">
                  <c:v>3.3715886606540406E-20</c:v>
                </c:pt>
                <c:pt idx="1">
                  <c:v>7.8761142092032735E-15</c:v>
                </c:pt>
                <c:pt idx="2">
                  <c:v>1.0961347486332762E-10</c:v>
                </c:pt>
                <c:pt idx="3">
                  <c:v>1.5233209793360453E-7</c:v>
                </c:pt>
                <c:pt idx="4">
                  <c:v>3.155135271549592E-5</c:v>
                </c:pt>
                <c:pt idx="5">
                  <c:v>1.3351896003566922E-3</c:v>
                </c:pt>
                <c:pt idx="6">
                  <c:v>1.4851555899595277E-2</c:v>
                </c:pt>
                <c:pt idx="7">
                  <c:v>5.3227540948401569E-2</c:v>
                </c:pt>
                <c:pt idx="8">
                  <c:v>7.2591153003284115E-2</c:v>
                </c:pt>
                <c:pt idx="9">
                  <c:v>4.3212117686085329E-2</c:v>
                </c:pt>
                <c:pt idx="10">
                  <c:v>1.2585716288856257E-2</c:v>
                </c:pt>
                <c:pt idx="11">
                  <c:v>1.9736239926009679E-3</c:v>
                </c:pt>
                <c:pt idx="12">
                  <c:v>1.8065746203269184E-4</c:v>
                </c:pt>
                <c:pt idx="13">
                  <c:v>1.0338747257813658E-5</c:v>
                </c:pt>
                <c:pt idx="14">
                  <c:v>3.9226661156427296E-7</c:v>
                </c:pt>
                <c:pt idx="15">
                  <c:v>1.037740725194923E-8</c:v>
                </c:pt>
                <c:pt idx="16">
                  <c:v>1.9993666289338756E-10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234-4631-A969-5EB93AF19171}"/>
            </c:ext>
          </c:extLst>
        </c:ser>
        <c:ser>
          <c:idx val="3"/>
          <c:order val="3"/>
          <c:tx>
            <c:v>0.4</c:v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first_part_gamma!$Y$32:$Y$48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first_part_gamma!$AD$32:$AD$48</c:f>
              <c:numCache>
                <c:formatCode>General</c:formatCode>
                <c:ptCount val="17"/>
                <c:pt idx="0">
                  <c:v>1.5374265651823462E-15</c:v>
                </c:pt>
                <c:pt idx="1">
                  <c:v>1.5539109604002787E-11</c:v>
                </c:pt>
                <c:pt idx="2">
                  <c:v>1.9009673521623235E-8</c:v>
                </c:pt>
                <c:pt idx="3">
                  <c:v>4.1442242901485517E-6</c:v>
                </c:pt>
                <c:pt idx="4">
                  <c:v>2.1731776002153873E-4</c:v>
                </c:pt>
                <c:pt idx="5">
                  <c:v>3.4716293491663338E-3</c:v>
                </c:pt>
                <c:pt idx="6">
                  <c:v>2.0402828136932075E-2</c:v>
                </c:pt>
                <c:pt idx="7">
                  <c:v>5.1379281037838447E-2</c:v>
                </c:pt>
                <c:pt idx="8">
                  <c:v>6.2795098352771264E-2</c:v>
                </c:pt>
                <c:pt idx="9">
                  <c:v>4.1278492158452369E-2</c:v>
                </c:pt>
                <c:pt idx="10">
                  <c:v>1.5896481134192911E-2</c:v>
                </c:pt>
                <c:pt idx="11">
                  <c:v>3.8527882067153165E-3</c:v>
                </c:pt>
                <c:pt idx="12">
                  <c:v>6.2433347878451597E-4</c:v>
                </c:pt>
                <c:pt idx="13">
                  <c:v>7.1210683603857566E-5</c:v>
                </c:pt>
                <c:pt idx="14">
                  <c:v>5.9735759091088035E-6</c:v>
                </c:pt>
                <c:pt idx="15">
                  <c:v>3.8271106091862608E-7</c:v>
                </c:pt>
                <c:pt idx="16">
                  <c:v>1.9346494359707462E-8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234-4631-A969-5EB93AF19171}"/>
            </c:ext>
          </c:extLst>
        </c:ser>
        <c:ser>
          <c:idx val="4"/>
          <c:order val="4"/>
          <c:tx>
            <c:v>0.5</c:v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first_part_gamma!$Y$32:$Y$48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first_part_gamma!$AE$32:$AE$48</c:f>
              <c:numCache>
                <c:formatCode>General</c:formatCode>
                <c:ptCount val="17"/>
                <c:pt idx="0">
                  <c:v>9.3540877738932821E-13</c:v>
                </c:pt>
                <c:pt idx="1">
                  <c:v>1.4365666725428593E-9</c:v>
                </c:pt>
                <c:pt idx="2">
                  <c:v>4.0857545005606393E-7</c:v>
                </c:pt>
                <c:pt idx="3">
                  <c:v>2.9313355232607553E-5</c:v>
                </c:pt>
                <c:pt idx="4">
                  <c:v>6.7417515498728662E-4</c:v>
                </c:pt>
                <c:pt idx="5">
                  <c:v>6.0028678035568004E-3</c:v>
                </c:pt>
                <c:pt idx="6">
                  <c:v>2.4058724750173604E-2</c:v>
                </c:pt>
                <c:pt idx="7">
                  <c:v>4.9024161779533067E-2</c:v>
                </c:pt>
                <c:pt idx="8">
                  <c:v>5.6102492608372502E-2</c:v>
                </c:pt>
                <c:pt idx="9">
                  <c:v>3.9140464152421513E-2</c:v>
                </c:pt>
                <c:pt idx="10">
                  <c:v>1.7823213843019738E-2</c:v>
                </c:pt>
                <c:pt idx="11">
                  <c:v>5.6093527215653792E-3</c:v>
                </c:pt>
                <c:pt idx="12">
                  <c:v>1.2805137235044073E-3</c:v>
                </c:pt>
                <c:pt idx="13">
                  <c:v>2.2091371478623331E-4</c:v>
                </c:pt>
                <c:pt idx="14">
                  <c:v>2.9830284442140869E-5</c:v>
                </c:pt>
                <c:pt idx="15">
                  <c:v>3.2491629195180632E-6</c:v>
                </c:pt>
                <c:pt idx="16">
                  <c:v>2.9299443269233372E-7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234-4631-A969-5EB93AF19171}"/>
            </c:ext>
          </c:extLst>
        </c:ser>
        <c:ser>
          <c:idx val="5"/>
          <c:order val="5"/>
          <c:tx>
            <c:v>0.6</c:v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first_part_gamma!$Y$32:$Y$48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first_part_gamma!$AF$32:$AF$48</c:f>
              <c:numCache>
                <c:formatCode>General</c:formatCode>
                <c:ptCount val="17"/>
                <c:pt idx="0">
                  <c:v>6.6022100125859387E-11</c:v>
                </c:pt>
                <c:pt idx="1">
                  <c:v>2.8871903156587544E-8</c:v>
                </c:pt>
                <c:pt idx="2">
                  <c:v>3.1047063387496907E-6</c:v>
                </c:pt>
                <c:pt idx="3">
                  <c:v>1.0617694808839046E-4</c:v>
                </c:pt>
                <c:pt idx="4">
                  <c:v>1.4096380488958426E-3</c:v>
                </c:pt>
                <c:pt idx="5">
                  <c:v>8.5007827825346483E-3</c:v>
                </c:pt>
                <c:pt idx="6">
                  <c:v>2.6396354113062123E-2</c:v>
                </c:pt>
                <c:pt idx="7">
                  <c:v>4.6706228570157653E-2</c:v>
                </c:pt>
                <c:pt idx="8">
                  <c:v>5.1156750826999192E-2</c:v>
                </c:pt>
                <c:pt idx="9">
                  <c:v>3.7134472308525492E-2</c:v>
                </c:pt>
                <c:pt idx="10">
                  <c:v>1.8908593172743498E-2</c:v>
                </c:pt>
                <c:pt idx="11">
                  <c:v>7.0830615084530833E-3</c:v>
                </c:pt>
                <c:pt idx="12">
                  <c:v>2.0319475824949751E-3</c:v>
                </c:pt>
                <c:pt idx="13">
                  <c:v>4.6191019586218834E-4</c:v>
                </c:pt>
                <c:pt idx="14">
                  <c:v>8.5668780985105099E-5</c:v>
                </c:pt>
                <c:pt idx="15">
                  <c:v>1.3291938562945936E-5</c:v>
                </c:pt>
                <c:pt idx="16">
                  <c:v>1.7629795738939588E-6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234-4631-A969-5EB93AF19171}"/>
            </c:ext>
          </c:extLst>
        </c:ser>
        <c:ser>
          <c:idx val="6"/>
          <c:order val="6"/>
          <c:tx>
            <c:v>0.7</c:v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first_part_gamma!$Y$32:$Y$48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first_part_gamma!$AG$32:$AG$48</c:f>
              <c:numCache>
                <c:formatCode>General</c:formatCode>
                <c:ptCount val="17"/>
                <c:pt idx="0">
                  <c:v>1.3641015888556874E-9</c:v>
                </c:pt>
                <c:pt idx="1">
                  <c:v>2.4319945667214557E-7</c:v>
                </c:pt>
                <c:pt idx="2">
                  <c:v>1.3055468334454289E-5</c:v>
                </c:pt>
                <c:pt idx="3">
                  <c:v>2.630006185665992E-4</c:v>
                </c:pt>
                <c:pt idx="4">
                  <c:v>2.3582196949555514E-3</c:v>
                </c:pt>
                <c:pt idx="5">
                  <c:v>1.0765981199439559E-2</c:v>
                </c:pt>
                <c:pt idx="6">
                  <c:v>2.7859621858699932E-2</c:v>
                </c:pt>
                <c:pt idx="7">
                  <c:v>4.4567221413124178E-2</c:v>
                </c:pt>
                <c:pt idx="8">
                  <c:v>4.7308695923014683E-2</c:v>
                </c:pt>
                <c:pt idx="9">
                  <c:v>3.5328302741473985E-2</c:v>
                </c:pt>
                <c:pt idx="10">
                  <c:v>1.9483332622964505E-2</c:v>
                </c:pt>
                <c:pt idx="11">
                  <c:v>8.2651375479295131E-3</c:v>
                </c:pt>
                <c:pt idx="12">
                  <c:v>2.7913416838140047E-3</c:v>
                </c:pt>
                <c:pt idx="13">
                  <c:v>7.7274142964303314E-4</c:v>
                </c:pt>
                <c:pt idx="14">
                  <c:v>1.7978334895153025E-4</c:v>
                </c:pt>
                <c:pt idx="15">
                  <c:v>3.591421503332701E-5</c:v>
                </c:pt>
                <c:pt idx="16">
                  <c:v>6.2750755529855403E-6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234-4631-A969-5EB93AF19171}"/>
            </c:ext>
          </c:extLst>
        </c:ser>
        <c:ser>
          <c:idx val="7"/>
          <c:order val="7"/>
          <c:tx>
            <c:v>0.8</c:v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first_part_gamma!$Y$32:$Y$48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first_part_gamma!$AH$32:$AH$48</c:f>
              <c:numCache>
                <c:formatCode>General</c:formatCode>
                <c:ptCount val="17"/>
                <c:pt idx="0">
                  <c:v>1.309790020055326E-8</c:v>
                </c:pt>
                <c:pt idx="1">
                  <c:v>1.191420089105155E-6</c:v>
                </c:pt>
                <c:pt idx="2">
                  <c:v>3.7984667450688666E-5</c:v>
                </c:pt>
                <c:pt idx="3">
                  <c:v>5.1450381124671068E-4</c:v>
                </c:pt>
                <c:pt idx="4">
                  <c:v>3.4369932223750686E-3</c:v>
                </c:pt>
                <c:pt idx="5">
                  <c:v>1.2734636942227625E-2</c:v>
                </c:pt>
                <c:pt idx="6">
                  <c:v>2.8743231871235127E-2</c:v>
                </c:pt>
                <c:pt idx="7">
                  <c:v>4.2631739576590874E-2</c:v>
                </c:pt>
                <c:pt idx="8">
                  <c:v>4.4203475996246966E-2</c:v>
                </c:pt>
                <c:pt idx="9">
                  <c:v>3.3718545937390321E-2</c:v>
                </c:pt>
                <c:pt idx="10">
                  <c:v>1.9742547542846399E-2</c:v>
                </c:pt>
                <c:pt idx="11">
                  <c:v>9.19409140342148E-3</c:v>
                </c:pt>
                <c:pt idx="12">
                  <c:v>3.5093388466936421E-3</c:v>
                </c:pt>
                <c:pt idx="13">
                  <c:v>1.1262339391078598E-3</c:v>
                </c:pt>
                <c:pt idx="14">
                  <c:v>3.1058576900406615E-4</c:v>
                </c:pt>
                <c:pt idx="15">
                  <c:v>7.4991466396696723E-5</c:v>
                </c:pt>
                <c:pt idx="16">
                  <c:v>1.6111450652008537E-5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234-4631-A969-5EB93AF19171}"/>
            </c:ext>
          </c:extLst>
        </c:ser>
        <c:ser>
          <c:idx val="8"/>
          <c:order val="8"/>
          <c:tx>
            <c:v>0.9</c:v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first_part_gamma!$Y$32:$Y$48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first_part_gamma!$AI$32:$AI$48</c:f>
              <c:numCache>
                <c:formatCode>General</c:formatCode>
                <c:ptCount val="17"/>
                <c:pt idx="0">
                  <c:v>7.5530633187758507E-8</c:v>
                </c:pt>
                <c:pt idx="1">
                  <c:v>4.070790527191798E-6</c:v>
                </c:pt>
                <c:pt idx="2">
                  <c:v>8.6540937665519212E-5</c:v>
                </c:pt>
                <c:pt idx="3">
                  <c:v>8.6084583659867776E-4</c:v>
                </c:pt>
                <c:pt idx="4">
                  <c:v>4.5738968285542487E-3</c:v>
                </c:pt>
                <c:pt idx="5">
                  <c:v>1.4407206646598534E-2</c:v>
                </c:pt>
                <c:pt idx="6">
                  <c:v>2.92381675347584E-2</c:v>
                </c:pt>
                <c:pt idx="7">
                  <c:v>4.0888684659269078E-2</c:v>
                </c:pt>
                <c:pt idx="8">
                  <c:v>4.1628578335024279E-2</c:v>
                </c:pt>
                <c:pt idx="9">
                  <c:v>3.2283704705699037E-2</c:v>
                </c:pt>
                <c:pt idx="10">
                  <c:v>1.9803191408745976E-2</c:v>
                </c:pt>
                <c:pt idx="11">
                  <c:v>9.9164315716425769E-3</c:v>
                </c:pt>
                <c:pt idx="12">
                  <c:v>4.1630686520652081E-3</c:v>
                </c:pt>
                <c:pt idx="13">
                  <c:v>1.4987745127806541E-3</c:v>
                </c:pt>
                <c:pt idx="14">
                  <c:v>4.7175720539731353E-4</c:v>
                </c:pt>
                <c:pt idx="15">
                  <c:v>1.3199891273585568E-4</c:v>
                </c:pt>
                <c:pt idx="16">
                  <c:v>3.3305383198972798E-5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234-4631-A969-5EB93AF19171}"/>
            </c:ext>
          </c:extLst>
        </c:ser>
        <c:ser>
          <c:idx val="9"/>
          <c:order val="9"/>
          <c:tx>
            <c:v>1</c:v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first_part_gamma!$Y$32:$Y$48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first_part_gamma!$AJ$32:$AJ$48</c:f>
              <c:numCache>
                <c:formatCode>General</c:formatCode>
                <c:ptCount val="17"/>
                <c:pt idx="0">
                  <c:v>3.0503159925846777E-7</c:v>
                </c:pt>
                <c:pt idx="1">
                  <c:v>1.0815693509621757E-5</c:v>
                </c:pt>
                <c:pt idx="2">
                  <c:v>1.6626343859570762E-4</c:v>
                </c:pt>
                <c:pt idx="3">
                  <c:v>1.2919311227899846E-3</c:v>
                </c:pt>
                <c:pt idx="4">
                  <c:v>5.7155372876400061E-3</c:v>
                </c:pt>
                <c:pt idx="5">
                  <c:v>1.5810256172317044E-2</c:v>
                </c:pt>
                <c:pt idx="6">
                  <c:v>2.9469063817634214E-2</c:v>
                </c:pt>
                <c:pt idx="7">
                  <c:v>3.9317306319057527E-2</c:v>
                </c:pt>
                <c:pt idx="8">
                  <c:v>3.9447933090788895E-2</c:v>
                </c:pt>
                <c:pt idx="9">
                  <c:v>3.0999845988993836E-2</c:v>
                </c:pt>
                <c:pt idx="10">
                  <c:v>1.9737190221859435E-2</c:v>
                </c:pt>
                <c:pt idx="11">
                  <c:v>1.0474112849205517E-2</c:v>
                </c:pt>
                <c:pt idx="12">
                  <c:v>4.7451367772989453E-3</c:v>
                </c:pt>
                <c:pt idx="13">
                  <c:v>1.8728672584138741E-3</c:v>
                </c:pt>
                <c:pt idx="14">
                  <c:v>6.5528870342850616E-4</c:v>
                </c:pt>
                <c:pt idx="15">
                  <c:v>2.0630117799149032E-4</c:v>
                </c:pt>
                <c:pt idx="16">
                  <c:v>5.9197424706742854E-5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234-4631-A969-5EB93AF19171}"/>
            </c:ext>
          </c:extLst>
        </c:ser>
        <c:ser>
          <c:idx val="10"/>
          <c:order val="10"/>
          <c:tx>
            <c:v>2</c:v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first_part_gamma!$Y$32:$Y$48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first_part_gamma!$AK$32:$AK$48</c:f>
              <c:numCache>
                <c:formatCode>General</c:formatCode>
                <c:ptCount val="17"/>
                <c:pt idx="0">
                  <c:v>1.4524281869372614E-4</c:v>
                </c:pt>
                <c:pt idx="1">
                  <c:v>7.8252244975754123E-4</c:v>
                </c:pt>
                <c:pt idx="2">
                  <c:v>2.7966437332461501E-3</c:v>
                </c:pt>
                <c:pt idx="3">
                  <c:v>7.1516197776597054E-3</c:v>
                </c:pt>
                <c:pt idx="4">
                  <c:v>1.3876417664915321E-2</c:v>
                </c:pt>
                <c:pt idx="5">
                  <c:v>2.1394744871527756E-2</c:v>
                </c:pt>
                <c:pt idx="6">
                  <c:v>2.7195143108108635E-2</c:v>
                </c:pt>
                <c:pt idx="7">
                  <c:v>2.9359502161316497E-2</c:v>
                </c:pt>
                <c:pt idx="8">
                  <c:v>2.7581853166270594E-2</c:v>
                </c:pt>
                <c:pt idx="9">
                  <c:v>2.3004058320651034E-2</c:v>
                </c:pt>
                <c:pt idx="10">
                  <c:v>1.7318613598151577E-2</c:v>
                </c:pt>
                <c:pt idx="11">
                  <c:v>1.193431892911874E-2</c:v>
                </c:pt>
                <c:pt idx="12">
                  <c:v>7.6165645282489083E-3</c:v>
                </c:pt>
                <c:pt idx="13">
                  <c:v>4.5470245404394486E-3</c:v>
                </c:pt>
                <c:pt idx="14">
                  <c:v>2.5609344709387875E-3</c:v>
                </c:pt>
                <c:pt idx="15">
                  <c:v>1.3707080362701774E-3</c:v>
                </c:pt>
                <c:pt idx="16">
                  <c:v>7.016211594893701E-4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234-4631-A969-5EB93AF19171}"/>
            </c:ext>
          </c:extLst>
        </c:ser>
        <c:ser>
          <c:idx val="11"/>
          <c:order val="11"/>
          <c:tx>
            <c:v>3</c:v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first_part_gamma!$Y$32:$Y$48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first_part_gamma!$AL$32:$AL$48</c:f>
              <c:numCache>
                <c:formatCode>General</c:formatCode>
                <c:ptCount val="17"/>
                <c:pt idx="0">
                  <c:v>1.0316841901525141E-3</c:v>
                </c:pt>
                <c:pt idx="1">
                  <c:v>2.966058949873731E-3</c:v>
                </c:pt>
                <c:pt idx="2">
                  <c:v>6.5180762218454997E-3</c:v>
                </c:pt>
                <c:pt idx="3">
                  <c:v>1.150786954283289E-2</c:v>
                </c:pt>
                <c:pt idx="4">
                  <c:v>1.6964964604488354E-2</c:v>
                </c:pt>
                <c:pt idx="5">
                  <c:v>2.152609940586208E-2</c:v>
                </c:pt>
                <c:pt idx="6">
                  <c:v>2.4084363839664259E-2</c:v>
                </c:pt>
                <c:pt idx="7">
                  <c:v>2.4229204673908024E-2</c:v>
                </c:pt>
                <c:pt idx="8">
                  <c:v>2.226855310230557E-2</c:v>
                </c:pt>
                <c:pt idx="9">
                  <c:v>1.8944723118837964E-2</c:v>
                </c:pt>
                <c:pt idx="10">
                  <c:v>1.5081963394812057E-2</c:v>
                </c:pt>
                <c:pt idx="11">
                  <c:v>1.1338612960202372E-2</c:v>
                </c:pt>
                <c:pt idx="12">
                  <c:v>8.1120649104783824E-3</c:v>
                </c:pt>
                <c:pt idx="13">
                  <c:v>5.5590796015987437E-3</c:v>
                </c:pt>
                <c:pt idx="14">
                  <c:v>3.669350702524464E-3</c:v>
                </c:pt>
                <c:pt idx="15">
                  <c:v>2.3440212104340022E-3</c:v>
                </c:pt>
                <c:pt idx="16">
                  <c:v>1.4551400495073856E-3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234-4631-A969-5EB93AF19171}"/>
            </c:ext>
          </c:extLst>
        </c:ser>
        <c:ser>
          <c:idx val="12"/>
          <c:order val="12"/>
          <c:tx>
            <c:v>4</c:v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first_part_gamma!$Y$32:$Y$48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first_part_gamma!$AM$32:$AM$48</c:f>
              <c:numCache>
                <c:formatCode>General</c:formatCode>
                <c:ptCount val="17"/>
                <c:pt idx="0">
                  <c:v>2.6204952010288863E-3</c:v>
                </c:pt>
                <c:pt idx="1">
                  <c:v>5.5034091875470386E-3</c:v>
                </c:pt>
                <c:pt idx="2">
                  <c:v>9.4835539632301003E-3</c:v>
                </c:pt>
                <c:pt idx="3">
                  <c:v>1.3912357420204602E-2</c:v>
                </c:pt>
                <c:pt idx="4">
                  <c:v>1.7877273947675215E-2</c:v>
                </c:pt>
                <c:pt idx="5">
                  <c:v>2.0578086869191912E-2</c:v>
                </c:pt>
                <c:pt idx="6">
                  <c:v>2.1600690529166151E-2</c:v>
                </c:pt>
                <c:pt idx="7">
                  <c:v>2.0977075164115507E-2</c:v>
                </c:pt>
                <c:pt idx="8">
                  <c:v>1.9069390773026208E-2</c:v>
                </c:pt>
                <c:pt idx="9">
                  <c:v>1.6384783361470954E-2</c:v>
                </c:pt>
                <c:pt idx="10">
                  <c:v>1.3413459498534529E-2</c:v>
                </c:pt>
                <c:pt idx="11">
                  <c:v>1.053298866360371E-2</c:v>
                </c:pt>
                <c:pt idx="12">
                  <c:v>7.978625905498065E-3</c:v>
                </c:pt>
                <c:pt idx="13">
                  <c:v>5.8580251271742132E-3</c:v>
                </c:pt>
                <c:pt idx="14">
                  <c:v>4.1859606357164706E-3</c:v>
                </c:pt>
                <c:pt idx="15">
                  <c:v>2.9213283025393976E-3</c:v>
                </c:pt>
                <c:pt idx="16">
                  <c:v>1.9971762450752021E-3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234-4631-A969-5EB93AF19171}"/>
            </c:ext>
          </c:extLst>
        </c:ser>
        <c:ser>
          <c:idx val="13"/>
          <c:order val="13"/>
          <c:tx>
            <c:v>5</c:v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first_part_gamma!$Y$32:$Y$48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first_part_gamma!$AN$32:$AN$48</c:f>
              <c:numCache>
                <c:formatCode>General</c:formatCode>
                <c:ptCount val="17"/>
                <c:pt idx="0">
                  <c:v>4.4499754398238511E-3</c:v>
                </c:pt>
                <c:pt idx="1">
                  <c:v>7.7406121902881767E-3</c:v>
                </c:pt>
                <c:pt idx="2">
                  <c:v>1.1528012005023357E-2</c:v>
                </c:pt>
                <c:pt idx="3">
                  <c:v>1.5132702486471092E-2</c:v>
                </c:pt>
                <c:pt idx="4">
                  <c:v>1.7906989830010489E-2</c:v>
                </c:pt>
                <c:pt idx="5">
                  <c:v>1.9442006249843845E-2</c:v>
                </c:pt>
                <c:pt idx="6">
                  <c:v>1.9641714650531644E-2</c:v>
                </c:pt>
                <c:pt idx="7">
                  <c:v>1.8675003380643759E-2</c:v>
                </c:pt>
                <c:pt idx="8">
                  <c:v>1.6865374880276125E-2</c:v>
                </c:pt>
                <c:pt idx="9">
                  <c:v>1.4577547243302307E-2</c:v>
                </c:pt>
                <c:pt idx="10">
                  <c:v>1.2135644435772964E-2</c:v>
                </c:pt>
                <c:pt idx="11">
                  <c:v>9.7818031211006871E-3</c:v>
                </c:pt>
                <c:pt idx="12">
                  <c:v>7.6679346587994893E-3</c:v>
                </c:pt>
                <c:pt idx="13">
                  <c:v>5.8677624274978343E-3</c:v>
                </c:pt>
                <c:pt idx="14">
                  <c:v>4.3973494544828021E-3</c:v>
                </c:pt>
                <c:pt idx="15">
                  <c:v>3.2361150487909911E-3</c:v>
                </c:pt>
                <c:pt idx="16">
                  <c:v>2.3442052804045392E-3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234-4631-A969-5EB93AF19171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3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5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8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9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1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4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</c:bandFmts>
        <c:axId val="381592207"/>
        <c:axId val="381588879"/>
        <c:axId val="486801247"/>
      </c:surface3DChart>
      <c:catAx>
        <c:axId val="38159220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stock</a:t>
                </a:r>
                <a:r>
                  <a:rPr lang="en-US" baseline="0"/>
                  <a:t> price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588879"/>
        <c:crosses val="autoZero"/>
        <c:auto val="1"/>
        <c:lblAlgn val="ctr"/>
        <c:lblOffset val="100"/>
        <c:noMultiLvlLbl val="0"/>
      </c:catAx>
      <c:valAx>
        <c:axId val="381588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gamma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592207"/>
        <c:crosses val="autoZero"/>
        <c:crossBetween val="midCat"/>
      </c:valAx>
      <c:serAx>
        <c:axId val="486801247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maturity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588879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Theta (Volatility = 0.2)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0"/>
      <c:rotY val="20"/>
      <c:rAngAx val="0"/>
      <c:perspective val="8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v>0.1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first_part_theta!$G$5:$G$21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first_part_theta!$I$5:$I$21</c:f>
              <c:numCache>
                <c:formatCode>General</c:formatCode>
                <c:ptCount val="17"/>
                <c:pt idx="0">
                  <c:v>-2.066511058311062E-16</c:v>
                </c:pt>
                <c:pt idx="1">
                  <c:v>-2.6011491668502462E-12</c:v>
                </c:pt>
                <c:pt idx="2">
                  <c:v>-3.8979118376658971E-9</c:v>
                </c:pt>
                <c:pt idx="3">
                  <c:v>-1.0260620160406676E-6</c:v>
                </c:pt>
                <c:pt idx="4">
                  <c:v>-6.4144516804524036E-5</c:v>
                </c:pt>
                <c:pt idx="5">
                  <c:v>-1.2074739981059505E-3</c:v>
                </c:pt>
                <c:pt idx="6">
                  <c:v>-8.2690050019053694E-3</c:v>
                </c:pt>
                <c:pt idx="7">
                  <c:v>-2.3973076818506887E-2</c:v>
                </c:pt>
                <c:pt idx="8">
                  <c:v>-3.3173367079936102E-2</c:v>
                </c:pt>
                <c:pt idx="9">
                  <c:v>-2.383223905834371E-2</c:v>
                </c:pt>
                <c:pt idx="10">
                  <c:v>-8.8078461183024644E-3</c:v>
                </c:pt>
                <c:pt idx="11">
                  <c:v>-4.1262939438538944E-4</c:v>
                </c:pt>
                <c:pt idx="12">
                  <c:v>2.1645966900830415E-3</c:v>
                </c:pt>
                <c:pt idx="13">
                  <c:v>2.6640612540707854E-3</c:v>
                </c:pt>
                <c:pt idx="14">
                  <c:v>2.7301811418871643E-3</c:v>
                </c:pt>
                <c:pt idx="15">
                  <c:v>2.7365043100401076E-3</c:v>
                </c:pt>
                <c:pt idx="16">
                  <c:v>2.7369606837157794E-3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C3-44EA-850A-9AE6DAF1E7D3}"/>
            </c:ext>
          </c:extLst>
        </c:ser>
        <c:ser>
          <c:idx val="1"/>
          <c:order val="1"/>
          <c:tx>
            <c:v>0.2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first_part_theta!$G$5:$G$21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first_part_theta!$J$5:$J$21</c:f>
              <c:numCache>
                <c:formatCode>General</c:formatCode>
                <c:ptCount val="17"/>
                <c:pt idx="0">
                  <c:v>-1.7598718961492301E-9</c:v>
                </c:pt>
                <c:pt idx="1">
                  <c:v>-1.992357058237849E-7</c:v>
                </c:pt>
                <c:pt idx="2">
                  <c:v>-7.7747478547710122E-6</c:v>
                </c:pt>
                <c:pt idx="3">
                  <c:v>-1.2702818841167884E-4</c:v>
                </c:pt>
                <c:pt idx="4">
                  <c:v>-1.0102936364240448E-3</c:v>
                </c:pt>
                <c:pt idx="5">
                  <c:v>-4.4031768630862231E-3</c:v>
                </c:pt>
                <c:pt idx="6">
                  <c:v>-1.1553368713830581E-2</c:v>
                </c:pt>
                <c:pt idx="7">
                  <c:v>-1.9670362223235344E-2</c:v>
                </c:pt>
                <c:pt idx="8">
                  <c:v>-2.3042391243406655E-2</c:v>
                </c:pt>
                <c:pt idx="9">
                  <c:v>-1.9359217431514291E-2</c:v>
                </c:pt>
                <c:pt idx="10">
                  <c:v>-1.1826295500555216E-2</c:v>
                </c:pt>
                <c:pt idx="11">
                  <c:v>-4.8835701044258901E-3</c:v>
                </c:pt>
                <c:pt idx="12">
                  <c:v>-5.2188182581148666E-4</c:v>
                </c:pt>
                <c:pt idx="13">
                  <c:v>1.5682826585624932E-3</c:v>
                </c:pt>
                <c:pt idx="14">
                  <c:v>2.3767974083581645E-3</c:v>
                </c:pt>
                <c:pt idx="15">
                  <c:v>2.6386496439523587E-3</c:v>
                </c:pt>
                <c:pt idx="16">
                  <c:v>2.7115789648666211E-3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7C3-44EA-850A-9AE6DAF1E7D3}"/>
            </c:ext>
          </c:extLst>
        </c:ser>
        <c:ser>
          <c:idx val="2"/>
          <c:order val="2"/>
          <c:tx>
            <c:v>0.3</c:v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first_part_theta!$G$5:$G$21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first_part_theta!$K$5:$K$21</c:f>
              <c:numCache>
                <c:formatCode>General</c:formatCode>
                <c:ptCount val="17"/>
                <c:pt idx="0">
                  <c:v>-3.2833462792724949E-7</c:v>
                </c:pt>
                <c:pt idx="1">
                  <c:v>-7.727319958925261E-6</c:v>
                </c:pt>
                <c:pt idx="2">
                  <c:v>-8.9338638490647768E-5</c:v>
                </c:pt>
                <c:pt idx="3">
                  <c:v>-5.7762166326724533E-4</c:v>
                </c:pt>
                <c:pt idx="4">
                  <c:v>-2.3090252123569698E-3</c:v>
                </c:pt>
                <c:pt idx="5">
                  <c:v>-6.1746338212488499E-3</c:v>
                </c:pt>
                <c:pt idx="6">
                  <c:v>-1.1757067530058729E-2</c:v>
                </c:pt>
                <c:pt idx="7">
                  <c:v>-1.6748941905528867E-2</c:v>
                </c:pt>
                <c:pt idx="8">
                  <c:v>-1.8552066981106369E-2</c:v>
                </c:pt>
                <c:pt idx="9">
                  <c:v>-1.6422717431738766E-2</c:v>
                </c:pt>
                <c:pt idx="10">
                  <c:v>-1.176345996590113E-2</c:v>
                </c:pt>
                <c:pt idx="11">
                  <c:v>-6.6841737755640252E-3</c:v>
                </c:pt>
                <c:pt idx="12">
                  <c:v>-2.6176478416384081E-3</c:v>
                </c:pt>
                <c:pt idx="13">
                  <c:v>2.9693155843233946E-5</c:v>
                </c:pt>
                <c:pt idx="14">
                  <c:v>1.5007420548488425E-3</c:v>
                </c:pt>
                <c:pt idx="15">
                  <c:v>2.2195451185361131E-3</c:v>
                </c:pt>
                <c:pt idx="16">
                  <c:v>2.5349331761483945E-3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7C3-44EA-850A-9AE6DAF1E7D3}"/>
            </c:ext>
          </c:extLst>
        </c:ser>
        <c:ser>
          <c:idx val="3"/>
          <c:order val="3"/>
          <c:tx>
            <c:v>0.4</c:v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first_part_theta!$G$5:$G$21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first_part_theta!$L$5:$L$21</c:f>
              <c:numCache>
                <c:formatCode>General</c:formatCode>
                <c:ptCount val="17"/>
                <c:pt idx="0">
                  <c:v>-4.2883062760824116E-6</c:v>
                </c:pt>
                <c:pt idx="1">
                  <c:v>-4.6004848790606487E-5</c:v>
                </c:pt>
                <c:pt idx="2">
                  <c:v>-2.8942377704799352E-4</c:v>
                </c:pt>
                <c:pt idx="3">
                  <c:v>-1.1767585433733996E-3</c:v>
                </c:pt>
                <c:pt idx="4">
                  <c:v>-3.3336754836960285E-3</c:v>
                </c:pt>
                <c:pt idx="5">
                  <c:v>-6.9799242799310438E-3</c:v>
                </c:pt>
                <c:pt idx="6">
                  <c:v>-1.1316636772144338E-2</c:v>
                </c:pt>
                <c:pt idx="7">
                  <c:v>-1.4741066296187516E-2</c:v>
                </c:pt>
                <c:pt idx="8">
                  <c:v>-1.587416177384374E-2</c:v>
                </c:pt>
                <c:pt idx="9">
                  <c:v>-1.442479277122736E-2</c:v>
                </c:pt>
                <c:pt idx="10">
                  <c:v>-1.1177621625340653E-2</c:v>
                </c:pt>
                <c:pt idx="11">
                  <c:v>-7.3337479060625521E-3</c:v>
                </c:pt>
                <c:pt idx="12">
                  <c:v>-3.8598170564632587E-3</c:v>
                </c:pt>
                <c:pt idx="13">
                  <c:v>-1.2225265960764896E-3</c:v>
                </c:pt>
                <c:pt idx="14">
                  <c:v>5.3519491505958259E-4</c:v>
                </c:pt>
                <c:pt idx="15">
                  <c:v>1.5910380363446787E-3</c:v>
                </c:pt>
                <c:pt idx="16">
                  <c:v>2.1730034134580679E-3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7C3-44EA-850A-9AE6DAF1E7D3}"/>
            </c:ext>
          </c:extLst>
        </c:ser>
        <c:ser>
          <c:idx val="4"/>
          <c:order val="4"/>
          <c:tx>
            <c:v>0.5</c:v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first_part_theta!$G$5:$G$21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first_part_theta!$M$5:$M$21</c:f>
              <c:numCache>
                <c:formatCode>General</c:formatCode>
                <c:ptCount val="17"/>
                <c:pt idx="0">
                  <c:v>-1.9503422452077548E-5</c:v>
                </c:pt>
                <c:pt idx="1">
                  <c:v>-1.3056721507329281E-4</c:v>
                </c:pt>
                <c:pt idx="2">
                  <c:v>-5.7004360990008519E-4</c:v>
                </c:pt>
                <c:pt idx="3">
                  <c:v>-1.7542451912652512E-3</c:v>
                </c:pt>
                <c:pt idx="4">
                  <c:v>-4.0409682260484922E-3</c:v>
                </c:pt>
                <c:pt idx="5">
                  <c:v>-7.3036690888582867E-3</c:v>
                </c:pt>
                <c:pt idx="6">
                  <c:v>-1.0749742896240512E-2</c:v>
                </c:pt>
                <c:pt idx="7">
                  <c:v>-1.3267407263215751E-2</c:v>
                </c:pt>
                <c:pt idx="8">
                  <c:v>-1.4045957506476475E-2</c:v>
                </c:pt>
                <c:pt idx="9">
                  <c:v>-1.2965757469614536E-2</c:v>
                </c:pt>
                <c:pt idx="10">
                  <c:v>-1.053014103169682E-2</c:v>
                </c:pt>
                <c:pt idx="11">
                  <c:v>-7.5057152115247895E-3</c:v>
                </c:pt>
                <c:pt idx="12">
                  <c:v>-4.5676986266598345E-3</c:v>
                </c:pt>
                <c:pt idx="13">
                  <c:v>-2.122060386055215E-3</c:v>
                </c:pt>
                <c:pt idx="14">
                  <c:v>-3.0404707023068048E-4</c:v>
                </c:pt>
                <c:pt idx="15">
                  <c:v>9.3221853123520303E-4</c:v>
                </c:pt>
                <c:pt idx="16">
                  <c:v>1.7137215450104808E-3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7C3-44EA-850A-9AE6DAF1E7D3}"/>
            </c:ext>
          </c:extLst>
        </c:ser>
        <c:ser>
          <c:idx val="5"/>
          <c:order val="5"/>
          <c:tx>
            <c:v>0.6</c:v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first_part_theta!$G$5:$G$21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first_part_theta!$N$5:$N$21</c:f>
              <c:numCache>
                <c:formatCode>General</c:formatCode>
                <c:ptCount val="17"/>
                <c:pt idx="0">
                  <c:v>-5.2569629760454496E-5</c:v>
                </c:pt>
                <c:pt idx="1">
                  <c:v>-2.5696218406901921E-4</c:v>
                </c:pt>
                <c:pt idx="2">
                  <c:v>-8.7923652476108087E-4</c:v>
                </c:pt>
                <c:pt idx="3">
                  <c:v>-2.2468154256376528E-3</c:v>
                </c:pt>
                <c:pt idx="4">
                  <c:v>-4.5080595360641523E-3</c:v>
                </c:pt>
                <c:pt idx="5">
                  <c:v>-7.3855437895218061E-3</c:v>
                </c:pt>
                <c:pt idx="6">
                  <c:v>-1.0189552813741513E-2</c:v>
                </c:pt>
                <c:pt idx="7">
                  <c:v>-1.2130098574116573E-2</c:v>
                </c:pt>
                <c:pt idx="8">
                  <c:v>-1.2695947402017051E-2</c:v>
                </c:pt>
                <c:pt idx="9">
                  <c:v>-1.1843119778962963E-2</c:v>
                </c:pt>
                <c:pt idx="10">
                  <c:v>-9.9236947822970295E-3</c:v>
                </c:pt>
                <c:pt idx="11">
                  <c:v>-7.4664818850384666E-3</c:v>
                </c:pt>
                <c:pt idx="12">
                  <c:v>-4.9631220083336241E-3</c:v>
                </c:pt>
                <c:pt idx="13">
                  <c:v>-2.7478593365228557E-3</c:v>
                </c:pt>
                <c:pt idx="14">
                  <c:v>-9.769482367823169E-4</c:v>
                </c:pt>
                <c:pt idx="15">
                  <c:v>3.3106475916117235E-4</c:v>
                </c:pt>
                <c:pt idx="16">
                  <c:v>1.2370468397636819E-3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7C3-44EA-850A-9AE6DAF1E7D3}"/>
            </c:ext>
          </c:extLst>
        </c:ser>
        <c:ser>
          <c:idx val="6"/>
          <c:order val="6"/>
          <c:tx>
            <c:v>0.7</c:v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first_part_theta!$G$5:$G$21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first_part_theta!$O$5:$O$21</c:f>
              <c:numCache>
                <c:formatCode>General</c:formatCode>
                <c:ptCount val="17"/>
                <c:pt idx="0">
                  <c:v>-1.0533980269340913E-4</c:v>
                </c:pt>
                <c:pt idx="1">
                  <c:v>-4.1125985083875457E-4</c:v>
                </c:pt>
                <c:pt idx="2">
                  <c:v>-1.1822330573380358E-3</c:v>
                </c:pt>
                <c:pt idx="3">
                  <c:v>-2.6451566768972488E-3</c:v>
                </c:pt>
                <c:pt idx="4">
                  <c:v>-4.8081378728503472E-3</c:v>
                </c:pt>
                <c:pt idx="5">
                  <c:v>-7.3423791568755772E-3</c:v>
                </c:pt>
                <c:pt idx="6">
                  <c:v>-9.6714990209200435E-3</c:v>
                </c:pt>
                <c:pt idx="7">
                  <c:v>-1.1219144924587754E-2</c:v>
                </c:pt>
                <c:pt idx="8">
                  <c:v>-1.1646370073008503E-2</c:v>
                </c:pt>
                <c:pt idx="9">
                  <c:v>-1.0945730975247274E-2</c:v>
                </c:pt>
                <c:pt idx="10">
                  <c:v>-9.3785878765410644E-3</c:v>
                </c:pt>
                <c:pt idx="11">
                  <c:v>-7.3306692098870927E-3</c:v>
                </c:pt>
                <c:pt idx="12">
                  <c:v>-5.1732390212707521E-3</c:v>
                </c:pt>
                <c:pt idx="13">
                  <c:v>-3.1793439931051791E-3</c:v>
                </c:pt>
                <c:pt idx="14">
                  <c:v>-1.5006867432075552E-3</c:v>
                </c:pt>
                <c:pt idx="15">
                  <c:v>-1.8549651813691944E-4</c:v>
                </c:pt>
                <c:pt idx="16">
                  <c:v>7.8686762400335486E-4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7C3-44EA-850A-9AE6DAF1E7D3}"/>
            </c:ext>
          </c:extLst>
        </c:ser>
        <c:ser>
          <c:idx val="7"/>
          <c:order val="7"/>
          <c:tx>
            <c:v>0.8</c:v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first_part_theta!$G$5:$G$21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first_part_theta!$P$5:$P$21</c:f>
              <c:numCache>
                <c:formatCode>General</c:formatCode>
                <c:ptCount val="17"/>
                <c:pt idx="0">
                  <c:v>-1.7564415615483212E-4</c:v>
                </c:pt>
                <c:pt idx="1">
                  <c:v>-5.7931073146288991E-4</c:v>
                </c:pt>
                <c:pt idx="2">
                  <c:v>-1.4612340877304712E-3</c:v>
                </c:pt>
                <c:pt idx="3">
                  <c:v>-2.9589597935479389E-3</c:v>
                </c:pt>
                <c:pt idx="4">
                  <c:v>-4.993975246143912E-3</c:v>
                </c:pt>
                <c:pt idx="5">
                  <c:v>-7.2337144773406128E-3</c:v>
                </c:pt>
                <c:pt idx="6">
                  <c:v>-9.2021694308894869E-3</c:v>
                </c:pt>
                <c:pt idx="7">
                  <c:v>-1.0468662101675042E-2</c:v>
                </c:pt>
                <c:pt idx="8">
                  <c:v>-1.0800068013464793E-2</c:v>
                </c:pt>
                <c:pt idx="9">
                  <c:v>-1.0207496548281189E-2</c:v>
                </c:pt>
                <c:pt idx="10">
                  <c:v>-8.8935200133453147E-3</c:v>
                </c:pt>
                <c:pt idx="11">
                  <c:v>-7.1515529434247301E-3</c:v>
                </c:pt>
                <c:pt idx="12">
                  <c:v>-5.2706182533947942E-3</c:v>
                </c:pt>
                <c:pt idx="13">
                  <c:v>-3.4751347449318375E-3</c:v>
                </c:pt>
                <c:pt idx="14">
                  <c:v>-1.9038842568086447E-3</c:v>
                </c:pt>
                <c:pt idx="15">
                  <c:v>-6.1728826891839148E-4</c:v>
                </c:pt>
                <c:pt idx="16">
                  <c:v>3.815793477417165E-4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7C3-44EA-850A-9AE6DAF1E7D3}"/>
            </c:ext>
          </c:extLst>
        </c:ser>
        <c:ser>
          <c:idx val="8"/>
          <c:order val="8"/>
          <c:tx>
            <c:v>0.9</c:v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first_part_theta!$G$5:$G$21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first_part_theta!$Q$5:$Q$21</c:f>
              <c:numCache>
                <c:formatCode>General</c:formatCode>
                <c:ptCount val="17"/>
                <c:pt idx="0">
                  <c:v>-2.593616127553257E-4</c:v>
                </c:pt>
                <c:pt idx="1">
                  <c:v>-7.5021010955624045E-4</c:v>
                </c:pt>
                <c:pt idx="2">
                  <c:v>-1.7092130869861147E-3</c:v>
                </c:pt>
                <c:pt idx="3">
                  <c:v>-3.2024292805467544E-3</c:v>
                </c:pt>
                <c:pt idx="4">
                  <c:v>-5.1014298208669597E-3</c:v>
                </c:pt>
                <c:pt idx="5">
                  <c:v>-7.0912918380343108E-3</c:v>
                </c:pt>
                <c:pt idx="6">
                  <c:v>-8.779218572911425E-3</c:v>
                </c:pt>
                <c:pt idx="7">
                  <c:v>-9.8366644562263069E-3</c:v>
                </c:pt>
                <c:pt idx="8">
                  <c:v>-1.0098861809140571E-2</c:v>
                </c:pt>
                <c:pt idx="9">
                  <c:v>-9.5864956749972287E-3</c:v>
                </c:pt>
                <c:pt idx="10">
                  <c:v>-8.4617846191900516E-3</c:v>
                </c:pt>
                <c:pt idx="11">
                  <c:v>-6.9553139399162215E-3</c:v>
                </c:pt>
                <c:pt idx="12">
                  <c:v>-5.2978374623867041E-3</c:v>
                </c:pt>
                <c:pt idx="13">
                  <c:v>-3.6757308523852018E-3</c:v>
                </c:pt>
                <c:pt idx="14">
                  <c:v>-2.2130355837407262E-3</c:v>
                </c:pt>
                <c:pt idx="15">
                  <c:v>-9.7360555662338584E-4</c:v>
                </c:pt>
                <c:pt idx="16">
                  <c:v>2.5865008416631274E-5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7C3-44EA-850A-9AE6DAF1E7D3}"/>
            </c:ext>
          </c:extLst>
        </c:ser>
        <c:ser>
          <c:idx val="9"/>
          <c:order val="9"/>
          <c:tx>
            <c:v>1</c:v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first_part_theta!$G$5:$G$21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first_part_theta!$R$5:$R$21</c:f>
              <c:numCache>
                <c:formatCode>General</c:formatCode>
                <c:ptCount val="17"/>
                <c:pt idx="0">
                  <c:v>-3.5200490120518426E-4</c:v>
                </c:pt>
                <c:pt idx="1">
                  <c:v>-9.1663987957427942E-4</c:v>
                </c:pt>
                <c:pt idx="2">
                  <c:v>-1.9249873127726127E-3</c:v>
                </c:pt>
                <c:pt idx="3">
                  <c:v>-3.3891681040526191E-3</c:v>
                </c:pt>
                <c:pt idx="4">
                  <c:v>-5.1546582327013793E-3</c:v>
                </c:pt>
                <c:pt idx="5">
                  <c:v>-6.9326537461691495E-3</c:v>
                </c:pt>
                <c:pt idx="6">
                  <c:v>-8.3978049743894424E-3</c:v>
                </c:pt>
                <c:pt idx="7">
                  <c:v>-9.2950280449470776E-3</c:v>
                </c:pt>
                <c:pt idx="8">
                  <c:v>-9.5055035715335429E-3</c:v>
                </c:pt>
                <c:pt idx="9">
                  <c:v>-9.0547417301934611E-3</c:v>
                </c:pt>
                <c:pt idx="10">
                  <c:v>-8.0760015707448361E-3</c:v>
                </c:pt>
                <c:pt idx="11">
                  <c:v>-6.7552639740820269E-3</c:v>
                </c:pt>
                <c:pt idx="12">
                  <c:v>-5.2806878842294354E-3</c:v>
                </c:pt>
                <c:pt idx="13">
                  <c:v>-3.8088170694130538E-3</c:v>
                </c:pt>
                <c:pt idx="14">
                  <c:v>-2.4495749530291369E-3</c:v>
                </c:pt>
                <c:pt idx="15">
                  <c:v>-1.2659209803035885E-3</c:v>
                </c:pt>
                <c:pt idx="16">
                  <c:v>-2.8206320125005128E-4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7C3-44EA-850A-9AE6DAF1E7D3}"/>
            </c:ext>
          </c:extLst>
        </c:ser>
        <c:ser>
          <c:idx val="10"/>
          <c:order val="10"/>
          <c:tx>
            <c:v>2</c:v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first_part_theta!$G$5:$G$21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first_part_theta!$S$5:$S$21</c:f>
              <c:numCache>
                <c:formatCode>General</c:formatCode>
                <c:ptCount val="17"/>
                <c:pt idx="0">
                  <c:v>-1.2206037061217737E-3</c:v>
                </c:pt>
                <c:pt idx="1">
                  <c:v>-1.9783641324264407E-3</c:v>
                </c:pt>
                <c:pt idx="2">
                  <c:v>-2.875362386989756E-3</c:v>
                </c:pt>
                <c:pt idx="3">
                  <c:v>-3.8208188097401956E-3</c:v>
                </c:pt>
                <c:pt idx="4">
                  <c:v>-4.7117256766220882E-3</c:v>
                </c:pt>
                <c:pt idx="5">
                  <c:v>-5.4551497903741735E-3</c:v>
                </c:pt>
                <c:pt idx="6">
                  <c:v>-5.983887745624126E-3</c:v>
                </c:pt>
                <c:pt idx="7">
                  <c:v>-6.2631892850285977E-3</c:v>
                </c:pt>
                <c:pt idx="8">
                  <c:v>-6.289626983281749E-3</c:v>
                </c:pt>
                <c:pt idx="9">
                  <c:v>-6.0848427760353931E-3</c:v>
                </c:pt>
                <c:pt idx="10">
                  <c:v>-5.6870921513339726E-3</c:v>
                </c:pt>
                <c:pt idx="11">
                  <c:v>-5.1428626193629531E-3</c:v>
                </c:pt>
                <c:pt idx="12">
                  <c:v>-4.4999367223590775E-3</c:v>
                </c:pt>
                <c:pt idx="13">
                  <c:v>-3.8024576471553401E-3</c:v>
                </c:pt>
                <c:pt idx="14">
                  <c:v>-3.087985562656811E-3</c:v>
                </c:pt>
                <c:pt idx="15">
                  <c:v>-2.3862159175865325E-3</c:v>
                </c:pt>
                <c:pt idx="16">
                  <c:v>-1.7189122994861077E-3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7C3-44EA-850A-9AE6DAF1E7D3}"/>
            </c:ext>
          </c:extLst>
        </c:ser>
        <c:ser>
          <c:idx val="11"/>
          <c:order val="11"/>
          <c:tx>
            <c:v>3</c:v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first_part_theta!$G$5:$G$21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first_part_theta!$T$5:$T$21</c:f>
              <c:numCache>
                <c:formatCode>General</c:formatCode>
                <c:ptCount val="17"/>
                <c:pt idx="0">
                  <c:v>-1.6527866271508298E-3</c:v>
                </c:pt>
                <c:pt idx="1">
                  <c:v>-2.2843589815852989E-3</c:v>
                </c:pt>
                <c:pt idx="2">
                  <c:v>-2.9330977420835842E-3</c:v>
                </c:pt>
                <c:pt idx="3">
                  <c:v>-3.5442546510326229E-3</c:v>
                </c:pt>
                <c:pt idx="4">
                  <c:v>-4.0708093538036096E-3</c:v>
                </c:pt>
                <c:pt idx="5">
                  <c:v>-4.4786957567108446E-3</c:v>
                </c:pt>
                <c:pt idx="6">
                  <c:v>-4.7485545098222793E-3</c:v>
                </c:pt>
                <c:pt idx="7">
                  <c:v>-4.8748413882088101E-3</c:v>
                </c:pt>
                <c:pt idx="8">
                  <c:v>-4.8633397413118526E-3</c:v>
                </c:pt>
                <c:pt idx="9">
                  <c:v>-4.7280089168652718E-3</c:v>
                </c:pt>
                <c:pt idx="10">
                  <c:v>-4.4878437083380341E-3</c:v>
                </c:pt>
                <c:pt idx="11">
                  <c:v>-4.1641491481081904E-3</c:v>
                </c:pt>
                <c:pt idx="12">
                  <c:v>-3.7784131911190373E-3</c:v>
                </c:pt>
                <c:pt idx="13">
                  <c:v>-3.3508059294883779E-3</c:v>
                </c:pt>
                <c:pt idx="14">
                  <c:v>-2.8992429676763611E-3</c:v>
                </c:pt>
                <c:pt idx="15">
                  <c:v>-2.4389078675605622E-3</c:v>
                </c:pt>
                <c:pt idx="16">
                  <c:v>-1.9821181894974639E-3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7C3-44EA-850A-9AE6DAF1E7D3}"/>
            </c:ext>
          </c:extLst>
        </c:ser>
        <c:ser>
          <c:idx val="12"/>
          <c:order val="12"/>
          <c:tx>
            <c:v>4</c:v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first_part_theta!$G$5:$G$21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first_part_theta!$U$5:$U$21</c:f>
              <c:numCache>
                <c:formatCode>General</c:formatCode>
                <c:ptCount val="17"/>
                <c:pt idx="0">
                  <c:v>-1.812646125901823E-3</c:v>
                </c:pt>
                <c:pt idx="1">
                  <c:v>-2.3118992079080511E-3</c:v>
                </c:pt>
                <c:pt idx="2">
                  <c:v>-2.7882252689433377E-3</c:v>
                </c:pt>
                <c:pt idx="3">
                  <c:v>-3.2108157123672933E-3</c:v>
                </c:pt>
                <c:pt idx="4">
                  <c:v>-3.5569468968994914E-3</c:v>
                </c:pt>
                <c:pt idx="5">
                  <c:v>-3.8127123467771411E-3</c:v>
                </c:pt>
                <c:pt idx="6">
                  <c:v>-3.9724085662468768E-3</c:v>
                </c:pt>
                <c:pt idx="7">
                  <c:v>-4.0371503458012745E-3</c:v>
                </c:pt>
                <c:pt idx="8">
                  <c:v>-4.0131795155246728E-3</c:v>
                </c:pt>
                <c:pt idx="9">
                  <c:v>-3.9101855963548249E-3</c:v>
                </c:pt>
                <c:pt idx="10">
                  <c:v>-3.7398244265461323E-3</c:v>
                </c:pt>
                <c:pt idx="11">
                  <c:v>-3.5145196807035515E-3</c:v>
                </c:pt>
                <c:pt idx="12">
                  <c:v>-3.2465642122977674E-3</c:v>
                </c:pt>
                <c:pt idx="13">
                  <c:v>-2.9474980183346192E-3</c:v>
                </c:pt>
                <c:pt idx="14">
                  <c:v>-2.6277199398311449E-3</c:v>
                </c:pt>
                <c:pt idx="15">
                  <c:v>-2.2962840402778527E-3</c:v>
                </c:pt>
                <c:pt idx="16">
                  <c:v>-1.9608334561523741E-3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7C3-44EA-850A-9AE6DAF1E7D3}"/>
            </c:ext>
          </c:extLst>
        </c:ser>
        <c:ser>
          <c:idx val="13"/>
          <c:order val="13"/>
          <c:tx>
            <c:v>5</c:v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first_part_theta!$G$5:$G$21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first_part_theta!$V$5:$V$21</c:f>
              <c:numCache>
                <c:formatCode>General</c:formatCode>
                <c:ptCount val="17"/>
                <c:pt idx="0">
                  <c:v>-1.8445851187638676E-3</c:v>
                </c:pt>
                <c:pt idx="1">
                  <c:v>-2.2409256221649185E-3</c:v>
                </c:pt>
                <c:pt idx="2">
                  <c:v>-2.6018373118986485E-3</c:v>
                </c:pt>
                <c:pt idx="3">
                  <c:v>-2.9096894086217528E-3</c:v>
                </c:pt>
                <c:pt idx="4">
                  <c:v>-3.153042895286404E-3</c:v>
                </c:pt>
                <c:pt idx="5">
                  <c:v>-3.3262123392879157E-3</c:v>
                </c:pt>
                <c:pt idx="6">
                  <c:v>-3.4283435195212541E-3</c:v>
                </c:pt>
                <c:pt idx="7">
                  <c:v>-3.462305773002881E-3</c:v>
                </c:pt>
                <c:pt idx="8">
                  <c:v>-3.4335954354907773E-3</c:v>
                </c:pt>
                <c:pt idx="9">
                  <c:v>-3.3493617689093732E-3</c:v>
                </c:pt>
                <c:pt idx="10">
                  <c:v>-3.2176053423114254E-3</c:v>
                </c:pt>
                <c:pt idx="11">
                  <c:v>-3.0465589951343955E-3</c:v>
                </c:pt>
                <c:pt idx="12">
                  <c:v>-2.844238479630232E-3</c:v>
                </c:pt>
                <c:pt idx="13">
                  <c:v>-2.6181386315105035E-3</c:v>
                </c:pt>
                <c:pt idx="14">
                  <c:v>-2.3750472436481645E-3</c:v>
                </c:pt>
                <c:pt idx="15">
                  <c:v>-2.1209495807714023E-3</c:v>
                </c:pt>
                <c:pt idx="16">
                  <c:v>-1.8609995221091523E-3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7C3-44EA-850A-9AE6DAF1E7D3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3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5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8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9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1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4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</c:bandFmts>
        <c:axId val="2131537280"/>
        <c:axId val="2131533536"/>
        <c:axId val="2134581088"/>
      </c:surface3DChart>
      <c:catAx>
        <c:axId val="21315372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Stock 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1533536"/>
        <c:crosses val="autoZero"/>
        <c:auto val="1"/>
        <c:lblAlgn val="ctr"/>
        <c:lblOffset val="100"/>
        <c:noMultiLvlLbl val="0"/>
      </c:catAx>
      <c:valAx>
        <c:axId val="2131533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theta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1537280"/>
        <c:crosses val="autoZero"/>
        <c:crossBetween val="midCat"/>
      </c:valAx>
      <c:serAx>
        <c:axId val="2134581088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maturity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1533536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Theta (Volatility = 0.3)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0"/>
      <c:rotY val="20"/>
      <c:rAngAx val="0"/>
      <c:perspective val="8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first_part_theta!$Y$5:$Y$21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first_part_theta!$AA$5:$AA$21</c:f>
              <c:numCache>
                <c:formatCode>General</c:formatCode>
                <c:ptCount val="17"/>
                <c:pt idx="0">
                  <c:v>-2.1388202444377854E-8</c:v>
                </c:pt>
                <c:pt idx="1">
                  <c:v>-1.4516877969213794E-6</c:v>
                </c:pt>
                <c:pt idx="2">
                  <c:v>-3.8197714763641422E-5</c:v>
                </c:pt>
                <c:pt idx="3">
                  <c:v>-4.6327047911347183E-4</c:v>
                </c:pt>
                <c:pt idx="4">
                  <c:v>-2.9616540909428806E-3</c:v>
                </c:pt>
                <c:pt idx="5">
                  <c:v>-1.109159249420536E-2</c:v>
                </c:pt>
                <c:pt idx="6">
                  <c:v>-2.6469476874618411E-2</c:v>
                </c:pt>
                <c:pt idx="7">
                  <c:v>-4.3065307711909202E-2</c:v>
                </c:pt>
                <c:pt idx="8">
                  <c:v>-5.0429914019782029E-2</c:v>
                </c:pt>
                <c:pt idx="9">
                  <c:v>-4.434447712002039E-2</c:v>
                </c:pt>
                <c:pt idx="10">
                  <c:v>-3.0145517541572544E-2</c:v>
                </c:pt>
                <c:pt idx="11">
                  <c:v>-1.5932084049782788E-2</c:v>
                </c:pt>
                <c:pt idx="12">
                  <c:v>-6.1092408940331905E-3</c:v>
                </c:pt>
                <c:pt idx="13">
                  <c:v>-8.4167040319571443E-4</c:v>
                </c:pt>
                <c:pt idx="14">
                  <c:v>1.476657402491671E-3</c:v>
                </c:pt>
                <c:pt idx="15">
                  <c:v>2.3440162297894453E-3</c:v>
                </c:pt>
                <c:pt idx="16">
                  <c:v>2.626915654403135E-3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12-4905-BCC4-4924206BB6E1}"/>
            </c:ext>
          </c:extLst>
        </c:ser>
        <c:ser>
          <c:idx val="1"/>
          <c:order val="1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first_part_theta!$Y$5:$Y$21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first_part_theta!$AB$5:$AB$21</c:f>
              <c:numCache>
                <c:formatCode>General</c:formatCode>
                <c:ptCount val="17"/>
                <c:pt idx="0">
                  <c:v>-2.1151355938947981E-5</c:v>
                </c:pt>
                <c:pt idx="1">
                  <c:v>-1.7683900083278055E-4</c:v>
                </c:pt>
                <c:pt idx="2">
                  <c:v>-9.1931964979989167E-4</c:v>
                </c:pt>
                <c:pt idx="3">
                  <c:v>-3.2406257685672554E-3</c:v>
                </c:pt>
                <c:pt idx="4">
                  <c:v>-8.2835442380334197E-3</c:v>
                </c:pt>
                <c:pt idx="5">
                  <c:v>-1.6186294067625669E-2</c:v>
                </c:pt>
                <c:pt idx="6">
                  <c:v>-2.5214471041951188E-2</c:v>
                </c:pt>
                <c:pt idx="7">
                  <c:v>-3.2383641385315652E-2</c:v>
                </c:pt>
                <c:pt idx="8">
                  <c:v>-3.5226833826804554E-2</c:v>
                </c:pt>
                <c:pt idx="9">
                  <c:v>-3.3152833020150423E-2</c:v>
                </c:pt>
                <c:pt idx="10">
                  <c:v>-2.7424254240045728E-2</c:v>
                </c:pt>
                <c:pt idx="11">
                  <c:v>-2.0129448753042394E-2</c:v>
                </c:pt>
                <c:pt idx="12">
                  <c:v>-1.310534968979812E-2</c:v>
                </c:pt>
                <c:pt idx="13">
                  <c:v>-7.4060691455719316E-3</c:v>
                </c:pt>
                <c:pt idx="14">
                  <c:v>-3.3227893551345923E-3</c:v>
                </c:pt>
                <c:pt idx="15">
                  <c:v>-6.6981552281736138E-4</c:v>
                </c:pt>
                <c:pt idx="16">
                  <c:v>9.2119478713835489E-4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812-4905-BCC4-4924206BB6E1}"/>
            </c:ext>
          </c:extLst>
        </c:ser>
        <c:ser>
          <c:idx val="2"/>
          <c:order val="2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first_part_theta!$Y$5:$Y$21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first_part_theta!$AC$5:$AC$21</c:f>
              <c:numCache>
                <c:formatCode>General</c:formatCode>
                <c:ptCount val="17"/>
                <c:pt idx="0">
                  <c:v>-1.9249725723178876E-4</c:v>
                </c:pt>
                <c:pt idx="1">
                  <c:v>-8.0056016104071382E-4</c:v>
                </c:pt>
                <c:pt idx="2">
                  <c:v>-2.423218452639615E-3</c:v>
                </c:pt>
                <c:pt idx="3">
                  <c:v>-5.6562876041215708E-3</c:v>
                </c:pt>
                <c:pt idx="4">
                  <c:v>-1.064776362079203E-2</c:v>
                </c:pt>
                <c:pt idx="5">
                  <c:v>-1.6743776366969138E-2</c:v>
                </c:pt>
                <c:pt idx="6">
                  <c:v>-2.2618182507819665E-2</c:v>
                </c:pt>
                <c:pt idx="7">
                  <c:v>-2.6840385672500421E-2</c:v>
                </c:pt>
                <c:pt idx="8">
                  <c:v>-2.8486129247863486E-2</c:v>
                </c:pt>
                <c:pt idx="9">
                  <c:v>-2.7426394828022834E-2</c:v>
                </c:pt>
                <c:pt idx="10">
                  <c:v>-2.4217245091292444E-2</c:v>
                </c:pt>
                <c:pt idx="11">
                  <c:v>-1.9758870791303805E-2</c:v>
                </c:pt>
                <c:pt idx="12">
                  <c:v>-1.4947005925677725E-2</c:v>
                </c:pt>
                <c:pt idx="13">
                  <c:v>-1.0453368483121001E-2</c:v>
                </c:pt>
                <c:pt idx="14">
                  <c:v>-6.6582397102136889E-3</c:v>
                </c:pt>
                <c:pt idx="15">
                  <c:v>-3.6891415492476595E-3</c:v>
                </c:pt>
                <c:pt idx="16">
                  <c:v>-1.5043065473870991E-3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812-4905-BCC4-4924206BB6E1}"/>
            </c:ext>
          </c:extLst>
        </c:ser>
        <c:ser>
          <c:idx val="3"/>
          <c:order val="3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first_part_theta!$Y$5:$Y$21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first_part_theta!$AD$5:$AD$21</c:f>
              <c:numCache>
                <c:formatCode>General</c:formatCode>
                <c:ptCount val="17"/>
                <c:pt idx="0">
                  <c:v>-5.552636180151039E-4</c:v>
                </c:pt>
                <c:pt idx="1">
                  <c:v>-1.6284046035200219E-3</c:v>
                </c:pt>
                <c:pt idx="2">
                  <c:v>-3.7604495857503084E-3</c:v>
                </c:pt>
                <c:pt idx="3">
                  <c:v>-7.1414604264226599E-3</c:v>
                </c:pt>
                <c:pt idx="4">
                  <c:v>-1.153460687158504E-2</c:v>
                </c:pt>
                <c:pt idx="5">
                  <c:v>-1.6268689796484305E-2</c:v>
                </c:pt>
                <c:pt idx="6">
                  <c:v>-2.0461723142974224E-2</c:v>
                </c:pt>
                <c:pt idx="7">
                  <c:v>-2.3337674636357358E-2</c:v>
                </c:pt>
                <c:pt idx="8">
                  <c:v>-2.446478014111279E-2</c:v>
                </c:pt>
                <c:pt idx="9">
                  <c:v>-2.3825813962483393E-2</c:v>
                </c:pt>
                <c:pt idx="10">
                  <c:v>-2.1736859963508132E-2</c:v>
                </c:pt>
                <c:pt idx="11">
                  <c:v>-1.8690775043302178E-2</c:v>
                </c:pt>
                <c:pt idx="12">
                  <c:v>-1.5202763923008351E-2</c:v>
                </c:pt>
                <c:pt idx="13">
                  <c:v>-1.1703811603569023E-2</c:v>
                </c:pt>
                <c:pt idx="14">
                  <c:v>-8.4925940100280279E-3</c:v>
                </c:pt>
                <c:pt idx="15">
                  <c:v>-5.7339282761189481E-3</c:v>
                </c:pt>
                <c:pt idx="16">
                  <c:v>-3.4840517712603565E-3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812-4905-BCC4-4924206BB6E1}"/>
            </c:ext>
          </c:extLst>
        </c:ser>
        <c:ser>
          <c:idx val="4"/>
          <c:order val="4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first_part_theta!$Y$5:$Y$21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first_part_theta!$AE$5:$AE$21</c:f>
              <c:numCache>
                <c:formatCode>General</c:formatCode>
                <c:ptCount val="17"/>
                <c:pt idx="0">
                  <c:v>-1.0204341477554112E-3</c:v>
                </c:pt>
                <c:pt idx="1">
                  <c:v>-2.4264809719316232E-3</c:v>
                </c:pt>
                <c:pt idx="2">
                  <c:v>-4.7631304299087813E-3</c:v>
                </c:pt>
                <c:pt idx="3">
                  <c:v>-7.9916234652525273E-3</c:v>
                </c:pt>
                <c:pt idx="4">
                  <c:v>-1.1773234613842614E-2</c:v>
                </c:pt>
                <c:pt idx="5">
                  <c:v>-1.5554448206504904E-2</c:v>
                </c:pt>
                <c:pt idx="6">
                  <c:v>-1.8741321936741665E-2</c:v>
                </c:pt>
                <c:pt idx="7">
                  <c:v>-2.0872029776317795E-2</c:v>
                </c:pt>
                <c:pt idx="8">
                  <c:v>-2.1718448927661036E-2</c:v>
                </c:pt>
                <c:pt idx="9">
                  <c:v>-2.1297754660577151E-2</c:v>
                </c:pt>
                <c:pt idx="10">
                  <c:v>-1.9816142944062028E-2</c:v>
                </c:pt>
                <c:pt idx="11">
                  <c:v>-1.7583026465543689E-2</c:v>
                </c:pt>
                <c:pt idx="12">
                  <c:v>-1.4929145860893642E-2</c:v>
                </c:pt>
                <c:pt idx="13">
                  <c:v>-1.214759418968365E-2</c:v>
                </c:pt>
                <c:pt idx="14">
                  <c:v>-9.4625981097802379E-3</c:v>
                </c:pt>
                <c:pt idx="15">
                  <c:v>-7.0217443309908102E-3</c:v>
                </c:pt>
                <c:pt idx="16">
                  <c:v>-4.9036429262831463E-3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812-4905-BCC4-4924206BB6E1}"/>
            </c:ext>
          </c:extLst>
        </c:ser>
        <c:ser>
          <c:idx val="5"/>
          <c:order val="5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first_part_theta!$Y$5:$Y$21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first_part_theta!$AF$5:$AF$21</c:f>
              <c:numCache>
                <c:formatCode>General</c:formatCode>
                <c:ptCount val="17"/>
                <c:pt idx="0">
                  <c:v>-1.5033352373621058E-3</c:v>
                </c:pt>
                <c:pt idx="1">
                  <c:v>-3.108135752252036E-3</c:v>
                </c:pt>
                <c:pt idx="2">
                  <c:v>-5.4744475175743526E-3</c:v>
                </c:pt>
                <c:pt idx="3">
                  <c:v>-8.4562843485097329E-3</c:v>
                </c:pt>
                <c:pt idx="4">
                  <c:v>-1.171580843406738E-2</c:v>
                </c:pt>
                <c:pt idx="5">
                  <c:v>-1.4817544131084675E-2</c:v>
                </c:pt>
                <c:pt idx="6">
                  <c:v>-1.7348875213585663E-2</c:v>
                </c:pt>
                <c:pt idx="7">
                  <c:v>-1.9016171047862015E-2</c:v>
                </c:pt>
                <c:pt idx="8">
                  <c:v>-1.9689741712229928E-2</c:v>
                </c:pt>
                <c:pt idx="9">
                  <c:v>-1.9397896326821137E-2</c:v>
                </c:pt>
                <c:pt idx="10">
                  <c:v>-1.8287148465902233E-2</c:v>
                </c:pt>
                <c:pt idx="11">
                  <c:v>-1.6569651507169068E-2</c:v>
                </c:pt>
                <c:pt idx="12">
                  <c:v>-1.4474449731285272E-2</c:v>
                </c:pt>
                <c:pt idx="13">
                  <c:v>-1.2211593065403835E-2</c:v>
                </c:pt>
                <c:pt idx="14">
                  <c:v>-9.9514308016561605E-3</c:v>
                </c:pt>
                <c:pt idx="15">
                  <c:v>-7.8170885546039216E-3</c:v>
                </c:pt>
                <c:pt idx="16">
                  <c:v>-5.8862640915705883E-3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812-4905-BCC4-4924206BB6E1}"/>
            </c:ext>
          </c:extLst>
        </c:ser>
        <c:ser>
          <c:idx val="6"/>
          <c:order val="6"/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first_part_theta!$Y$5:$Y$21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first_part_theta!$AG$5:$AG$21</c:f>
              <c:numCache>
                <c:formatCode>General</c:formatCode>
                <c:ptCount val="17"/>
                <c:pt idx="0">
                  <c:v>-1.9567228955209514E-3</c:v>
                </c:pt>
                <c:pt idx="1">
                  <c:v>-3.6606419692686992E-3</c:v>
                </c:pt>
                <c:pt idx="2">
                  <c:v>-5.9668848993974285E-3</c:v>
                </c:pt>
                <c:pt idx="3">
                  <c:v>-8.6879639954859089E-3</c:v>
                </c:pt>
                <c:pt idx="4">
                  <c:v>-1.1519676675133329E-2</c:v>
                </c:pt>
                <c:pt idx="5">
                  <c:v>-1.4121687140479549E-2</c:v>
                </c:pt>
                <c:pt idx="6">
                  <c:v>-1.6198497528522142E-2</c:v>
                </c:pt>
                <c:pt idx="7">
                  <c:v>-1.7554217253300742E-2</c:v>
                </c:pt>
                <c:pt idx="8">
                  <c:v>-1.8111936867529634E-2</c:v>
                </c:pt>
                <c:pt idx="9">
                  <c:v>-1.7902863275272088E-2</c:v>
                </c:pt>
                <c:pt idx="10">
                  <c:v>-1.7037306857940117E-2</c:v>
                </c:pt>
                <c:pt idx="11">
                  <c:v>-1.5669932082095918E-2</c:v>
                </c:pt>
                <c:pt idx="12">
                  <c:v>-1.3968310780124225E-2</c:v>
                </c:pt>
                <c:pt idx="13">
                  <c:v>-1.2089505497760973E-2</c:v>
                </c:pt>
                <c:pt idx="14">
                  <c:v>-1.0165826843404471E-2</c:v>
                </c:pt>
                <c:pt idx="15">
                  <c:v>-8.2986532041895694E-3</c:v>
                </c:pt>
                <c:pt idx="16">
                  <c:v>-6.5581927676564913E-3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812-4905-BCC4-4924206BB6E1}"/>
            </c:ext>
          </c:extLst>
        </c:ser>
        <c:ser>
          <c:idx val="7"/>
          <c:order val="7"/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first_part_theta!$Y$5:$Y$21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first_part_theta!$AH$5:$AH$21</c:f>
              <c:numCache>
                <c:formatCode>General</c:formatCode>
                <c:ptCount val="17"/>
                <c:pt idx="0">
                  <c:v>-2.3607291154805411E-3</c:v>
                </c:pt>
                <c:pt idx="1">
                  <c:v>-4.0972529860509622E-3</c:v>
                </c:pt>
                <c:pt idx="2">
                  <c:v>-6.3012559266468499E-3</c:v>
                </c:pt>
                <c:pt idx="3">
                  <c:v>-8.7766387095171896E-3</c:v>
                </c:pt>
                <c:pt idx="4">
                  <c:v>-1.12598330327168E-2</c:v>
                </c:pt>
                <c:pt idx="5">
                  <c:v>-1.3483323123614374E-2</c:v>
                </c:pt>
                <c:pt idx="6">
                  <c:v>-1.5229846016353799E-2</c:v>
                </c:pt>
                <c:pt idx="7">
                  <c:v>-1.6363973370764433E-2</c:v>
                </c:pt>
                <c:pt idx="8">
                  <c:v>-1.6839246237944125E-2</c:v>
                </c:pt>
                <c:pt idx="9">
                  <c:v>-1.6686613131416193E-2</c:v>
                </c:pt>
                <c:pt idx="10">
                  <c:v>-1.5992657542040999E-2</c:v>
                </c:pt>
                <c:pt idx="11">
                  <c:v>-1.4875318867875248E-2</c:v>
                </c:pt>
                <c:pt idx="12">
                  <c:v>-1.3462378183588303E-2</c:v>
                </c:pt>
                <c:pt idx="13">
                  <c:v>-1.1875344186170067E-2</c:v>
                </c:pt>
                <c:pt idx="14">
                  <c:v>-1.0219307229780471E-2</c:v>
                </c:pt>
                <c:pt idx="15">
                  <c:v>-8.5780544028748063E-3</c:v>
                </c:pt>
                <c:pt idx="16">
                  <c:v>-7.0131635481268844E-3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812-4905-BCC4-4924206BB6E1}"/>
            </c:ext>
          </c:extLst>
        </c:ser>
        <c:ser>
          <c:idx val="8"/>
          <c:order val="8"/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first_part_theta!$Y$5:$Y$21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first_part_theta!$AI$5:$AI$21</c:f>
              <c:numCache>
                <c:formatCode>General</c:formatCode>
                <c:ptCount val="17"/>
                <c:pt idx="0">
                  <c:v>-2.7104193501449247E-3</c:v>
                </c:pt>
                <c:pt idx="1">
                  <c:v>-4.4373841103313447E-3</c:v>
                </c:pt>
                <c:pt idx="2">
                  <c:v>-6.5223380471701089E-3</c:v>
                </c:pt>
                <c:pt idx="3">
                  <c:v>-8.7761457373693313E-3</c:v>
                </c:pt>
                <c:pt idx="4">
                  <c:v>-1.0973852704484669E-2</c:v>
                </c:pt>
                <c:pt idx="5">
                  <c:v>-1.2903150829012791E-2</c:v>
                </c:pt>
                <c:pt idx="6">
                  <c:v>-1.4400735852088887E-2</c:v>
                </c:pt>
                <c:pt idx="7">
                  <c:v>-1.5370448375468578E-2</c:v>
                </c:pt>
                <c:pt idx="8">
                  <c:v>-1.5784364607294689E-2</c:v>
                </c:pt>
                <c:pt idx="9">
                  <c:v>-1.5671960507313846E-2</c:v>
                </c:pt>
                <c:pt idx="10">
                  <c:v>-1.5103355869618489E-2</c:v>
                </c:pt>
                <c:pt idx="11">
                  <c:v>-1.4171623219197476E-2</c:v>
                </c:pt>
                <c:pt idx="12">
                  <c:v>-1.2977394085094992E-2</c:v>
                </c:pt>
                <c:pt idx="13">
                  <c:v>-1.1617300254076779E-2</c:v>
                </c:pt>
                <c:pt idx="14">
                  <c:v>-1.0176520887028376E-2</c:v>
                </c:pt>
                <c:pt idx="15">
                  <c:v>-8.7249424102550689E-3</c:v>
                </c:pt>
                <c:pt idx="16">
                  <c:v>-7.3160954801956427E-3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812-4905-BCC4-4924206BB6E1}"/>
            </c:ext>
          </c:extLst>
        </c:ser>
        <c:ser>
          <c:idx val="9"/>
          <c:order val="9"/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first_part_theta!$Y$5:$Y$21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first_part_theta!$AJ$5:$AJ$21</c:f>
              <c:numCache>
                <c:formatCode>General</c:formatCode>
                <c:ptCount val="17"/>
                <c:pt idx="0">
                  <c:v>-3.0079450651427195E-3</c:v>
                </c:pt>
                <c:pt idx="1">
                  <c:v>-4.6996275359724215E-3</c:v>
                </c:pt>
                <c:pt idx="2">
                  <c:v>-6.6619567497588107E-3</c:v>
                </c:pt>
                <c:pt idx="3">
                  <c:v>-8.7194964417501991E-3</c:v>
                </c:pt>
                <c:pt idx="4">
                  <c:v>-1.0681171916490347E-2</c:v>
                </c:pt>
                <c:pt idx="5">
                  <c:v>-1.237672326655825E-2</c:v>
                </c:pt>
                <c:pt idx="6">
                  <c:v>-1.3681130750624887E-2</c:v>
                </c:pt>
                <c:pt idx="7">
                  <c:v>-1.452474762321824E-2</c:v>
                </c:pt>
                <c:pt idx="8">
                  <c:v>-1.4891393827865178E-2</c:v>
                </c:pt>
                <c:pt idx="9">
                  <c:v>-1.4808659655744903E-2</c:v>
                </c:pt>
                <c:pt idx="10">
                  <c:v>-1.4334729425121259E-2</c:v>
                </c:pt>
                <c:pt idx="11">
                  <c:v>-1.3545059086436483E-2</c:v>
                </c:pt>
                <c:pt idx="12">
                  <c:v>-1.2520966771419909E-2</c:v>
                </c:pt>
                <c:pt idx="13">
                  <c:v>-1.1341061644959231E-2</c:v>
                </c:pt>
                <c:pt idx="14">
                  <c:v>-1.0075623545492149E-2</c:v>
                </c:pt>
                <c:pt idx="15">
                  <c:v>-8.7835670737753113E-3</c:v>
                </c:pt>
                <c:pt idx="16">
                  <c:v>-7.5114126358889399E-3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812-4905-BCC4-4924206BB6E1}"/>
            </c:ext>
          </c:extLst>
        </c:ser>
        <c:ser>
          <c:idx val="10"/>
          <c:order val="10"/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first_part_theta!$Y$5:$Y$21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first_part_theta!$AK$5:$AK$21</c:f>
              <c:numCache>
                <c:formatCode>General</c:formatCode>
                <c:ptCount val="17"/>
                <c:pt idx="0">
                  <c:v>-4.2221154024053515E-3</c:v>
                </c:pt>
                <c:pt idx="1">
                  <c:v>-5.3426066395957858E-3</c:v>
                </c:pt>
                <c:pt idx="2">
                  <c:v>-6.430691586480063E-3</c:v>
                </c:pt>
                <c:pt idx="3">
                  <c:v>-7.4286707718004127E-3</c:v>
                </c:pt>
                <c:pt idx="4">
                  <c:v>-8.2929479392561956E-3</c:v>
                </c:pt>
                <c:pt idx="5">
                  <c:v>-8.9950886102445633E-3</c:v>
                </c:pt>
                <c:pt idx="6">
                  <c:v>-9.5208089411699948E-3</c:v>
                </c:pt>
                <c:pt idx="7">
                  <c:v>-9.8677863597827955E-3</c:v>
                </c:pt>
                <c:pt idx="8">
                  <c:v>-1.0042987801515472E-2</c:v>
                </c:pt>
                <c:pt idx="9">
                  <c:v>-1.0059989052764239E-2</c:v>
                </c:pt>
                <c:pt idx="10">
                  <c:v>-9.9365652545404491E-3</c:v>
                </c:pt>
                <c:pt idx="11">
                  <c:v>-9.692686930245482E-3</c:v>
                </c:pt>
                <c:pt idx="12">
                  <c:v>-9.3489575952225932E-3</c:v>
                </c:pt>
                <c:pt idx="13">
                  <c:v>-8.9254695983287391E-3</c:v>
                </c:pt>
                <c:pt idx="14">
                  <c:v>-8.4410239369225315E-3</c:v>
                </c:pt>
                <c:pt idx="15">
                  <c:v>-7.9126479671477439E-3</c:v>
                </c:pt>
                <c:pt idx="16">
                  <c:v>-7.3553448064190485E-3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812-4905-BCC4-4924206BB6E1}"/>
            </c:ext>
          </c:extLst>
        </c:ser>
        <c:ser>
          <c:idx val="11"/>
          <c:order val="11"/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first_part_theta!$Y$5:$Y$21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first_part_theta!$AL$5:$AL$21</c:f>
              <c:numCache>
                <c:formatCode>General</c:formatCode>
                <c:ptCount val="17"/>
                <c:pt idx="0">
                  <c:v>-4.2374078865411793E-3</c:v>
                </c:pt>
                <c:pt idx="1">
                  <c:v>-4.9960758054153204E-3</c:v>
                </c:pt>
                <c:pt idx="2">
                  <c:v>-5.6925566441000846E-3</c:v>
                </c:pt>
                <c:pt idx="3">
                  <c:v>-6.3060789270419706E-3</c:v>
                </c:pt>
                <c:pt idx="4">
                  <c:v>-6.8236953758965754E-3</c:v>
                </c:pt>
                <c:pt idx="5">
                  <c:v>-7.239176296960549E-3</c:v>
                </c:pt>
                <c:pt idx="6">
                  <c:v>-7.5516894403615826E-3</c:v>
                </c:pt>
                <c:pt idx="7">
                  <c:v>-7.7644852947259145E-3</c:v>
                </c:pt>
                <c:pt idx="8">
                  <c:v>-7.8837089439053269E-3</c:v>
                </c:pt>
                <c:pt idx="9">
                  <c:v>-7.9173932603715542E-3</c:v>
                </c:pt>
                <c:pt idx="10">
                  <c:v>-7.8746467543464385E-3</c:v>
                </c:pt>
                <c:pt idx="11">
                  <c:v>-7.7650257703771397E-3</c:v>
                </c:pt>
                <c:pt idx="12">
                  <c:v>-7.5980689808797085E-3</c:v>
                </c:pt>
                <c:pt idx="13">
                  <c:v>-7.3829678156991279E-3</c:v>
                </c:pt>
                <c:pt idx="14">
                  <c:v>-7.1283464840293563E-3</c:v>
                </c:pt>
                <c:pt idx="15">
                  <c:v>-6.8421275437640693E-3</c:v>
                </c:pt>
                <c:pt idx="16">
                  <c:v>-6.5314622716995414E-3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812-4905-BCC4-4924206BB6E1}"/>
            </c:ext>
          </c:extLst>
        </c:ser>
        <c:ser>
          <c:idx val="12"/>
          <c:order val="12"/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first_part_theta!$Y$5:$Y$21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first_part_theta!$AM$5:$AM$21</c:f>
              <c:numCache>
                <c:formatCode>General</c:formatCode>
                <c:ptCount val="17"/>
                <c:pt idx="0">
                  <c:v>-4.0073760431144729E-3</c:v>
                </c:pt>
                <c:pt idx="1">
                  <c:v>-4.5600802173021834E-3</c:v>
                </c:pt>
                <c:pt idx="2">
                  <c:v>-5.0545396546174855E-3</c:v>
                </c:pt>
                <c:pt idx="3">
                  <c:v>-5.4826468127928043E-3</c:v>
                </c:pt>
                <c:pt idx="4">
                  <c:v>-5.8405372096270811E-3</c:v>
                </c:pt>
                <c:pt idx="5">
                  <c:v>-6.1276487151441074E-3</c:v>
                </c:pt>
                <c:pt idx="6">
                  <c:v>-6.3458675336652819E-3</c:v>
                </c:pt>
                <c:pt idx="7">
                  <c:v>-6.4988006664126021E-3</c:v>
                </c:pt>
                <c:pt idx="8">
                  <c:v>-6.5911833409823374E-3</c:v>
                </c:pt>
                <c:pt idx="9">
                  <c:v>-6.62841328844115E-3</c:v>
                </c:pt>
                <c:pt idx="10">
                  <c:v>-6.6161961438274313E-3</c:v>
                </c:pt>
                <c:pt idx="11">
                  <c:v>-6.5602838545613827E-3</c:v>
                </c:pt>
                <c:pt idx="12">
                  <c:v>-6.4662884071539917E-3</c:v>
                </c:pt>
                <c:pt idx="13">
                  <c:v>-6.3395549713659008E-3</c:v>
                </c:pt>
                <c:pt idx="14">
                  <c:v>-6.1850808679763253E-3</c:v>
                </c:pt>
                <c:pt idx="15">
                  <c:v>-6.007469127612167E-3</c:v>
                </c:pt>
                <c:pt idx="16">
                  <c:v>-5.8109075897312089E-3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812-4905-BCC4-4924206BB6E1}"/>
            </c:ext>
          </c:extLst>
        </c:ser>
        <c:ser>
          <c:idx val="13"/>
          <c:order val="13"/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first_part_theta!$Y$5:$Y$21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first_part_theta!$AN$5:$AN$21</c:f>
              <c:numCache>
                <c:formatCode>General</c:formatCode>
                <c:ptCount val="17"/>
                <c:pt idx="0">
                  <c:v>-3.7360733280407963E-3</c:v>
                </c:pt>
                <c:pt idx="1">
                  <c:v>-4.1614490711383047E-3</c:v>
                </c:pt>
                <c:pt idx="2">
                  <c:v>-4.5367701439203365E-3</c:v>
                </c:pt>
                <c:pt idx="3">
                  <c:v>-4.859055785348859E-3</c:v>
                </c:pt>
                <c:pt idx="4">
                  <c:v>-5.1277401270427925E-3</c:v>
                </c:pt>
                <c:pt idx="5">
                  <c:v>-5.3440161017825616E-3</c:v>
                </c:pt>
                <c:pt idx="6">
                  <c:v>-5.5102995377851287E-3</c:v>
                </c:pt>
                <c:pt idx="7">
                  <c:v>-5.6298061572505418E-3</c:v>
                </c:pt>
                <c:pt idx="8">
                  <c:v>-5.7062268288461671E-3</c:v>
                </c:pt>
                <c:pt idx="9">
                  <c:v>-5.7434844548699118E-3</c:v>
                </c:pt>
                <c:pt idx="10">
                  <c:v>-5.7455565858172165E-3</c:v>
                </c:pt>
                <c:pt idx="11">
                  <c:v>-5.7163497316359835E-3</c:v>
                </c:pt>
                <c:pt idx="12">
                  <c:v>-5.659613570313241E-3</c:v>
                </c:pt>
                <c:pt idx="13">
                  <c:v>-5.5788854348364563E-3</c:v>
                </c:pt>
                <c:pt idx="14">
                  <c:v>-5.4774574077337329E-3</c:v>
                </c:pt>
                <c:pt idx="15">
                  <c:v>-5.3583600072541846E-3</c:v>
                </c:pt>
                <c:pt idx="16">
                  <c:v>-5.2243578106122204E-3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812-4905-BCC4-4924206BB6E1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3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5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8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9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1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4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</c:bandFmts>
        <c:axId val="2123893264"/>
        <c:axId val="2123892848"/>
        <c:axId val="2134594544"/>
      </c:surface3DChart>
      <c:catAx>
        <c:axId val="21238932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>
                    <a:solidFill>
                      <a:schemeClr val="bg1"/>
                    </a:solidFill>
                  </a:rPr>
                  <a:t>Stock</a:t>
                </a:r>
                <a:r>
                  <a:rPr lang="en-US" baseline="0">
                    <a:solidFill>
                      <a:schemeClr val="bg1"/>
                    </a:solidFill>
                  </a:rPr>
                  <a:t> Price</a:t>
                </a:r>
                <a:endParaRPr lang="en-US">
                  <a:solidFill>
                    <a:schemeClr val="bg1"/>
                  </a:solidFill>
                </a:endParaRP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3892848"/>
        <c:crosses val="autoZero"/>
        <c:auto val="1"/>
        <c:lblAlgn val="ctr"/>
        <c:lblOffset val="100"/>
        <c:noMultiLvlLbl val="0"/>
      </c:catAx>
      <c:valAx>
        <c:axId val="2123892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>
                    <a:solidFill>
                      <a:schemeClr val="bg1"/>
                    </a:solidFill>
                  </a:rPr>
                  <a:t>Theta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3893264"/>
        <c:crosses val="autoZero"/>
        <c:crossBetween val="midCat"/>
      </c:valAx>
      <c:serAx>
        <c:axId val="2134594544"/>
        <c:scaling>
          <c:orientation val="minMax"/>
        </c:scaling>
        <c:delete val="0"/>
        <c:axPos val="b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>
                    <a:solidFill>
                      <a:schemeClr val="bg1"/>
                    </a:solidFill>
                  </a:rPr>
                  <a:t>Maturity</a:t>
                </a:r>
              </a:p>
            </c:rich>
          </c:tx>
          <c:overlay val="0"/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3892848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Theta (Volatility = 0.1)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0"/>
      <c:rotY val="20"/>
      <c:rAngAx val="0"/>
      <c:perspective val="8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v>0.1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first_part_theta!$AQ$5:$AQ$21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first_part_theta!$AS$5:$AS$21</c:f>
              <c:numCache>
                <c:formatCode>General</c:formatCode>
                <c:ptCount val="17"/>
                <c:pt idx="0">
                  <c:v>-4.8229322480073432E-59</c:v>
                </c:pt>
                <c:pt idx="1">
                  <c:v>-1.0758816027387067E-42</c:v>
                </c:pt>
                <c:pt idx="2">
                  <c:v>-4.8674221922236454E-30</c:v>
                </c:pt>
                <c:pt idx="3">
                  <c:v>-2.1147119037623106E-20</c:v>
                </c:pt>
                <c:pt idx="4">
                  <c:v>-2.9463717909451377E-13</c:v>
                </c:pt>
                <c:pt idx="5">
                  <c:v>-3.4025236347435231E-8</c:v>
                </c:pt>
                <c:pt idx="6">
                  <c:v>-6.9457027299651156E-5</c:v>
                </c:pt>
                <c:pt idx="7">
                  <c:v>-4.604393935016958E-3</c:v>
                </c:pt>
                <c:pt idx="8">
                  <c:v>-1.587654101649514E-2</c:v>
                </c:pt>
                <c:pt idx="9">
                  <c:v>-2.5497239430425818E-3</c:v>
                </c:pt>
                <c:pt idx="10">
                  <c:v>2.5583191026071522E-3</c:v>
                </c:pt>
                <c:pt idx="11">
                  <c:v>2.7360522598924991E-3</c:v>
                </c:pt>
                <c:pt idx="12">
                  <c:v>2.73698670721447E-3</c:v>
                </c:pt>
                <c:pt idx="13">
                  <c:v>2.7369876705364785E-3</c:v>
                </c:pt>
                <c:pt idx="14">
                  <c:v>2.7369876707763531E-3</c:v>
                </c:pt>
                <c:pt idx="15">
                  <c:v>2.73698767077637E-3</c:v>
                </c:pt>
                <c:pt idx="16">
                  <c:v>2.73698767077637E-3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8F-4AA2-8A17-060D0B32044C}"/>
            </c:ext>
          </c:extLst>
        </c:ser>
        <c:ser>
          <c:idx val="1"/>
          <c:order val="1"/>
          <c:tx>
            <c:v>0.2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first_part_theta!$AQ$5:$AQ$21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first_part_theta!$AT$5:$AT$21</c:f>
              <c:numCache>
                <c:formatCode>General</c:formatCode>
                <c:ptCount val="17"/>
                <c:pt idx="0">
                  <c:v>-7.2797748550212078E-31</c:v>
                </c:pt>
                <c:pt idx="1">
                  <c:v>-1.0646033177470248E-22</c:v>
                </c:pt>
                <c:pt idx="2">
                  <c:v>-2.2197131579323962E-16</c:v>
                </c:pt>
                <c:pt idx="3">
                  <c:v>-1.4353017789604989E-11</c:v>
                </c:pt>
                <c:pt idx="4">
                  <c:v>-5.2569916846475414E-8</c:v>
                </c:pt>
                <c:pt idx="5">
                  <c:v>-1.7518836015171496E-5</c:v>
                </c:pt>
                <c:pt idx="6">
                  <c:v>-7.7433276416402511E-4</c:v>
                </c:pt>
                <c:pt idx="7">
                  <c:v>-6.1235178933894477E-3</c:v>
                </c:pt>
                <c:pt idx="8">
                  <c:v>-1.080104881991133E-2</c:v>
                </c:pt>
                <c:pt idx="9">
                  <c:v>-4.1909072557798945E-3</c:v>
                </c:pt>
                <c:pt idx="10">
                  <c:v>1.4916852803152835E-3</c:v>
                </c:pt>
                <c:pt idx="11">
                  <c:v>2.6459147010131617E-3</c:v>
                </c:pt>
                <c:pt idx="12">
                  <c:v>2.7314576301087638E-3</c:v>
                </c:pt>
                <c:pt idx="13">
                  <c:v>2.7342085161821315E-3</c:v>
                </c:pt>
                <c:pt idx="14">
                  <c:v>2.7342516865315192E-3</c:v>
                </c:pt>
                <c:pt idx="15">
                  <c:v>2.7342520493728586E-3</c:v>
                </c:pt>
                <c:pt idx="16">
                  <c:v>2.7342520511380564E-3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78F-4AA2-8A17-060D0B32044C}"/>
            </c:ext>
          </c:extLst>
        </c:ser>
        <c:ser>
          <c:idx val="2"/>
          <c:order val="2"/>
          <c:tx>
            <c:v>0.3</c:v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first_part_theta!$AQ$5:$AQ$21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first_part_theta!$AU$5:$AU$21</c:f>
              <c:numCache>
                <c:formatCode>General</c:formatCode>
                <c:ptCount val="17"/>
                <c:pt idx="0">
                  <c:v>-1.6433332448894664E-21</c:v>
                </c:pt>
                <c:pt idx="1">
                  <c:v>-4.4957138773605802E-16</c:v>
                </c:pt>
                <c:pt idx="2">
                  <c:v>-7.2360905546874347E-12</c:v>
                </c:pt>
                <c:pt idx="3">
                  <c:v>-1.1499994926423536E-8</c:v>
                </c:pt>
                <c:pt idx="4">
                  <c:v>-2.6951835053998341E-6</c:v>
                </c:pt>
                <c:pt idx="5">
                  <c:v>-1.2766156060127755E-4</c:v>
                </c:pt>
                <c:pt idx="6">
                  <c:v>-1.5687934898210708E-3</c:v>
                </c:pt>
                <c:pt idx="7">
                  <c:v>-6.0843492023878619E-3</c:v>
                </c:pt>
                <c:pt idx="8">
                  <c:v>-8.5483945394121096E-3</c:v>
                </c:pt>
                <c:pt idx="9">
                  <c:v>-4.2843611236363299E-3</c:v>
                </c:pt>
                <c:pt idx="10">
                  <c:v>5.400336179259464E-4</c:v>
                </c:pt>
                <c:pt idx="11">
                  <c:v>2.3604389904379242E-3</c:v>
                </c:pt>
                <c:pt idx="12">
                  <c:v>2.6948030203742938E-3</c:v>
                </c:pt>
                <c:pt idx="13">
                  <c:v>2.7292501657144811E-3</c:v>
                </c:pt>
                <c:pt idx="14">
                  <c:v>2.7314263677809853E-3</c:v>
                </c:pt>
                <c:pt idx="15">
                  <c:v>2.7315165249788167E-3</c:v>
                </c:pt>
                <c:pt idx="16">
                  <c:v>2.7315191111513125E-3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78F-4AA2-8A17-060D0B32044C}"/>
            </c:ext>
          </c:extLst>
        </c:ser>
        <c:ser>
          <c:idx val="3"/>
          <c:order val="3"/>
          <c:tx>
            <c:v>0.4</c:v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first_part_theta!$AQ$5:$AQ$21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first_part_theta!$AV$5:$AV$21</c:f>
              <c:numCache>
                <c:formatCode>General</c:formatCode>
                <c:ptCount val="17"/>
                <c:pt idx="0">
                  <c:v>-7.4643867791599165E-17</c:v>
                </c:pt>
                <c:pt idx="1">
                  <c:v>-8.8291643741194131E-13</c:v>
                </c:pt>
                <c:pt idx="2">
                  <c:v>-1.2480500168547002E-9</c:v>
                </c:pt>
                <c:pt idx="3">
                  <c:v>-3.1077582786395914E-7</c:v>
                </c:pt>
                <c:pt idx="4">
                  <c:v>-1.8409542884615869E-5</c:v>
                </c:pt>
                <c:pt idx="5">
                  <c:v>-3.2838601198620815E-4</c:v>
                </c:pt>
                <c:pt idx="6">
                  <c:v>-2.1244323016837239E-3</c:v>
                </c:pt>
                <c:pt idx="7">
                  <c:v>-5.7574969830346164E-3</c:v>
                </c:pt>
                <c:pt idx="8">
                  <c:v>-7.2032540167636609E-3</c:v>
                </c:pt>
                <c:pt idx="9">
                  <c:v>-4.0810845440697324E-3</c:v>
                </c:pt>
                <c:pt idx="10">
                  <c:v>-7.5155342437636659E-5</c:v>
                </c:pt>
                <c:pt idx="11">
                  <c:v>1.9966955978992732E-3</c:v>
                </c:pt>
                <c:pt idx="12">
                  <c:v>2.6007701695916754E-3</c:v>
                </c:pt>
                <c:pt idx="13">
                  <c:v>2.7130406833150013E-3</c:v>
                </c:pt>
                <c:pt idx="14">
                  <c:v>2.727366308882203E-3</c:v>
                </c:pt>
                <c:pt idx="15">
                  <c:v>2.7286910338300929E-3</c:v>
                </c:pt>
                <c:pt idx="16">
                  <c:v>2.7287836986285082E-3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78F-4AA2-8A17-060D0B32044C}"/>
            </c:ext>
          </c:extLst>
        </c:ser>
        <c:ser>
          <c:idx val="4"/>
          <c:order val="4"/>
          <c:tx>
            <c:v>0.5</c:v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first_part_theta!$AQ$5:$AQ$21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first_part_theta!$AW$5:$AW$21</c:f>
              <c:numCache>
                <c:formatCode>General</c:formatCode>
                <c:ptCount val="17"/>
                <c:pt idx="0">
                  <c:v>-4.5238891558426521E-14</c:v>
                </c:pt>
                <c:pt idx="1">
                  <c:v>-8.1251517869680539E-11</c:v>
                </c:pt>
                <c:pt idx="2">
                  <c:v>-2.6678350923263346E-8</c:v>
                </c:pt>
                <c:pt idx="3">
                  <c:v>-2.183700132075416E-6</c:v>
                </c:pt>
                <c:pt idx="4">
                  <c:v>-5.6643814792192585E-5</c:v>
                </c:pt>
                <c:pt idx="5">
                  <c:v>-5.6190406818520131E-4</c:v>
                </c:pt>
                <c:pt idx="6">
                  <c:v>-2.4708524938138994E-3</c:v>
                </c:pt>
                <c:pt idx="7">
                  <c:v>-5.3927495389022194E-3</c:v>
                </c:pt>
                <c:pt idx="8">
                  <c:v>-6.2837997868473456E-3</c:v>
                </c:pt>
                <c:pt idx="9">
                  <c:v>-3.8234406984483855E-3</c:v>
                </c:pt>
                <c:pt idx="10">
                  <c:v>-4.5526418507062271E-4</c:v>
                </c:pt>
                <c:pt idx="11">
                  <c:v>1.6495573833138029E-3</c:v>
                </c:pt>
                <c:pt idx="12">
                  <c:v>2.4612613083598617E-3</c:v>
                </c:pt>
                <c:pt idx="13">
                  <c:v>2.676844997149176E-3</c:v>
                </c:pt>
                <c:pt idx="14">
                  <c:v>2.7189105193305414E-3</c:v>
                </c:pt>
                <c:pt idx="15">
                  <c:v>2.7252248745543847E-3</c:v>
                </c:pt>
                <c:pt idx="16">
                  <c:v>2.7259806891152022E-3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78F-4AA2-8A17-060D0B32044C}"/>
            </c:ext>
          </c:extLst>
        </c:ser>
        <c:ser>
          <c:idx val="5"/>
          <c:order val="5"/>
          <c:tx>
            <c:v>0.6</c:v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first_part_theta!$AQ$5:$AQ$21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first_part_theta!$AX$5:$AX$21</c:f>
              <c:numCache>
                <c:formatCode>General</c:formatCode>
                <c:ptCount val="17"/>
                <c:pt idx="0">
                  <c:v>-3.1806249692828647E-12</c:v>
                </c:pt>
                <c:pt idx="1">
                  <c:v>-1.6255423450036807E-9</c:v>
                </c:pt>
                <c:pt idx="2">
                  <c:v>-2.0162653067878417E-7</c:v>
                </c:pt>
                <c:pt idx="3">
                  <c:v>-7.8578622005984244E-6</c:v>
                </c:pt>
                <c:pt idx="4">
                  <c:v>-1.174809284479336E-4</c:v>
                </c:pt>
                <c:pt idx="5">
                  <c:v>-7.8761615625588517E-4</c:v>
                </c:pt>
                <c:pt idx="6">
                  <c:v>-2.6751701817311585E-3</c:v>
                </c:pt>
                <c:pt idx="7">
                  <c:v>-5.0485556385893027E-3</c:v>
                </c:pt>
                <c:pt idx="8">
                  <c:v>-5.6040379678348531E-3</c:v>
                </c:pt>
                <c:pt idx="9">
                  <c:v>-3.5709201318294931E-3</c:v>
                </c:pt>
                <c:pt idx="10">
                  <c:v>-6.8912122715647994E-4</c:v>
                </c:pt>
                <c:pt idx="11">
                  <c:v>1.3511916556137554E-3</c:v>
                </c:pt>
                <c:pt idx="12">
                  <c:v>2.2997275948049112E-3</c:v>
                </c:pt>
                <c:pt idx="13">
                  <c:v>2.6196952143021112E-3</c:v>
                </c:pt>
                <c:pt idx="14">
                  <c:v>2.7026694034965274E-3</c:v>
                </c:pt>
                <c:pt idx="15">
                  <c:v>2.719894362864737E-3</c:v>
                </c:pt>
                <c:pt idx="16">
                  <c:v>2.7228475690484017E-3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78F-4AA2-8A17-060D0B32044C}"/>
            </c:ext>
          </c:extLst>
        </c:ser>
        <c:ser>
          <c:idx val="6"/>
          <c:order val="6"/>
          <c:tx>
            <c:v>0.7</c:v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first_part_theta!$AQ$5:$AQ$21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first_part_theta!$AY$5:$AY$21</c:f>
              <c:numCache>
                <c:formatCode>General</c:formatCode>
                <c:ptCount val="17"/>
                <c:pt idx="0">
                  <c:v>-6.5461223070391869E-11</c:v>
                </c:pt>
                <c:pt idx="1">
                  <c:v>-1.363035569191267E-8</c:v>
                </c:pt>
                <c:pt idx="2">
                  <c:v>-8.4327681216657823E-7</c:v>
                </c:pt>
                <c:pt idx="3">
                  <c:v>-1.9337425832125605E-5</c:v>
                </c:pt>
                <c:pt idx="4">
                  <c:v>-1.9496949873399735E-4</c:v>
                </c:pt>
                <c:pt idx="5">
                  <c:v>-9.87524613457769E-4</c:v>
                </c:pt>
                <c:pt idx="6">
                  <c:v>-2.7873437568231413E-3</c:v>
                </c:pt>
                <c:pt idx="7">
                  <c:v>-4.7374180240533055E-3</c:v>
                </c:pt>
                <c:pt idx="8">
                  <c:v>-5.0749448462215482E-3</c:v>
                </c:pt>
                <c:pt idx="9">
                  <c:v>-3.3385825019047973E-3</c:v>
                </c:pt>
                <c:pt idx="10">
                  <c:v>-8.3202287651568617E-4</c:v>
                </c:pt>
                <c:pt idx="11">
                  <c:v>1.1051372984933281E-3</c:v>
                </c:pt>
                <c:pt idx="12">
                  <c:v>2.1341479781971742E-3</c:v>
                </c:pt>
                <c:pt idx="13">
                  <c:v>2.5460337423489784E-3</c:v>
                </c:pt>
                <c:pt idx="14">
                  <c:v>2.6769743834106612E-3</c:v>
                </c:pt>
                <c:pt idx="15">
                  <c:v>2.711261274899718E-3</c:v>
                </c:pt>
                <c:pt idx="16">
                  <c:v>2.7188643215371191E-3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78F-4AA2-8A17-060D0B32044C}"/>
            </c:ext>
          </c:extLst>
        </c:ser>
        <c:ser>
          <c:idx val="7"/>
          <c:order val="7"/>
          <c:tx>
            <c:v>0.8</c:v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first_part_theta!$AQ$5:$AQ$21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first_part_theta!$AZ$5:$AZ$21</c:f>
              <c:numCache>
                <c:formatCode>General</c:formatCode>
                <c:ptCount val="17"/>
                <c:pt idx="0">
                  <c:v>-6.2611602466551874E-10</c:v>
                </c:pt>
                <c:pt idx="1">
                  <c:v>-6.6471482671022123E-8</c:v>
                </c:pt>
                <c:pt idx="2">
                  <c:v>-2.4403147977753383E-6</c:v>
                </c:pt>
                <c:pt idx="3">
                  <c:v>-3.7585237622209033E-5</c:v>
                </c:pt>
                <c:pt idx="4">
                  <c:v>-2.819173768465175E-4</c:v>
                </c:pt>
                <c:pt idx="5">
                  <c:v>-1.1566305897684882E-3</c:v>
                </c:pt>
                <c:pt idx="6">
                  <c:v>-2.8399165646563525E-3</c:v>
                </c:pt>
                <c:pt idx="7">
                  <c:v>-4.459309455380432E-3</c:v>
                </c:pt>
                <c:pt idx="8">
                  <c:v>-4.6478483826995496E-3</c:v>
                </c:pt>
                <c:pt idx="9">
                  <c:v>-3.1288105870208261E-3</c:v>
                </c:pt>
                <c:pt idx="10">
                  <c:v>-9.1714868461760827E-4</c:v>
                </c:pt>
                <c:pt idx="11">
                  <c:v>9.0550511555693926E-4</c:v>
                </c:pt>
                <c:pt idx="12">
                  <c:v>1.9750371781977975E-3</c:v>
                </c:pt>
                <c:pt idx="13">
                  <c:v>2.4617513044746589E-3</c:v>
                </c:pt>
                <c:pt idx="14">
                  <c:v>2.6420506808531806E-3</c:v>
                </c:pt>
                <c:pt idx="15">
                  <c:v>2.6982577094780144E-3</c:v>
                </c:pt>
                <c:pt idx="16">
                  <c:v>2.7133783767033194E-3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78F-4AA2-8A17-060D0B32044C}"/>
            </c:ext>
          </c:extLst>
        </c:ser>
        <c:ser>
          <c:idx val="8"/>
          <c:order val="8"/>
          <c:tx>
            <c:v>0.9</c:v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first_part_theta!$AQ$5:$AQ$21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first_part_theta!$BA$5:$BA$21</c:f>
              <c:numCache>
                <c:formatCode>General</c:formatCode>
                <c:ptCount val="17"/>
                <c:pt idx="0">
                  <c:v>-3.5966096256031937E-9</c:v>
                </c:pt>
                <c:pt idx="1">
                  <c:v>-2.2608869230918151E-7</c:v>
                </c:pt>
                <c:pt idx="2">
                  <c:v>-5.5300293586365474E-6</c:v>
                </c:pt>
                <c:pt idx="3">
                  <c:v>-6.24824836601744E-5</c:v>
                </c:pt>
                <c:pt idx="4">
                  <c:v>-3.7224124756949132E-4</c:v>
                </c:pt>
                <c:pt idx="5">
                  <c:v>-1.2958888070641089E-3</c:v>
                </c:pt>
                <c:pt idx="6">
                  <c:v>-2.8536457123536324E-3</c:v>
                </c:pt>
                <c:pt idx="7">
                  <c:v>-4.21087053924382E-3</c:v>
                </c:pt>
                <c:pt idx="8">
                  <c:v>-4.2935940031354793E-3</c:v>
                </c:pt>
                <c:pt idx="9">
                  <c:v>-2.9402106200932072E-3</c:v>
                </c:pt>
                <c:pt idx="10">
                  <c:v>-9.6471219031866269E-4</c:v>
                </c:pt>
                <c:pt idx="11">
                  <c:v>7.4443291706789423E-4</c:v>
                </c:pt>
                <c:pt idx="12">
                  <c:v>1.8275552626760667E-3</c:v>
                </c:pt>
                <c:pt idx="13">
                  <c:v>2.372096069216182E-3</c:v>
                </c:pt>
                <c:pt idx="14">
                  <c:v>2.5993007460876163E-3</c:v>
                </c:pt>
                <c:pt idx="15">
                  <c:v>2.6804276991071198E-3</c:v>
                </c:pt>
                <c:pt idx="16">
                  <c:v>2.7057950439785834E-3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78F-4AA2-8A17-060D0B32044C}"/>
            </c:ext>
          </c:extLst>
        </c:ser>
        <c:ser>
          <c:idx val="9"/>
          <c:order val="9"/>
          <c:tx>
            <c:v>1</c:v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first_part_theta!$AQ$5:$AQ$21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first_part_theta!$BB$5:$BB$21</c:f>
              <c:numCache>
                <c:formatCode>General</c:formatCode>
                <c:ptCount val="17"/>
                <c:pt idx="0">
                  <c:v>-1.446882179480382E-8</c:v>
                </c:pt>
                <c:pt idx="1">
                  <c:v>-5.979812111969222E-7</c:v>
                </c:pt>
                <c:pt idx="2">
                  <c:v>-1.0567656736874637E-5</c:v>
                </c:pt>
                <c:pt idx="3">
                  <c:v>-9.3173479554957279E-5</c:v>
                </c:pt>
                <c:pt idx="4">
                  <c:v>-4.6155236515579769E-4</c:v>
                </c:pt>
                <c:pt idx="5">
                  <c:v>-1.4085269001649443E-3</c:v>
                </c:pt>
                <c:pt idx="6">
                  <c:v>-2.8418700888165524E-3</c:v>
                </c:pt>
                <c:pt idx="7">
                  <c:v>-3.9881870179831911E-3</c:v>
                </c:pt>
                <c:pt idx="8">
                  <c:v>-3.9935104829025292E-3</c:v>
                </c:pt>
                <c:pt idx="9">
                  <c:v>-2.7704127291370024E-3</c:v>
                </c:pt>
                <c:pt idx="10">
                  <c:v>-9.8735577700534275E-4</c:v>
                </c:pt>
                <c:pt idx="11">
                  <c:v>6.1458164504419666E-4</c:v>
                </c:pt>
                <c:pt idx="12">
                  <c:v>1.6936557432989537E-3</c:v>
                </c:pt>
                <c:pt idx="13">
                  <c:v>2.2810487318854328E-3</c:v>
                </c:pt>
                <c:pt idx="14">
                  <c:v>2.5505853413793364E-3</c:v>
                </c:pt>
                <c:pt idx="15">
                  <c:v>2.6578678244114249E-3</c:v>
                </c:pt>
                <c:pt idx="16">
                  <c:v>2.6957052802764523E-3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78F-4AA2-8A17-060D0B32044C}"/>
            </c:ext>
          </c:extLst>
        </c:ser>
        <c:ser>
          <c:idx val="10"/>
          <c:order val="10"/>
          <c:tx>
            <c:v>2</c:v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first_part_theta!$AQ$5:$AQ$21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first_part_theta!$BC$5:$BC$21</c:f>
              <c:numCache>
                <c:formatCode>General</c:formatCode>
                <c:ptCount val="17"/>
                <c:pt idx="0">
                  <c:v>-6.6281800168779741E-6</c:v>
                </c:pt>
                <c:pt idx="1">
                  <c:v>-4.1360687072468178E-5</c:v>
                </c:pt>
                <c:pt idx="2">
                  <c:v>-1.6861051482168664E-4</c:v>
                </c:pt>
                <c:pt idx="3">
                  <c:v>-4.8448413083600368E-4</c:v>
                </c:pt>
                <c:pt idx="4">
                  <c:v>-1.0396279607814151E-3</c:v>
                </c:pt>
                <c:pt idx="5">
                  <c:v>-1.7404214840735762E-3</c:v>
                </c:pt>
                <c:pt idx="6">
                  <c:v>-2.3460129566491069E-3</c:v>
                </c:pt>
                <c:pt idx="7">
                  <c:v>-2.5954135802699644E-3</c:v>
                </c:pt>
                <c:pt idx="8">
                  <c:v>-2.3599053499616311E-3</c:v>
                </c:pt>
                <c:pt idx="9">
                  <c:v>-1.6986370329751519E-3</c:v>
                </c:pt>
                <c:pt idx="10">
                  <c:v>-7.9807676994680726E-4</c:v>
                </c:pt>
                <c:pt idx="11">
                  <c:v>1.3453152612770866E-4</c:v>
                </c:pt>
                <c:pt idx="12">
                  <c:v>9.4958766588929986E-4</c:v>
                </c:pt>
                <c:pt idx="13">
                  <c:v>1.5789791490491566E-3</c:v>
                </c:pt>
                <c:pt idx="14">
                  <c:v>2.0199382221646398E-3</c:v>
                </c:pt>
                <c:pt idx="15">
                  <c:v>2.3052366397097001E-3</c:v>
                </c:pt>
                <c:pt idx="16">
                  <c:v>2.4779096963439586E-3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78F-4AA2-8A17-060D0B32044C}"/>
            </c:ext>
          </c:extLst>
        </c:ser>
        <c:ser>
          <c:idx val="11"/>
          <c:order val="11"/>
          <c:tx>
            <c:v>3</c:v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first_part_theta!$AQ$5:$AQ$21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first_part_theta!$BD$5:$BD$21</c:f>
              <c:numCache>
                <c:formatCode>General</c:formatCode>
                <c:ptCount val="17"/>
                <c:pt idx="0">
                  <c:v>-4.529268118048049E-5</c:v>
                </c:pt>
                <c:pt idx="1">
                  <c:v>-1.4990166929791313E-4</c:v>
                </c:pt>
                <c:pt idx="2">
                  <c:v>-3.7299446871789585E-4</c:v>
                </c:pt>
                <c:pt idx="3">
                  <c:v>-7.3331171544938284E-4</c:v>
                </c:pt>
                <c:pt idx="4">
                  <c:v>-1.1822830591346784E-3</c:v>
                </c:pt>
                <c:pt idx="5">
                  <c:v>-1.6062140751324759E-3</c:v>
                </c:pt>
                <c:pt idx="6">
                  <c:v>-1.872246879909557E-3</c:v>
                </c:pt>
                <c:pt idx="7">
                  <c:v>-1.886723005232873E-3</c:v>
                </c:pt>
                <c:pt idx="8">
                  <c:v>-1.6293655512835663E-3</c:v>
                </c:pt>
                <c:pt idx="9">
                  <c:v>-1.1498048286844897E-3</c:v>
                </c:pt>
                <c:pt idx="10">
                  <c:v>-5.3799921543561168E-4</c:v>
                </c:pt>
                <c:pt idx="11">
                  <c:v>1.1063255452831992E-4</c:v>
                </c:pt>
                <c:pt idx="12">
                  <c:v>7.2010124828512316E-4</c:v>
                </c:pt>
                <c:pt idx="13">
                  <c:v>1.2440118993482618E-3</c:v>
                </c:pt>
                <c:pt idx="14">
                  <c:v>1.6639788040755373E-3</c:v>
                </c:pt>
                <c:pt idx="15">
                  <c:v>1.9819951844858145E-3</c:v>
                </c:pt>
                <c:pt idx="16">
                  <c:v>2.2116472374974733E-3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78F-4AA2-8A17-060D0B32044C}"/>
            </c:ext>
          </c:extLst>
        </c:ser>
        <c:ser>
          <c:idx val="12"/>
          <c:order val="12"/>
          <c:tx>
            <c:v>4</c:v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first_part_theta!$AQ$5:$AQ$21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first_part_theta!$BE$5:$BE$21</c:f>
              <c:numCache>
                <c:formatCode>General</c:formatCode>
                <c:ptCount val="17"/>
                <c:pt idx="0">
                  <c:v>-1.1064235534244021E-4</c:v>
                </c:pt>
                <c:pt idx="1">
                  <c:v>-2.658943449115014E-4</c:v>
                </c:pt>
                <c:pt idx="2">
                  <c:v>-5.1508329576400438E-4</c:v>
                </c:pt>
                <c:pt idx="3">
                  <c:v>-8.341030260438743E-4</c:v>
                </c:pt>
                <c:pt idx="4">
                  <c:v>-1.1596270349251423E-3</c:v>
                </c:pt>
                <c:pt idx="5">
                  <c:v>-1.4100522837507414E-3</c:v>
                </c:pt>
                <c:pt idx="6">
                  <c:v>-1.5155961394824559E-3</c:v>
                </c:pt>
                <c:pt idx="7">
                  <c:v>-1.4408918049755347E-3</c:v>
                </c:pt>
                <c:pt idx="8">
                  <c:v>-1.1912565853016497E-3</c:v>
                </c:pt>
                <c:pt idx="9">
                  <c:v>-8.0420330910446975E-4</c:v>
                </c:pt>
                <c:pt idx="10">
                  <c:v>-3.3365523006058362E-4</c:v>
                </c:pt>
                <c:pt idx="11">
                  <c:v>1.6552241235183912E-4</c:v>
                </c:pt>
                <c:pt idx="12">
                  <c:v>6.4815624900885574E-4</c:v>
                </c:pt>
                <c:pt idx="13">
                  <c:v>1.0835024458855074E-3</c:v>
                </c:pt>
                <c:pt idx="14">
                  <c:v>1.4552661945767295E-3</c:v>
                </c:pt>
                <c:pt idx="15">
                  <c:v>1.7588726751749616E-3</c:v>
                </c:pt>
                <c:pt idx="16">
                  <c:v>1.9977679912232429E-3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78F-4AA2-8A17-060D0B32044C}"/>
            </c:ext>
          </c:extLst>
        </c:ser>
        <c:ser>
          <c:idx val="13"/>
          <c:order val="13"/>
          <c:tx>
            <c:v>5</c:v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first_part_theta!$AQ$5:$AQ$21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first_part_theta!$BF$5:$BF$21</c:f>
              <c:numCache>
                <c:formatCode>General</c:formatCode>
                <c:ptCount val="17"/>
                <c:pt idx="0">
                  <c:v>-1.8061391491424629E-4</c:v>
                </c:pt>
                <c:pt idx="1">
                  <c:v>-3.5735096472375107E-4</c:v>
                </c:pt>
                <c:pt idx="2">
                  <c:v>-5.9398191304144328E-4</c:v>
                </c:pt>
                <c:pt idx="3">
                  <c:v>-8.5319082506419338E-4</c:v>
                </c:pt>
                <c:pt idx="4">
                  <c:v>-1.080565648235759E-3</c:v>
                </c:pt>
                <c:pt idx="5">
                  <c:v>-1.2224629570766424E-3</c:v>
                </c:pt>
                <c:pt idx="6">
                  <c:v>-1.2421253395755543E-3</c:v>
                </c:pt>
                <c:pt idx="7">
                  <c:v>-1.1277119060622385E-3</c:v>
                </c:pt>
                <c:pt idx="8">
                  <c:v>-8.912725303741679E-4</c:v>
                </c:pt>
                <c:pt idx="9">
                  <c:v>-5.6158554531547254E-4</c:v>
                </c:pt>
                <c:pt idx="10">
                  <c:v>-1.749312874260272E-4</c:v>
                </c:pt>
                <c:pt idx="11">
                  <c:v>2.3299782223387103E-4</c:v>
                </c:pt>
                <c:pt idx="12">
                  <c:v>6.3245886465487517E-4</c:v>
                </c:pt>
                <c:pt idx="13">
                  <c:v>1.0021008847770089E-3</c:v>
                </c:pt>
                <c:pt idx="14">
                  <c:v>1.3291145405376417E-3</c:v>
                </c:pt>
                <c:pt idx="15">
                  <c:v>1.6079797734797462E-3</c:v>
                </c:pt>
                <c:pt idx="16">
                  <c:v>1.8386140536978475E-3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78F-4AA2-8A17-060D0B32044C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3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5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8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9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1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4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</c:bandFmts>
        <c:axId val="645797167"/>
        <c:axId val="645785935"/>
        <c:axId val="642898575"/>
      </c:surface3DChart>
      <c:catAx>
        <c:axId val="64579716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stock 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785935"/>
        <c:crosses val="autoZero"/>
        <c:auto val="1"/>
        <c:lblAlgn val="ctr"/>
        <c:lblOffset val="100"/>
        <c:noMultiLvlLbl val="0"/>
      </c:catAx>
      <c:valAx>
        <c:axId val="6457859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theta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797167"/>
        <c:crosses val="autoZero"/>
        <c:crossBetween val="midCat"/>
      </c:valAx>
      <c:serAx>
        <c:axId val="642898575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maturity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785935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Rho (Volatility = 0.2)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0"/>
      <c:rotY val="280"/>
      <c:rAngAx val="0"/>
      <c:perspective val="11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9164661708953047E-2"/>
          <c:y val="3.9661016949152549E-2"/>
          <c:w val="0.92801509186351705"/>
          <c:h val="0.62852113824754952"/>
        </c:manualLayout>
      </c:layout>
      <c:surface3DChart>
        <c:wireframe val="0"/>
        <c:ser>
          <c:idx val="0"/>
          <c:order val="0"/>
          <c:tx>
            <c:v>0.1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first_part_rho!$G$5:$G$21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first_part_rho!$I$5:$I$21</c:f>
              <c:numCache>
                <c:formatCode>General</c:formatCode>
                <c:ptCount val="17"/>
                <c:pt idx="0">
                  <c:v>2.9155373317769776E-17</c:v>
                </c:pt>
                <c:pt idx="1">
                  <c:v>4.3284662987202281E-13</c:v>
                </c:pt>
                <c:pt idx="2">
                  <c:v>7.7692467200589764E-10</c:v>
                </c:pt>
                <c:pt idx="3">
                  <c:v>2.5013539023405383E-7</c:v>
                </c:pt>
                <c:pt idx="4">
                  <c:v>1.9684019476440405E-5</c:v>
                </c:pt>
                <c:pt idx="5">
                  <c:v>4.8575796157643818E-4</c:v>
                </c:pt>
                <c:pt idx="6">
                  <c:v>4.6266505291057552E-3</c:v>
                </c:pt>
                <c:pt idx="7">
                  <c:v>2.0396276517295933E-2</c:v>
                </c:pt>
                <c:pt idx="8">
                  <c:v>4.9319898584384125E-2</c:v>
                </c:pt>
                <c:pt idx="9">
                  <c:v>7.7428944428213187E-2</c:v>
                </c:pt>
                <c:pt idx="10">
                  <c:v>9.3111062933054919E-2</c:v>
                </c:pt>
                <c:pt idx="11">
                  <c:v>9.8489758625579293E-2</c:v>
                </c:pt>
                <c:pt idx="12">
                  <c:v>9.9693029945287864E-2</c:v>
                </c:pt>
                <c:pt idx="13">
                  <c:v>9.9877868050641513E-2</c:v>
                </c:pt>
                <c:pt idx="14">
                  <c:v>9.989825783141762E-2</c:v>
                </c:pt>
                <c:pt idx="15">
                  <c:v>9.9899937425487084E-2</c:v>
                </c:pt>
                <c:pt idx="16">
                  <c:v>9.9900044333117666E-2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55-4A5C-AADE-671CC389E25B}"/>
            </c:ext>
          </c:extLst>
        </c:ser>
        <c:ser>
          <c:idx val="1"/>
          <c:order val="1"/>
          <c:tx>
            <c:v>0.2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first_part_rho!$G$5:$G$21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first_part_rho!$J$5:$J$21</c:f>
              <c:numCache>
                <c:formatCode>General</c:formatCode>
                <c:ptCount val="17"/>
                <c:pt idx="0">
                  <c:v>9.8144996773923621E-10</c:v>
                </c:pt>
                <c:pt idx="1">
                  <c:v>1.3045620291245923E-7</c:v>
                </c:pt>
                <c:pt idx="2">
                  <c:v>6.0569776566511092E-6</c:v>
                </c:pt>
                <c:pt idx="3">
                  <c:v>1.1981739309242231E-4</c:v>
                </c:pt>
                <c:pt idx="4">
                  <c:v>1.180615367981647E-3</c:v>
                </c:pt>
                <c:pt idx="5">
                  <c:v>6.5728086131009653E-3</c:v>
                </c:pt>
                <c:pt idx="6">
                  <c:v>2.2955278113909659E-2</c:v>
                </c:pt>
                <c:pt idx="7">
                  <c:v>5.5018256030450026E-2</c:v>
                </c:pt>
                <c:pt idx="8">
                  <c:v>9.8019788801767246E-2</c:v>
                </c:pt>
                <c:pt idx="9">
                  <c:v>0.13963207315360487</c:v>
                </c:pt>
                <c:pt idx="10">
                  <c:v>0.16997597069863821</c:v>
                </c:pt>
                <c:pt idx="11">
                  <c:v>0.18727453260072854</c:v>
                </c:pt>
                <c:pt idx="12">
                  <c:v>0.19522974084010128</c:v>
                </c:pt>
                <c:pt idx="13">
                  <c:v>0.19826121374631198</c:v>
                </c:pt>
                <c:pt idx="14">
                  <c:v>0.19924080062887661</c:v>
                </c:pt>
                <c:pt idx="15">
                  <c:v>0.19951462891393384</c:v>
                </c:pt>
                <c:pt idx="16">
                  <c:v>0.19958199888181857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55-4A5C-AADE-671CC389E25B}"/>
            </c:ext>
          </c:extLst>
        </c:ser>
        <c:ser>
          <c:idx val="2"/>
          <c:order val="2"/>
          <c:tx>
            <c:v>0.3</c:v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first_part_rho!$G$5:$G$21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first_part_rho!$K$5:$K$21</c:f>
              <c:numCache>
                <c:formatCode>General</c:formatCode>
                <c:ptCount val="17"/>
                <c:pt idx="0">
                  <c:v>4.0745379654174117E-7</c:v>
                </c:pt>
                <c:pt idx="1">
                  <c:v>1.1214508890306986E-5</c:v>
                </c:pt>
                <c:pt idx="2">
                  <c:v>1.534011080390588E-4</c:v>
                </c:pt>
                <c:pt idx="3">
                  <c:v>1.1911631216126903E-3</c:v>
                </c:pt>
                <c:pt idx="4">
                  <c:v>5.8294742224800937E-3</c:v>
                </c:pt>
                <c:pt idx="5">
                  <c:v>1.9560484482833904E-2</c:v>
                </c:pt>
                <c:pt idx="6">
                  <c:v>4.8240469025865852E-2</c:v>
                </c:pt>
                <c:pt idx="7">
                  <c:v>9.274491325250403E-2</c:v>
                </c:pt>
                <c:pt idx="8">
                  <c:v>0.14628325566737618</c:v>
                </c:pt>
                <c:pt idx="9">
                  <c:v>0.19801355879149482</c:v>
                </c:pt>
                <c:pt idx="10">
                  <c:v>0.23936909463006026</c:v>
                </c:pt>
                <c:pt idx="11">
                  <c:v>0.2674171475353192</c:v>
                </c:pt>
                <c:pt idx="12">
                  <c:v>0.28390164223017772</c:v>
                </c:pt>
                <c:pt idx="13">
                  <c:v>0.29245072006046918</c:v>
                </c:pt>
                <c:pt idx="14">
                  <c:v>0.29642425234579128</c:v>
                </c:pt>
                <c:pt idx="15">
                  <c:v>0.29810172215636355</c:v>
                </c:pt>
                <c:pt idx="16">
                  <c:v>0.29875241343482661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A55-4A5C-AADE-671CC389E25B}"/>
            </c:ext>
          </c:extLst>
        </c:ser>
        <c:ser>
          <c:idx val="3"/>
          <c:order val="3"/>
          <c:tx>
            <c:v>0.4</c:v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first_part_rho!$G$5:$G$21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first_part_rho!$L$5:$L$21</c:f>
              <c:numCache>
                <c:formatCode>General</c:formatCode>
                <c:ptCount val="17"/>
                <c:pt idx="0">
                  <c:v>9.3629247971002436E-6</c:v>
                </c:pt>
                <c:pt idx="1">
                  <c:v>1.1705675325644336E-4</c:v>
                </c:pt>
                <c:pt idx="2">
                  <c:v>8.671070253851767E-4</c:v>
                </c:pt>
                <c:pt idx="3">
                  <c:v>4.2058365657656558E-3</c:v>
                </c:pt>
                <c:pt idx="4">
                  <c:v>1.4449660567580994E-2</c:v>
                </c:pt>
                <c:pt idx="5">
                  <c:v>3.7454643863001104E-2</c:v>
                </c:pt>
                <c:pt idx="6">
                  <c:v>7.714568152454411E-2</c:v>
                </c:pt>
                <c:pt idx="7">
                  <c:v>0.13187458778736869</c:v>
                </c:pt>
                <c:pt idx="8">
                  <c:v>0.19417631512966549</c:v>
                </c:pt>
                <c:pt idx="9">
                  <c:v>0.25432746553601698</c:v>
                </c:pt>
                <c:pt idx="10">
                  <c:v>0.30470390561626748</c:v>
                </c:pt>
                <c:pt idx="11">
                  <c:v>0.34200126589648211</c:v>
                </c:pt>
                <c:pt idx="12">
                  <c:v>0.36680746478076992</c:v>
                </c:pt>
                <c:pt idx="13">
                  <c:v>0.3818320533555099</c:v>
                </c:pt>
                <c:pt idx="14">
                  <c:v>0.39021658405667159</c:v>
                </c:pt>
                <c:pt idx="15">
                  <c:v>0.39457121776080656</c:v>
                </c:pt>
                <c:pt idx="16">
                  <c:v>0.39669441320637577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A55-4A5C-AADE-671CC389E25B}"/>
            </c:ext>
          </c:extLst>
        </c:ser>
        <c:ser>
          <c:idx val="4"/>
          <c:order val="4"/>
          <c:tx>
            <c:v>0.5</c:v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first_part_rho!$G$5:$G$21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first_part_rho!$M$5:$M$21</c:f>
              <c:numCache>
                <c:formatCode>General</c:formatCode>
                <c:ptCount val="17"/>
                <c:pt idx="0">
                  <c:v>6.588679923516248E-5</c:v>
                </c:pt>
                <c:pt idx="1">
                  <c:v>5.124182147004363E-4</c:v>
                </c:pt>
                <c:pt idx="2">
                  <c:v>2.6230859396038069E-3</c:v>
                </c:pt>
                <c:pt idx="3">
                  <c:v>9.5750502791312735E-3</c:v>
                </c:pt>
                <c:pt idx="4">
                  <c:v>2.6541221761137001E-2</c:v>
                </c:pt>
                <c:pt idx="5">
                  <c:v>5.8755556011287499E-2</c:v>
                </c:pt>
                <c:pt idx="6">
                  <c:v>0.10825115598149131</c:v>
                </c:pt>
                <c:pt idx="7">
                  <c:v>0.1717865664850281</c:v>
                </c:pt>
                <c:pt idx="8">
                  <c:v>0.24173738548666898</c:v>
                </c:pt>
                <c:pt idx="9">
                  <c:v>0.30924184743469108</c:v>
                </c:pt>
                <c:pt idx="10">
                  <c:v>0.36738595144398112</c:v>
                </c:pt>
                <c:pt idx="11">
                  <c:v>0.41277215823472962</c:v>
                </c:pt>
                <c:pt idx="12">
                  <c:v>0.44529407145839939</c:v>
                </c:pt>
                <c:pt idx="13">
                  <c:v>0.46692198548977831</c:v>
                </c:pt>
                <c:pt idx="14">
                  <c:v>0.4803961669575153</c:v>
                </c:pt>
                <c:pt idx="15">
                  <c:v>0.4883235563423502</c:v>
                </c:pt>
                <c:pt idx="16">
                  <c:v>0.49275873716227719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A55-4A5C-AADE-671CC389E25B}"/>
            </c:ext>
          </c:extLst>
        </c:ser>
        <c:ser>
          <c:idx val="5"/>
          <c:order val="5"/>
          <c:tx>
            <c:v>0.6</c:v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first_part_rho!$G$5:$G$21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first_part_rho!$N$5:$N$21</c:f>
              <c:numCache>
                <c:formatCode>General</c:formatCode>
                <c:ptCount val="17"/>
                <c:pt idx="0">
                  <c:v>2.5336754690401985E-4</c:v>
                </c:pt>
                <c:pt idx="1">
                  <c:v>1.4346745368583711E-3</c:v>
                </c:pt>
                <c:pt idx="2">
                  <c:v>5.7342650040421743E-3</c:v>
                </c:pt>
                <c:pt idx="3">
                  <c:v>1.7295450873604512E-2</c:v>
                </c:pt>
                <c:pt idx="4">
                  <c:v>4.1483206002554972E-2</c:v>
                </c:pt>
                <c:pt idx="5">
                  <c:v>8.2510457333700937E-2</c:v>
                </c:pt>
                <c:pt idx="6">
                  <c:v>0.14082638092999991</c:v>
                </c:pt>
                <c:pt idx="7">
                  <c:v>0.21217661617090136</c:v>
                </c:pt>
                <c:pt idx="8">
                  <c:v>0.28899256857821798</c:v>
                </c:pt>
                <c:pt idx="9">
                  <c:v>0.36309866980005234</c:v>
                </c:pt>
                <c:pt idx="10">
                  <c:v>0.42813919395874578</c:v>
                </c:pt>
                <c:pt idx="11">
                  <c:v>0.4807365212174417</c:v>
                </c:pt>
                <c:pt idx="12">
                  <c:v>0.52035124616342832</c:v>
                </c:pt>
                <c:pt idx="13">
                  <c:v>0.54839430840815317</c:v>
                </c:pt>
                <c:pt idx="14">
                  <c:v>0.56719853041525747</c:v>
                </c:pt>
                <c:pt idx="15">
                  <c:v>0.57922265459566469</c:v>
                </c:pt>
                <c:pt idx="16">
                  <c:v>0.58659707295076824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A55-4A5C-AADE-671CC389E25B}"/>
            </c:ext>
          </c:extLst>
        </c:ser>
        <c:ser>
          <c:idx val="6"/>
          <c:order val="6"/>
          <c:tx>
            <c:v>0.7</c:v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first_part_rho!$G$5:$G$21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first_part_rho!$O$5:$O$21</c:f>
              <c:numCache>
                <c:formatCode>General</c:formatCode>
                <c:ptCount val="17"/>
                <c:pt idx="0">
                  <c:v>6.8496313647904098E-4</c:v>
                </c:pt>
                <c:pt idx="1">
                  <c:v>3.0898154554743775E-3</c:v>
                </c:pt>
                <c:pt idx="2">
                  <c:v>1.0340638105047843E-2</c:v>
                </c:pt>
                <c:pt idx="3">
                  <c:v>2.7188766452768527E-2</c:v>
                </c:pt>
                <c:pt idx="4">
                  <c:v>5.8743138124230571E-2</c:v>
                </c:pt>
                <c:pt idx="5">
                  <c:v>0.10810010394461254</c:v>
                </c:pt>
                <c:pt idx="6">
                  <c:v>0.17444422479079946</c:v>
                </c:pt>
                <c:pt idx="7">
                  <c:v>0.25287075576346896</c:v>
                </c:pt>
                <c:pt idx="8">
                  <c:v>0.33596116095735584</c:v>
                </c:pt>
                <c:pt idx="9">
                  <c:v>0.41610220083116067</c:v>
                </c:pt>
                <c:pt idx="10">
                  <c:v>0.48739182226438388</c:v>
                </c:pt>
                <c:pt idx="11">
                  <c:v>0.54652113577166295</c:v>
                </c:pt>
                <c:pt idx="12">
                  <c:v>0.59267237553388952</c:v>
                </c:pt>
                <c:pt idx="13">
                  <c:v>0.62683596450535606</c:v>
                </c:pt>
                <c:pt idx="14">
                  <c:v>0.65098182663181059</c:v>
                </c:pt>
                <c:pt idx="15">
                  <c:v>0.66736921843921537</c:v>
                </c:pt>
                <c:pt idx="16">
                  <c:v>0.67810197543662665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A55-4A5C-AADE-671CC389E25B}"/>
            </c:ext>
          </c:extLst>
        </c:ser>
        <c:ser>
          <c:idx val="7"/>
          <c:order val="7"/>
          <c:tx>
            <c:v>0.8</c:v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first_part_rho!$G$5:$G$21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first_part_rho!$P$5:$P$21</c:f>
              <c:numCache>
                <c:formatCode>General</c:formatCode>
                <c:ptCount val="17"/>
                <c:pt idx="0">
                  <c:v>1.4792299832123142E-3</c:v>
                </c:pt>
                <c:pt idx="1">
                  <c:v>5.6236751489784891E-3</c:v>
                </c:pt>
                <c:pt idx="2">
                  <c:v>1.6463949579291832E-2</c:v>
                </c:pt>
                <c:pt idx="3">
                  <c:v>3.9025965710024674E-2</c:v>
                </c:pt>
                <c:pt idx="4">
                  <c:v>7.7898920427139723E-2</c:v>
                </c:pt>
                <c:pt idx="5">
                  <c:v>0.13510429218050068</c:v>
                </c:pt>
                <c:pt idx="6">
                  <c:v>0.2088321053401625</c:v>
                </c:pt>
                <c:pt idx="7">
                  <c:v>0.29375944234947271</c:v>
                </c:pt>
                <c:pt idx="8">
                  <c:v>0.38265821976803815</c:v>
                </c:pt>
                <c:pt idx="9">
                  <c:v>0.46838682825452477</c:v>
                </c:pt>
                <c:pt idx="10">
                  <c:v>0.54542150099630149</c:v>
                </c:pt>
                <c:pt idx="11">
                  <c:v>0.61054291488019352</c:v>
                </c:pt>
                <c:pt idx="12">
                  <c:v>0.66275083755870512</c:v>
                </c:pt>
                <c:pt idx="13">
                  <c:v>0.70271704194040652</c:v>
                </c:pt>
                <c:pt idx="14">
                  <c:v>0.73210216289147134</c:v>
                </c:pt>
                <c:pt idx="15">
                  <c:v>0.75295737423125908</c:v>
                </c:pt>
                <c:pt idx="16">
                  <c:v>0.76730661853179072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A55-4A5C-AADE-671CC389E25B}"/>
            </c:ext>
          </c:extLst>
        </c:ser>
        <c:ser>
          <c:idx val="8"/>
          <c:order val="8"/>
          <c:tx>
            <c:v>0.9</c:v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first_part_rho!$G$5:$G$21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first_part_rho!$Q$5:$Q$21</c:f>
              <c:numCache>
                <c:formatCode>General</c:formatCode>
                <c:ptCount val="17"/>
                <c:pt idx="0">
                  <c:v>2.742313900181243E-3</c:v>
                </c:pt>
                <c:pt idx="1">
                  <c:v>9.1231525678742362E-3</c:v>
                </c:pt>
                <c:pt idx="2">
                  <c:v>2.4057851465664689E-2</c:v>
                </c:pt>
                <c:pt idx="3">
                  <c:v>5.2579361449743296E-2</c:v>
                </c:pt>
                <c:pt idx="4">
                  <c:v>9.8621140558167994E-2</c:v>
                </c:pt>
                <c:pt idx="5">
                  <c:v>0.16322605204399809</c:v>
                </c:pt>
                <c:pt idx="6">
                  <c:v>0.24380474754909542</c:v>
                </c:pt>
                <c:pt idx="7">
                  <c:v>0.33476899762460488</c:v>
                </c:pt>
                <c:pt idx="8">
                  <c:v>0.42909594584950783</c:v>
                </c:pt>
                <c:pt idx="9">
                  <c:v>0.5200470479945416</c:v>
                </c:pt>
                <c:pt idx="10">
                  <c:v>0.60242046033683738</c:v>
                </c:pt>
                <c:pt idx="11">
                  <c:v>0.67309416261096167</c:v>
                </c:pt>
                <c:pt idx="12">
                  <c:v>0.73094735333031413</c:v>
                </c:pt>
                <c:pt idx="13">
                  <c:v>0.776407581462356</c:v>
                </c:pt>
                <c:pt idx="14">
                  <c:v>0.81087590504535045</c:v>
                </c:pt>
                <c:pt idx="15">
                  <c:v>0.83620516746271689</c:v>
                </c:pt>
                <c:pt idx="16">
                  <c:v>0.85431448147951738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A55-4A5C-AADE-671CC389E25B}"/>
            </c:ext>
          </c:extLst>
        </c:ser>
        <c:ser>
          <c:idx val="9"/>
          <c:order val="9"/>
          <c:tx>
            <c:v>1</c:v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first_part_rho!$G$5:$G$21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first_part_rho!$R$5:$R$21</c:f>
              <c:numCache>
                <c:formatCode>General</c:formatCode>
                <c:ptCount val="17"/>
                <c:pt idx="0">
                  <c:v>4.5595912570109316E-3</c:v>
                </c:pt>
                <c:pt idx="1">
                  <c:v>1.3628210187071797E-2</c:v>
                </c:pt>
                <c:pt idx="2">
                  <c:v>3.3041361033821035E-2</c:v>
                </c:pt>
                <c:pt idx="3">
                  <c:v>6.7641543932963441E-2</c:v>
                </c:pt>
                <c:pt idx="4">
                  <c:v>0.12065171933845739</c:v>
                </c:pt>
                <c:pt idx="5">
                  <c:v>0.19224806199408723</c:v>
                </c:pt>
                <c:pt idx="6">
                  <c:v>0.2792301046204449</c:v>
                </c:pt>
                <c:pt idx="7">
                  <c:v>0.37584742260070186</c:v>
                </c:pt>
                <c:pt idx="8">
                  <c:v>0.47528450546914641</c:v>
                </c:pt>
                <c:pt idx="9">
                  <c:v>0.5711526257442161</c:v>
                </c:pt>
                <c:pt idx="10">
                  <c:v>0.65852844532273402</c:v>
                </c:pt>
                <c:pt idx="11">
                  <c:v>0.73438858241015237</c:v>
                </c:pt>
                <c:pt idx="12">
                  <c:v>0.79753296736124069</c:v>
                </c:pt>
                <c:pt idx="13">
                  <c:v>0.84819982584634879</c:v>
                </c:pt>
                <c:pt idx="14">
                  <c:v>0.88757319713568383</c:v>
                </c:pt>
                <c:pt idx="15">
                  <c:v>0.91732436651684779</c:v>
                </c:pt>
                <c:pt idx="16">
                  <c:v>0.93925858365570525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A55-4A5C-AADE-671CC389E25B}"/>
            </c:ext>
          </c:extLst>
        </c:ser>
        <c:ser>
          <c:idx val="10"/>
          <c:order val="10"/>
          <c:tx>
            <c:v>2</c:v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first_part_rho!$G$5:$G$21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first_part_rho!$S$5:$S$21</c:f>
              <c:numCache>
                <c:formatCode>General</c:formatCode>
                <c:ptCount val="17"/>
                <c:pt idx="0">
                  <c:v>5.9353081456012938E-2</c:v>
                </c:pt>
                <c:pt idx="1">
                  <c:v>0.10879243138680189</c:v>
                </c:pt>
                <c:pt idx="2">
                  <c:v>0.17932080685197074</c:v>
                </c:pt>
                <c:pt idx="3">
                  <c:v>0.27119588189475019</c:v>
                </c:pt>
                <c:pt idx="4">
                  <c:v>0.38226402136740828</c:v>
                </c:pt>
                <c:pt idx="5">
                  <c:v>0.50846001160439569</c:v>
                </c:pt>
                <c:pt idx="6">
                  <c:v>0.64458771564347106</c:v>
                </c:pt>
                <c:pt idx="7">
                  <c:v>0.78513403617493838</c:v>
                </c:pt>
                <c:pt idx="8">
                  <c:v>0.92494293545844164</c:v>
                </c:pt>
                <c:pt idx="9">
                  <c:v>1.0596687970369523</c:v>
                </c:pt>
                <c:pt idx="10">
                  <c:v>1.1860034685036835</c:v>
                </c:pt>
                <c:pt idx="11">
                  <c:v>1.301716483822899</c:v>
                </c:pt>
                <c:pt idx="12">
                  <c:v>1.4055657274099254</c:v>
                </c:pt>
                <c:pt idx="13">
                  <c:v>1.4971347861958171</c:v>
                </c:pt>
                <c:pt idx="14">
                  <c:v>1.5766424137341921</c:v>
                </c:pt>
                <c:pt idx="15">
                  <c:v>1.6447556479755494</c:v>
                </c:pt>
                <c:pt idx="16">
                  <c:v>1.7024252108865094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A55-4A5C-AADE-671CC389E25B}"/>
            </c:ext>
          </c:extLst>
        </c:ser>
        <c:ser>
          <c:idx val="11"/>
          <c:order val="11"/>
          <c:tx>
            <c:v>3</c:v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first_part_rho!$G$5:$G$21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first_part_rho!$T$5:$T$21</c:f>
              <c:numCache>
                <c:formatCode>General</c:formatCode>
                <c:ptCount val="17"/>
                <c:pt idx="0">
                  <c:v>0.17245259544138369</c:v>
                </c:pt>
                <c:pt idx="1">
                  <c:v>0.26706226544028677</c:v>
                </c:pt>
                <c:pt idx="2">
                  <c:v>0.38476487533043752</c:v>
                </c:pt>
                <c:pt idx="3">
                  <c:v>0.52273981099216771</c:v>
                </c:pt>
                <c:pt idx="4">
                  <c:v>0.67677547849775832</c:v>
                </c:pt>
                <c:pt idx="5">
                  <c:v>0.84192775036698542</c:v>
                </c:pt>
                <c:pt idx="6">
                  <c:v>1.0131166738002781</c:v>
                </c:pt>
                <c:pt idx="7">
                  <c:v>1.1855867137549208</c:v>
                </c:pt>
                <c:pt idx="8">
                  <c:v>1.3552089139551935</c:v>
                </c:pt>
                <c:pt idx="9">
                  <c:v>1.5186376940705391</c:v>
                </c:pt>
                <c:pt idx="10">
                  <c:v>1.6733520389609637</c:v>
                </c:pt>
                <c:pt idx="11">
                  <c:v>1.8176154213669029</c:v>
                </c:pt>
                <c:pt idx="12">
                  <c:v>1.9503860096125631</c:v>
                </c:pt>
                <c:pt idx="13">
                  <c:v>2.071202520027601</c:v>
                </c:pt>
                <c:pt idx="14">
                  <c:v>2.1800640774968918</c:v>
                </c:pt>
                <c:pt idx="15">
                  <c:v>2.2773160793645628</c:v>
                </c:pt>
                <c:pt idx="16">
                  <c:v>2.363548932826006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A55-4A5C-AADE-671CC389E25B}"/>
            </c:ext>
          </c:extLst>
        </c:ser>
        <c:ser>
          <c:idx val="12"/>
          <c:order val="12"/>
          <c:tx>
            <c:v>4</c:v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first_part_rho!$G$5:$G$21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first_part_rho!$U$5:$U$21</c:f>
              <c:numCache>
                <c:formatCode>General</c:formatCode>
                <c:ptCount val="17"/>
                <c:pt idx="0">
                  <c:v>0.32377152020462435</c:v>
                </c:pt>
                <c:pt idx="1">
                  <c:v>0.45966579050016665</c:v>
                </c:pt>
                <c:pt idx="2">
                  <c:v>0.6174994858488011</c:v>
                </c:pt>
                <c:pt idx="3">
                  <c:v>0.79297672467890534</c:v>
                </c:pt>
                <c:pt idx="4">
                  <c:v>0.98121354844747444</c:v>
                </c:pt>
                <c:pt idx="5">
                  <c:v>1.1772513441976242</c:v>
                </c:pt>
                <c:pt idx="6">
                  <c:v>1.3764368253482542</c:v>
                </c:pt>
                <c:pt idx="7">
                  <c:v>1.5746664906933414</c:v>
                </c:pt>
                <c:pt idx="8">
                  <c:v>1.7685142165444596</c:v>
                </c:pt>
                <c:pt idx="9">
                  <c:v>1.9552688246325389</c:v>
                </c:pt>
                <c:pt idx="10">
                  <c:v>2.1329088821197066</c:v>
                </c:pt>
                <c:pt idx="11">
                  <c:v>2.3000383938445146</c:v>
                </c:pt>
                <c:pt idx="12">
                  <c:v>2.4558019526519712</c:v>
                </c:pt>
                <c:pt idx="13">
                  <c:v>2.5997927799092873</c:v>
                </c:pt>
                <c:pt idx="14">
                  <c:v>2.7319626305478524</c:v>
                </c:pt>
                <c:pt idx="15">
                  <c:v>2.8525390074635313</c:v>
                </c:pt>
                <c:pt idx="16">
                  <c:v>2.9619525249901475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A55-4A5C-AADE-671CC389E25B}"/>
            </c:ext>
          </c:extLst>
        </c:ser>
        <c:ser>
          <c:idx val="13"/>
          <c:order val="13"/>
          <c:tx>
            <c:v>5</c:v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first_part_rho!$G$5:$G$21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first_part_rho!$V$5:$V$21</c:f>
              <c:numCache>
                <c:formatCode>General</c:formatCode>
                <c:ptCount val="17"/>
                <c:pt idx="0">
                  <c:v>0.4989815054427264</c:v>
                </c:pt>
                <c:pt idx="1">
                  <c:v>0.67144050131601485</c:v>
                </c:pt>
                <c:pt idx="2">
                  <c:v>0.8636305114580537</c:v>
                </c:pt>
                <c:pt idx="3">
                  <c:v>1.070610955886903</c:v>
                </c:pt>
                <c:pt idx="4">
                  <c:v>1.2873783982233833</c:v>
                </c:pt>
                <c:pt idx="5">
                  <c:v>1.509219653951388</c:v>
                </c:pt>
                <c:pt idx="6">
                  <c:v>1.7319351169097623</c:v>
                </c:pt>
                <c:pt idx="7">
                  <c:v>1.9519550649892421</c:v>
                </c:pt>
                <c:pt idx="8">
                  <c:v>2.1663757703673947</c:v>
                </c:pt>
                <c:pt idx="9">
                  <c:v>2.3729405021947212</c:v>
                </c:pt>
                <c:pt idx="10">
                  <c:v>2.5699862244155023</c:v>
                </c:pt>
                <c:pt idx="11">
                  <c:v>2.7563718801831256</c:v>
                </c:pt>
                <c:pt idx="12">
                  <c:v>2.9313996071778941</c:v>
                </c:pt>
                <c:pt idx="13">
                  <c:v>3.0947364560622197</c:v>
                </c:pt>
                <c:pt idx="14">
                  <c:v>3.2463412741759061</c:v>
                </c:pt>
                <c:pt idx="15">
                  <c:v>3.3863992954318465</c:v>
                </c:pt>
                <c:pt idx="16">
                  <c:v>3.5152655093388363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A55-4A5C-AADE-671CC389E25B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3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5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8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9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1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4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</c:bandFmts>
        <c:axId val="1178443855"/>
        <c:axId val="1178442191"/>
        <c:axId val="1317004847"/>
      </c:surface3DChart>
      <c:catAx>
        <c:axId val="117844385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Stock price</a:t>
                </a:r>
              </a:p>
            </c:rich>
          </c:tx>
          <c:layout>
            <c:manualLayout>
              <c:xMode val="edge"/>
              <c:yMode val="edge"/>
              <c:x val="0.76230132691746877"/>
              <c:y val="0.5552477126799828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8442191"/>
        <c:crosses val="autoZero"/>
        <c:auto val="1"/>
        <c:lblAlgn val="ctr"/>
        <c:lblOffset val="100"/>
        <c:noMultiLvlLbl val="0"/>
      </c:catAx>
      <c:valAx>
        <c:axId val="11784421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Rho</a:t>
                </a:r>
              </a:p>
            </c:rich>
          </c:tx>
          <c:layout>
            <c:manualLayout>
              <c:xMode val="edge"/>
              <c:yMode val="edge"/>
              <c:x val="6.8960885097696115E-2"/>
              <c:y val="0.3221477823746608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8443855"/>
        <c:crosses val="autoZero"/>
        <c:crossBetween val="midCat"/>
      </c:valAx>
      <c:serAx>
        <c:axId val="1317004847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maturity</a:t>
                </a:r>
              </a:p>
            </c:rich>
          </c:tx>
          <c:layout>
            <c:manualLayout>
              <c:xMode val="edge"/>
              <c:yMode val="edge"/>
              <c:x val="0.38428659959171768"/>
              <c:y val="0.69141836084048824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8442191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Rho (Volatility = 0.3)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0"/>
      <c:rotY val="280"/>
      <c:rAngAx val="0"/>
      <c:perspective val="11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9.3086710197810646E-2"/>
          <c:y val="1.9714173743999096E-2"/>
          <c:w val="0.86176712173568237"/>
          <c:h val="0.7374934503932179"/>
        </c:manualLayout>
      </c:layout>
      <c:surface3DChart>
        <c:wireframe val="0"/>
        <c:ser>
          <c:idx val="0"/>
          <c:order val="0"/>
          <c:tx>
            <c:v>0.1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first_part_rho!$Y$5:$Y$21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first_part_rho!$AA$5:$AA$21</c:f>
              <c:numCache>
                <c:formatCode>General</c:formatCode>
                <c:ptCount val="17"/>
                <c:pt idx="0">
                  <c:v>2.9526232275500711E-9</c:v>
                </c:pt>
                <c:pt idx="1">
                  <c:v>2.3477394326331548E-7</c:v>
                </c:pt>
                <c:pt idx="2">
                  <c:v>7.3280508906908516E-6</c:v>
                </c:pt>
                <c:pt idx="3">
                  <c:v>1.0716304021740663E-4</c:v>
                </c:pt>
                <c:pt idx="4">
                  <c:v>8.4379549560306417E-4</c:v>
                </c:pt>
                <c:pt idx="5">
                  <c:v>4.0019706155343393E-3</c:v>
                </c:pt>
                <c:pt idx="6">
                  <c:v>1.2546393350198692E-2</c:v>
                </c:pt>
                <c:pt idx="7">
                  <c:v>2.8149490988691562E-2</c:v>
                </c:pt>
                <c:pt idx="8">
                  <c:v>4.8480002263733495E-2</c:v>
                </c:pt>
                <c:pt idx="9">
                  <c:v>6.8277831133797179E-2</c:v>
                </c:pt>
                <c:pt idx="10">
                  <c:v>8.3258594130054389E-2</c:v>
                </c:pt>
                <c:pt idx="11">
                  <c:v>9.2362125771932119E-2</c:v>
                </c:pt>
                <c:pt idx="12">
                  <c:v>9.6931155243772646E-2</c:v>
                </c:pt>
                <c:pt idx="13">
                  <c:v>9.8871106655175345E-2</c:v>
                </c:pt>
                <c:pt idx="14">
                  <c:v>9.9582415229851867E-2</c:v>
                </c:pt>
                <c:pt idx="15">
                  <c:v>9.98116842069902E-2</c:v>
                </c:pt>
                <c:pt idx="16">
                  <c:v>9.9877653195750885E-2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A0-411D-A52A-A38EA897C797}"/>
            </c:ext>
          </c:extLst>
        </c:ser>
        <c:ser>
          <c:idx val="1"/>
          <c:order val="1"/>
          <c:tx>
            <c:v>0.2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first_part_rho!$Y$5:$Y$21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first_part_rho!$AB$5:$AB$21</c:f>
              <c:numCache>
                <c:formatCode>General</c:formatCode>
                <c:ptCount val="17"/>
                <c:pt idx="0">
                  <c:v>1.1332530343148013E-5</c:v>
                </c:pt>
                <c:pt idx="1">
                  <c:v>1.1000326823056661E-4</c:v>
                </c:pt>
                <c:pt idx="2">
                  <c:v>6.7012653150436694E-4</c:v>
                </c:pt>
                <c:pt idx="3">
                  <c:v>2.8005079404176507E-3</c:v>
                </c:pt>
                <c:pt idx="4">
                  <c:v>8.6101600896775782E-3</c:v>
                </c:pt>
                <c:pt idx="5">
                  <c:v>2.0599015086440079E-2</c:v>
                </c:pt>
                <c:pt idx="6">
                  <c:v>4.015156999077784E-2</c:v>
                </c:pt>
                <c:pt idx="7">
                  <c:v>6.6260425961542996E-2</c:v>
                </c:pt>
                <c:pt idx="8">
                  <c:v>9.5647445393394939E-2</c:v>
                </c:pt>
                <c:pt idx="9">
                  <c:v>0.12420817808937204</c:v>
                </c:pt>
                <c:pt idx="10">
                  <c:v>0.14866303408782128</c:v>
                </c:pt>
                <c:pt idx="11">
                  <c:v>0.16742535793708613</c:v>
                </c:pt>
                <c:pt idx="12">
                  <c:v>0.18050952682701799</c:v>
                </c:pt>
                <c:pt idx="13">
                  <c:v>0.1889046884123747</c:v>
                </c:pt>
                <c:pt idx="14">
                  <c:v>0.19391259558754664</c:v>
                </c:pt>
                <c:pt idx="15">
                  <c:v>0.1967148907920642</c:v>
                </c:pt>
                <c:pt idx="16">
                  <c:v>0.1981972645855174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BA0-411D-A52A-A38EA897C797}"/>
            </c:ext>
          </c:extLst>
        </c:ser>
        <c:ser>
          <c:idx val="2"/>
          <c:order val="2"/>
          <c:tx>
            <c:v>0.3</c:v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first_part_rho!$Y$5:$Y$21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first_part_rho!$AC$5:$AC$21</c:f>
              <c:numCache>
                <c:formatCode>General</c:formatCode>
                <c:ptCount val="17"/>
                <c:pt idx="0">
                  <c:v>2.2587447202926817E-4</c:v>
                </c:pt>
                <c:pt idx="1">
                  <c:v>1.0828646304118204E-3</c:v>
                </c:pt>
                <c:pt idx="2">
                  <c:v>3.8055475002660962E-3</c:v>
                </c:pt>
                <c:pt idx="3">
                  <c:v>1.0404743079329298E-2</c:v>
                </c:pt>
                <c:pt idx="4">
                  <c:v>2.3188215227327152E-2</c:v>
                </c:pt>
                <c:pt idx="5">
                  <c:v>4.3722556636840146E-2</c:v>
                </c:pt>
                <c:pt idx="6">
                  <c:v>7.1895756392573701E-2</c:v>
                </c:pt>
                <c:pt idx="7">
                  <c:v>0.10571300384455705</c:v>
                </c:pt>
                <c:pt idx="8">
                  <c:v>0.14193093045907348</c:v>
                </c:pt>
                <c:pt idx="9">
                  <c:v>0.17710675985594912</c:v>
                </c:pt>
                <c:pt idx="10">
                  <c:v>0.20850986007567904</c:v>
                </c:pt>
                <c:pt idx="11">
                  <c:v>0.23457335932437789</c:v>
                </c:pt>
                <c:pt idx="12">
                  <c:v>0.25487739366774992</c:v>
                </c:pt>
                <c:pt idx="13">
                  <c:v>0.26984500276398515</c:v>
                </c:pt>
                <c:pt idx="14">
                  <c:v>0.28035878249676893</c:v>
                </c:pt>
                <c:pt idx="15">
                  <c:v>0.28743809080910765</c:v>
                </c:pt>
                <c:pt idx="16">
                  <c:v>0.29203093523689749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BA0-411D-A52A-A38EA897C797}"/>
            </c:ext>
          </c:extLst>
        </c:ser>
        <c:ser>
          <c:idx val="3"/>
          <c:order val="3"/>
          <c:tx>
            <c:v>0.4</c:v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first_part_rho!$Y$5:$Y$21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first_part_rho!$AD$5:$AD$21</c:f>
              <c:numCache>
                <c:formatCode>General</c:formatCode>
                <c:ptCount val="17"/>
                <c:pt idx="0">
                  <c:v>1.1301837002767319E-3</c:v>
                </c:pt>
                <c:pt idx="1">
                  <c:v>3.7982446397381545E-3</c:v>
                </c:pt>
                <c:pt idx="2">
                  <c:v>1.0108518694220895E-2</c:v>
                </c:pt>
                <c:pt idx="3">
                  <c:v>2.2277486403587093E-2</c:v>
                </c:pt>
                <c:pt idx="4">
                  <c:v>4.2101668239852952E-2</c:v>
                </c:pt>
                <c:pt idx="5">
                  <c:v>7.0158187896353461E-2</c:v>
                </c:pt>
                <c:pt idx="6">
                  <c:v>0.10543607299579148</c:v>
                </c:pt>
                <c:pt idx="7">
                  <c:v>0.14556689094577391</c:v>
                </c:pt>
                <c:pt idx="8">
                  <c:v>0.18748461687370585</c:v>
                </c:pt>
                <c:pt idx="9">
                  <c:v>0.22818237236294167</c:v>
                </c:pt>
                <c:pt idx="10">
                  <c:v>0.26528546066729886</c:v>
                </c:pt>
                <c:pt idx="11">
                  <c:v>0.29731963677583234</c:v>
                </c:pt>
                <c:pt idx="12">
                  <c:v>0.32370108870629927</c:v>
                </c:pt>
                <c:pt idx="13">
                  <c:v>0.34455132914714243</c:v>
                </c:pt>
                <c:pt idx="14">
                  <c:v>0.36044808482034152</c:v>
                </c:pt>
                <c:pt idx="15">
                  <c:v>0.37219240872194909</c:v>
                </c:pt>
                <c:pt idx="16">
                  <c:v>0.38063235204176132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BA0-411D-A52A-A38EA897C797}"/>
            </c:ext>
          </c:extLst>
        </c:ser>
        <c:ser>
          <c:idx val="4"/>
          <c:order val="4"/>
          <c:tx>
            <c:v>0.5</c:v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first_part_rho!$Y$5:$Y$21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first_part_rho!$AE$5:$AE$21</c:f>
              <c:numCache>
                <c:formatCode>General</c:formatCode>
                <c:ptCount val="17"/>
                <c:pt idx="0">
                  <c:v>3.1727274899903948E-3</c:v>
                </c:pt>
                <c:pt idx="1">
                  <c:v>8.6022397763405953E-3</c:v>
                </c:pt>
                <c:pt idx="2">
                  <c:v>1.9341199007050006E-2</c:v>
                </c:pt>
                <c:pt idx="3">
                  <c:v>3.7375642733991826E-2</c:v>
                </c:pt>
                <c:pt idx="4">
                  <c:v>6.3836239230238859E-2</c:v>
                </c:pt>
                <c:pt idx="5">
                  <c:v>9.8529677259979437E-2</c:v>
                </c:pt>
                <c:pt idx="6">
                  <c:v>0.13991727530535455</c:v>
                </c:pt>
                <c:pt idx="7">
                  <c:v>0.18549891582551309</c:v>
                </c:pt>
                <c:pt idx="8">
                  <c:v>0.23239821537606056</c:v>
                </c:pt>
                <c:pt idx="9">
                  <c:v>0.27792320019220718</c:v>
                </c:pt>
                <c:pt idx="10">
                  <c:v>0.31995430199928421</c:v>
                </c:pt>
                <c:pt idx="11">
                  <c:v>0.35711501203565793</c:v>
                </c:pt>
                <c:pt idx="12">
                  <c:v>0.38875814895490307</c:v>
                </c:pt>
                <c:pt idx="13">
                  <c:v>0.41483583425713461</c:v>
                </c:pt>
                <c:pt idx="14">
                  <c:v>0.4357217606881495</c:v>
                </c:pt>
                <c:pt idx="15">
                  <c:v>0.45203642785625414</c:v>
                </c:pt>
                <c:pt idx="16">
                  <c:v>0.46450375839346553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BA0-411D-A52A-A38EA897C797}"/>
            </c:ext>
          </c:extLst>
        </c:ser>
        <c:ser>
          <c:idx val="5"/>
          <c:order val="5"/>
          <c:tx>
            <c:v>0.6</c:v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first_part_rho!$Y$5:$Y$21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first_part_rho!$AF$5:$AF$21</c:f>
              <c:numCache>
                <c:formatCode>General</c:formatCode>
                <c:ptCount val="17"/>
                <c:pt idx="0">
                  <c:v>6.5908885371946321E-3</c:v>
                </c:pt>
                <c:pt idx="1">
                  <c:v>1.5469602201022619E-2</c:v>
                </c:pt>
                <c:pt idx="2">
                  <c:v>3.104568855619053E-2</c:v>
                </c:pt>
                <c:pt idx="3">
                  <c:v>5.4887827575266564E-2</c:v>
                </c:pt>
                <c:pt idx="4">
                  <c:v>8.7502447732684355E-2</c:v>
                </c:pt>
                <c:pt idx="5">
                  <c:v>0.12813282697945419</c:v>
                </c:pt>
                <c:pt idx="6">
                  <c:v>0.1749273970506767</c:v>
                </c:pt>
                <c:pt idx="7">
                  <c:v>0.22536096616038254</c:v>
                </c:pt>
                <c:pt idx="8">
                  <c:v>0.2767326641821381</c:v>
                </c:pt>
                <c:pt idx="9">
                  <c:v>0.32659213280179167</c:v>
                </c:pt>
                <c:pt idx="10">
                  <c:v>0.37301467373776581</c:v>
                </c:pt>
                <c:pt idx="11">
                  <c:v>0.41471363169847436</c:v>
                </c:pt>
                <c:pt idx="12">
                  <c:v>0.45102197776462982</c:v>
                </c:pt>
                <c:pt idx="13">
                  <c:v>0.48179196650195977</c:v>
                </c:pt>
                <c:pt idx="14">
                  <c:v>0.50725932380965366</c:v>
                </c:pt>
                <c:pt idx="15">
                  <c:v>0.5279063993891423</c:v>
                </c:pt>
                <c:pt idx="16">
                  <c:v>0.54434466906661749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BA0-411D-A52A-A38EA897C797}"/>
            </c:ext>
          </c:extLst>
        </c:ser>
        <c:ser>
          <c:idx val="6"/>
          <c:order val="6"/>
          <c:tx>
            <c:v>0.7</c:v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first_part_rho!$Y$5:$Y$21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first_part_rho!$AG$5:$AG$21</c:f>
              <c:numCache>
                <c:formatCode>General</c:formatCode>
                <c:ptCount val="17"/>
                <c:pt idx="0">
                  <c:v>1.1449306418409964E-2</c:v>
                </c:pt>
                <c:pt idx="1">
                  <c:v>2.4222946495275673E-2</c:v>
                </c:pt>
                <c:pt idx="2">
                  <c:v>4.4784244022574062E-2</c:v>
                </c:pt>
                <c:pt idx="3">
                  <c:v>7.4233901250503012E-2</c:v>
                </c:pt>
                <c:pt idx="4">
                  <c:v>0.11254687988484213</c:v>
                </c:pt>
                <c:pt idx="5">
                  <c:v>0.15855986685171214</c:v>
                </c:pt>
                <c:pt idx="6">
                  <c:v>0.21023581921994061</c:v>
                </c:pt>
                <c:pt idx="7">
                  <c:v>0.26507480350440915</c:v>
                </c:pt>
                <c:pt idx="8">
                  <c:v>0.32053299834482402</c:v>
                </c:pt>
                <c:pt idx="9">
                  <c:v>0.37435336997194235</c:v>
                </c:pt>
                <c:pt idx="10">
                  <c:v>0.42476670407640099</c:v>
                </c:pt>
                <c:pt idx="11">
                  <c:v>0.47056644807114706</c:v>
                </c:pt>
                <c:pt idx="12">
                  <c:v>0.51108637489139319</c:v>
                </c:pt>
                <c:pt idx="13">
                  <c:v>0.54611808117523786</c:v>
                </c:pt>
                <c:pt idx="14">
                  <c:v>0.57580182729458596</c:v>
                </c:pt>
                <c:pt idx="15">
                  <c:v>0.6005154196414676</c:v>
                </c:pt>
                <c:pt idx="16">
                  <c:v>0.62077618313338978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BA0-411D-A52A-A38EA897C797}"/>
            </c:ext>
          </c:extLst>
        </c:ser>
        <c:ser>
          <c:idx val="7"/>
          <c:order val="7"/>
          <c:tx>
            <c:v>0.8</c:v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first_part_rho!$Y$5:$Y$21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first_part_rho!$AH$5:$AH$21</c:f>
              <c:numCache>
                <c:formatCode>General</c:formatCode>
                <c:ptCount val="17"/>
                <c:pt idx="0">
                  <c:v>1.7711463627698015E-2</c:v>
                </c:pt>
                <c:pt idx="1">
                  <c:v>3.4644139974960214E-2</c:v>
                </c:pt>
                <c:pt idx="2">
                  <c:v>6.0191244882771701E-2</c:v>
                </c:pt>
                <c:pt idx="3">
                  <c:v>9.4998591027931858E-2</c:v>
                </c:pt>
                <c:pt idx="4">
                  <c:v>0.13860489518231894</c:v>
                </c:pt>
                <c:pt idx="5">
                  <c:v>0.1895536543143396</c:v>
                </c:pt>
                <c:pt idx="6">
                  <c:v>0.24570063770440545</c:v>
                </c:pt>
                <c:pt idx="7">
                  <c:v>0.30459559705270878</c:v>
                </c:pt>
                <c:pt idx="8">
                  <c:v>0.3638343426492136</c:v>
                </c:pt>
                <c:pt idx="9">
                  <c:v>0.42131936325461394</c:v>
                </c:pt>
                <c:pt idx="10">
                  <c:v>0.47540950801739912</c:v>
                </c:pt>
                <c:pt idx="11">
                  <c:v>0.52496929542260928</c:v>
                </c:pt>
                <c:pt idx="12">
                  <c:v>0.56934359886945329</c:v>
                </c:pt>
                <c:pt idx="13">
                  <c:v>0.6082867935844396</c:v>
                </c:pt>
                <c:pt idx="14">
                  <c:v>0.64187163619302945</c:v>
                </c:pt>
                <c:pt idx="15">
                  <c:v>0.67039633112636232</c:v>
                </c:pt>
                <c:pt idx="16">
                  <c:v>0.69430119356071596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BA0-411D-A52A-A38EA897C797}"/>
            </c:ext>
          </c:extLst>
        </c:ser>
        <c:ser>
          <c:idx val="8"/>
          <c:order val="8"/>
          <c:tx>
            <c:v>0.9</c:v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first_part_rho!$Y$5:$Y$21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first_part_rho!$AI$5:$AI$21</c:f>
              <c:numCache>
                <c:formatCode>General</c:formatCode>
                <c:ptCount val="17"/>
                <c:pt idx="0">
                  <c:v>2.5290931687880013E-2</c:v>
                </c:pt>
                <c:pt idx="1">
                  <c:v>4.652006501990831E-2</c:v>
                </c:pt>
                <c:pt idx="2">
                  <c:v>7.6972593895436286E-2</c:v>
                </c:pt>
                <c:pt idx="3">
                  <c:v>0.11687876444341773</c:v>
                </c:pt>
                <c:pt idx="4">
                  <c:v>0.16542451185364437</c:v>
                </c:pt>
                <c:pt idx="5">
                  <c:v>0.22094174145759743</c:v>
                </c:pt>
                <c:pt idx="6">
                  <c:v>0.28122869505264242</c:v>
                </c:pt>
                <c:pt idx="7">
                  <c:v>0.34389641378661545</c:v>
                </c:pt>
                <c:pt idx="8">
                  <c:v>0.40666514264759984</c:v>
                </c:pt>
                <c:pt idx="9">
                  <c:v>0.46757213487895111</c:v>
                </c:pt>
                <c:pt idx="10">
                  <c:v>0.52508429600813011</c:v>
                </c:pt>
                <c:pt idx="11">
                  <c:v>0.57812941191026346</c:v>
                </c:pt>
                <c:pt idx="12">
                  <c:v>0.62606865589008986</c:v>
                </c:pt>
                <c:pt idx="13">
                  <c:v>0.66863385045386048</c:v>
                </c:pt>
                <c:pt idx="14">
                  <c:v>0.70584918287508258</c:v>
                </c:pt>
                <c:pt idx="15">
                  <c:v>0.73795159861052295</c:v>
                </c:pt>
                <c:pt idx="16">
                  <c:v>0.76531872393256073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BA0-411D-A52A-A38EA897C797}"/>
            </c:ext>
          </c:extLst>
        </c:ser>
        <c:ser>
          <c:idx val="9"/>
          <c:order val="9"/>
          <c:tx>
            <c:v>1</c:v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first_part_rho!$Y$5:$Y$21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first_part_rho!$AJ$5:$AJ$21</c:f>
              <c:numCache>
                <c:formatCode>General</c:formatCode>
                <c:ptCount val="17"/>
                <c:pt idx="0">
                  <c:v>3.4081262074599161E-2</c:v>
                </c:pt>
                <c:pt idx="1">
                  <c:v>5.9658621895937708E-2</c:v>
                </c:pt>
                <c:pt idx="2">
                  <c:v>9.4893482029156068E-2</c:v>
                </c:pt>
                <c:pt idx="3">
                  <c:v>0.13964806192115639</c:v>
                </c:pt>
                <c:pt idx="4">
                  <c:v>0.19282474296583746</c:v>
                </c:pt>
                <c:pt idx="5">
                  <c:v>0.25260301138987579</c:v>
                </c:pt>
                <c:pt idx="6">
                  <c:v>0.31675590666078812</c:v>
                </c:pt>
                <c:pt idx="7">
                  <c:v>0.38296069087442108</c:v>
                </c:pt>
                <c:pt idx="8">
                  <c:v>0.44904908466519983</c:v>
                </c:pt>
                <c:pt idx="9">
                  <c:v>0.51317432142978925</c:v>
                </c:pt>
                <c:pt idx="10">
                  <c:v>0.57389622642331117</c:v>
                </c:pt>
                <c:pt idx="11">
                  <c:v>0.6301992394484307</c:v>
                </c:pt>
                <c:pt idx="12">
                  <c:v>0.68146336615181546</c:v>
                </c:pt>
                <c:pt idx="13">
                  <c:v>0.72740739426895162</c:v>
                </c:pt>
                <c:pt idx="14">
                  <c:v>0.76802012118301122</c:v>
                </c:pt>
                <c:pt idx="15">
                  <c:v>0.80349082627409651</c:v>
                </c:pt>
                <c:pt idx="16">
                  <c:v>0.83414598637936632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BA0-411D-A52A-A38EA897C797}"/>
            </c:ext>
          </c:extLst>
        </c:ser>
        <c:ser>
          <c:idx val="10"/>
          <c:order val="10"/>
          <c:tx>
            <c:v>2</c:v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first_part_rho!$Y$5:$Y$21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first_part_rho!$AK$5:$AK$21</c:f>
              <c:numCache>
                <c:formatCode>General</c:formatCode>
                <c:ptCount val="17"/>
                <c:pt idx="0">
                  <c:v>0.16760740288014708</c:v>
                </c:pt>
                <c:pt idx="1">
                  <c:v>0.23314848276281694</c:v>
                </c:pt>
                <c:pt idx="2">
                  <c:v>0.30833945975697685</c:v>
                </c:pt>
                <c:pt idx="3">
                  <c:v>0.3912877070729931</c:v>
                </c:pt>
                <c:pt idx="4">
                  <c:v>0.47990477205190002</c:v>
                </c:pt>
                <c:pt idx="5">
                  <c:v>0.57209878012749971</c:v>
                </c:pt>
                <c:pt idx="6">
                  <c:v>0.66591346159028808</c:v>
                </c:pt>
                <c:pt idx="7">
                  <c:v>0.75961631172955657</c:v>
                </c:pt>
                <c:pt idx="8">
                  <c:v>0.85174423276303957</c:v>
                </c:pt>
                <c:pt idx="9">
                  <c:v>0.941116891312198</c:v>
                </c:pt>
                <c:pt idx="10">
                  <c:v>1.0268276202708793</c:v>
                </c:pt>
                <c:pt idx="11">
                  <c:v>1.1082201926386068</c:v>
                </c:pt>
                <c:pt idx="12">
                  <c:v>1.1848579476912982</c:v>
                </c:pt>
                <c:pt idx="13">
                  <c:v>1.2564899717066402</c:v>
                </c:pt>
                <c:pt idx="14">
                  <c:v>1.3230175184925788</c:v>
                </c:pt>
                <c:pt idx="15">
                  <c:v>1.3844626580586128</c:v>
                </c:pt>
                <c:pt idx="16">
                  <c:v>1.4409402526215997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BA0-411D-A52A-A38EA897C797}"/>
            </c:ext>
          </c:extLst>
        </c:ser>
        <c:ser>
          <c:idx val="11"/>
          <c:order val="11"/>
          <c:tx>
            <c:v>3</c:v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first_part_rho!$Y$5:$Y$21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first_part_rho!$AL$5:$AL$21</c:f>
              <c:numCache>
                <c:formatCode>General</c:formatCode>
                <c:ptCount val="17"/>
                <c:pt idx="0">
                  <c:v>0.34347278354932753</c:v>
                </c:pt>
                <c:pt idx="1">
                  <c:v>0.44032078635685484</c:v>
                </c:pt>
                <c:pt idx="2">
                  <c:v>0.54482049449278391</c:v>
                </c:pt>
                <c:pt idx="3">
                  <c:v>0.65478709737318352</c:v>
                </c:pt>
                <c:pt idx="4">
                  <c:v>0.76816408112647405</c:v>
                </c:pt>
                <c:pt idx="5">
                  <c:v>0.88310233648812408</c:v>
                </c:pt>
                <c:pt idx="6">
                  <c:v>0.99800015811264575</c:v>
                </c:pt>
                <c:pt idx="7">
                  <c:v>1.1115151807553352</c:v>
                </c:pt>
                <c:pt idx="8">
                  <c:v>1.2225575387364285</c:v>
                </c:pt>
                <c:pt idx="9">
                  <c:v>1.3302714694210862</c:v>
                </c:pt>
                <c:pt idx="10">
                  <c:v>1.4340106592521729</c:v>
                </c:pt>
                <c:pt idx="11">
                  <c:v>1.5333110283875411</c:v>
                </c:pt>
                <c:pt idx="12">
                  <c:v>1.6278634009613053</c:v>
                </c:pt>
                <c:pt idx="13">
                  <c:v>1.7174875805075749</c:v>
                </c:pt>
                <c:pt idx="14">
                  <c:v>1.80210868841131</c:v>
                </c:pt>
                <c:pt idx="15">
                  <c:v>1.8817361687331504</c:v>
                </c:pt>
                <c:pt idx="16">
                  <c:v>1.9564455630771902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BA0-411D-A52A-A38EA897C797}"/>
            </c:ext>
          </c:extLst>
        </c:ser>
        <c:ser>
          <c:idx val="12"/>
          <c:order val="12"/>
          <c:tx>
            <c:v>4</c:v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first_part_rho!$Y$5:$Y$21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first_part_rho!$AM$5:$AM$21</c:f>
              <c:numCache>
                <c:formatCode>General</c:formatCode>
                <c:ptCount val="17"/>
                <c:pt idx="0">
                  <c:v>0.53429576659871825</c:v>
                </c:pt>
                <c:pt idx="1">
                  <c:v>0.65612241719610553</c:v>
                </c:pt>
                <c:pt idx="2">
                  <c:v>0.78359786030381173</c:v>
                </c:pt>
                <c:pt idx="3">
                  <c:v>0.91460887943075675</c:v>
                </c:pt>
                <c:pt idx="4">
                  <c:v>1.0472989940256039</c:v>
                </c:pt>
                <c:pt idx="5">
                  <c:v>1.1800840446744412</c:v>
                </c:pt>
                <c:pt idx="6">
                  <c:v>1.3116465975777294</c:v>
                </c:pt>
                <c:pt idx="7">
                  <c:v>1.4409177804367721</c:v>
                </c:pt>
                <c:pt idx="8">
                  <c:v>1.5670525263856452</c:v>
                </c:pt>
                <c:pt idx="9">
                  <c:v>1.6894022005404263</c:v>
                </c:pt>
                <c:pt idx="10">
                  <c:v>1.8074871324670514</c:v>
                </c:pt>
                <c:pt idx="11">
                  <c:v>1.9209705624827618</c:v>
                </c:pt>
                <c:pt idx="12">
                  <c:v>2.0296348209289148</c:v>
                </c:pt>
                <c:pt idx="13">
                  <c:v>2.1333601067150982</c:v>
                </c:pt>
                <c:pt idx="14">
                  <c:v>2.2321059443947862</c:v>
                </c:pt>
                <c:pt idx="15">
                  <c:v>2.3258952257971575</c:v>
                </c:pt>
                <c:pt idx="16">
                  <c:v>2.4148006453738216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BA0-411D-A52A-A38EA897C797}"/>
            </c:ext>
          </c:extLst>
        </c:ser>
        <c:ser>
          <c:idx val="13"/>
          <c:order val="13"/>
          <c:tx>
            <c:v>5</c:v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first_part_rho!$Y$5:$Y$21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first_part_rho!$AN$5:$AN$21</c:f>
              <c:numCache>
                <c:formatCode>General</c:formatCode>
                <c:ptCount val="17"/>
                <c:pt idx="0">
                  <c:v>0.72913289318308616</c:v>
                </c:pt>
                <c:pt idx="1">
                  <c:v>0.87156514480259184</c:v>
                </c:pt>
                <c:pt idx="2">
                  <c:v>1.0178771687584245</c:v>
                </c:pt>
                <c:pt idx="3">
                  <c:v>1.1661280707499488</c:v>
                </c:pt>
                <c:pt idx="4">
                  <c:v>1.3146822164902674</c:v>
                </c:pt>
                <c:pt idx="5">
                  <c:v>1.4621903371980651</c:v>
                </c:pt>
                <c:pt idx="6">
                  <c:v>1.6075618888968966</c:v>
                </c:pt>
                <c:pt idx="7">
                  <c:v>1.7499340189075157</c:v>
                </c:pt>
                <c:pt idx="8">
                  <c:v>1.8886403749573633</c:v>
                </c:pt>
                <c:pt idx="9">
                  <c:v>2.0231815965757343</c:v>
                </c:pt>
                <c:pt idx="10">
                  <c:v>2.1531984323949449</c:v>
                </c:pt>
                <c:pt idx="11">
                  <c:v>2.2784478679255176</c:v>
                </c:pt>
                <c:pt idx="12">
                  <c:v>2.3987823120714449</c:v>
                </c:pt>
                <c:pt idx="13">
                  <c:v>2.5141316989180638</c:v>
                </c:pt>
                <c:pt idx="14">
                  <c:v>2.624488261615415</c:v>
                </c:pt>
                <c:pt idx="15">
                  <c:v>2.7298936926815593</c:v>
                </c:pt>
                <c:pt idx="16">
                  <c:v>2.8304283969966368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BA0-411D-A52A-A38EA897C797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3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5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8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9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1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4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</c:bandFmts>
        <c:axId val="2123881616"/>
        <c:axId val="2123882032"/>
        <c:axId val="2132783760"/>
      </c:surface3DChart>
      <c:catAx>
        <c:axId val="21238816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stock price</a:t>
                </a:r>
              </a:p>
            </c:rich>
          </c:tx>
          <c:layout>
            <c:manualLayout>
              <c:xMode val="edge"/>
              <c:yMode val="edge"/>
              <c:x val="0.81413577875936238"/>
              <c:y val="0.5429082293004140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3882032"/>
        <c:crosses val="autoZero"/>
        <c:auto val="1"/>
        <c:lblAlgn val="ctr"/>
        <c:lblOffset val="100"/>
        <c:noMultiLvlLbl val="0"/>
      </c:catAx>
      <c:valAx>
        <c:axId val="2123882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Rho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3881616"/>
        <c:crosses val="autoZero"/>
        <c:crossBetween val="midCat"/>
      </c:valAx>
      <c:serAx>
        <c:axId val="2132783760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maturity</a:t>
                </a:r>
              </a:p>
            </c:rich>
          </c:tx>
          <c:layout>
            <c:manualLayout>
              <c:xMode val="edge"/>
              <c:yMode val="edge"/>
              <c:x val="0.38873055502208576"/>
              <c:y val="0.75549531013927784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3882032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Rho (Volatility = 0.1)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0"/>
      <c:rotY val="280"/>
      <c:rAngAx val="0"/>
      <c:perspective val="11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7.4366788862136018E-2"/>
          <c:y val="5.2932604735883425E-2"/>
          <c:w val="0.82283826091986434"/>
          <c:h val="0.63574631039972462"/>
        </c:manualLayout>
      </c:layout>
      <c:surface3DChart>
        <c:wireframe val="0"/>
        <c:ser>
          <c:idx val="0"/>
          <c:order val="0"/>
          <c:tx>
            <c:v>0.1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first_part_rho!$AP$5:$AP$21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first_part_rho!$AR$5:$AR$21</c:f>
              <c:numCache>
                <c:formatCode>General</c:formatCode>
                <c:ptCount val="17"/>
                <c:pt idx="0">
                  <c:v>6.8997547428960883E-60</c:v>
                </c:pt>
                <c:pt idx="1">
                  <c:v>1.824025691521059E-43</c:v>
                </c:pt>
                <c:pt idx="2">
                  <c:v>9.954666886739304E-31</c:v>
                </c:pt>
                <c:pt idx="3">
                  <c:v>5.3493516241294045E-21</c:v>
                </c:pt>
                <c:pt idx="4">
                  <c:v>9.5606229748062584E-14</c:v>
                </c:pt>
                <c:pt idx="5">
                  <c:v>1.498171510428129E-8</c:v>
                </c:pt>
                <c:pt idx="6">
                  <c:v>4.5615435801455798E-5</c:v>
                </c:pt>
                <c:pt idx="7">
                  <c:v>5.4058155808872667E-3</c:v>
                </c:pt>
                <c:pt idx="8">
                  <c:v>5.0580151398953388E-2</c:v>
                </c:pt>
                <c:pt idx="9">
                  <c:v>9.3952533892679782E-2</c:v>
                </c:pt>
                <c:pt idx="10">
                  <c:v>9.9777807903598914E-2</c:v>
                </c:pt>
                <c:pt idx="11">
                  <c:v>9.9899591088745576E-2</c:v>
                </c:pt>
                <c:pt idx="12">
                  <c:v>9.9900049613135686E-2</c:v>
                </c:pt>
                <c:pt idx="13">
                  <c:v>9.9900049983261366E-2</c:v>
                </c:pt>
                <c:pt idx="14">
                  <c:v>9.9900049983337513E-2</c:v>
                </c:pt>
                <c:pt idx="15">
                  <c:v>9.9900049983337513E-2</c:v>
                </c:pt>
                <c:pt idx="16">
                  <c:v>9.9900049983337513E-2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E4-4796-A91D-EE0B71F664A6}"/>
            </c:ext>
          </c:extLst>
        </c:ser>
        <c:ser>
          <c:idx val="1"/>
          <c:order val="1"/>
          <c:tx>
            <c:v>0.2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first_part_rho!$AP$5:$AP$21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first_part_rho!$AS$5:$AS$21</c:f>
              <c:numCache>
                <c:formatCode>General</c:formatCode>
                <c:ptCount val="17"/>
                <c:pt idx="0">
                  <c:v>4.1705600383653559E-31</c:v>
                </c:pt>
                <c:pt idx="1">
                  <c:v>7.2236755311601088E-23</c:v>
                </c:pt>
                <c:pt idx="2">
                  <c:v>1.8148881916339142E-16</c:v>
                </c:pt>
                <c:pt idx="3">
                  <c:v>1.4484262281308254E-11</c:v>
                </c:pt>
                <c:pt idx="4">
                  <c:v>6.7762571900260923E-8</c:v>
                </c:pt>
                <c:pt idx="5">
                  <c:v>3.0362011070892119E-5</c:v>
                </c:pt>
                <c:pt idx="6">
                  <c:v>1.957894332731875E-3</c:v>
                </c:pt>
                <c:pt idx="7">
                  <c:v>2.6024085650062811E-2</c:v>
                </c:pt>
                <c:pt idx="8">
                  <c:v>0.10158061093169939</c:v>
                </c:pt>
                <c:pt idx="9">
                  <c:v>0.17309729794666578</c:v>
                </c:pt>
                <c:pt idx="10">
                  <c:v>0.19647918755775001</c:v>
                </c:pt>
                <c:pt idx="11">
                  <c:v>0.19943607403579602</c:v>
                </c:pt>
                <c:pt idx="12">
                  <c:v>0.19959626211406123</c:v>
                </c:pt>
                <c:pt idx="13">
                  <c:v>0.19960034597449697</c:v>
                </c:pt>
                <c:pt idx="14">
                  <c:v>0.19960039934571283</c:v>
                </c:pt>
                <c:pt idx="15">
                  <c:v>0.19960039973180685</c:v>
                </c:pt>
                <c:pt idx="16">
                  <c:v>0.19960039973346216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E4-4796-A91D-EE0B71F664A6}"/>
            </c:ext>
          </c:extLst>
        </c:ser>
        <c:ser>
          <c:idx val="2"/>
          <c:order val="2"/>
          <c:tx>
            <c:v>0.3</c:v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first_part_rho!$AP$5:$AP$21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first_part_rho!$AT$5:$AT$21</c:f>
              <c:numCache>
                <c:formatCode>General</c:formatCode>
                <c:ptCount val="17"/>
                <c:pt idx="0">
                  <c:v>2.1207973599216589E-21</c:v>
                </c:pt>
                <c:pt idx="1">
                  <c:v>6.8680684372739567E-16</c:v>
                </c:pt>
                <c:pt idx="2">
                  <c:v>1.3307124507183836E-11</c:v>
                </c:pt>
                <c:pt idx="3">
                  <c:v>2.6052631871411217E-8</c:v>
                </c:pt>
                <c:pt idx="4">
                  <c:v>7.77039222747902E-6</c:v>
                </c:pt>
                <c:pt idx="5">
                  <c:v>4.9117640802576266E-4</c:v>
                </c:pt>
                <c:pt idx="6">
                  <c:v>8.6635170446754065E-3</c:v>
                </c:pt>
                <c:pt idx="7">
                  <c:v>5.4331597927515303E-2</c:v>
                </c:pt>
                <c:pt idx="8">
                  <c:v>0.15281809298363572</c:v>
                </c:pt>
                <c:pt idx="9">
                  <c:v>0.24548285319545801</c:v>
                </c:pt>
                <c:pt idx="10">
                  <c:v>0.28756443180563218</c:v>
                </c:pt>
                <c:pt idx="11">
                  <c:v>0.29761983540617443</c:v>
                </c:pt>
                <c:pt idx="12">
                  <c:v>0.29898313191089132</c:v>
                </c:pt>
                <c:pt idx="13">
                  <c:v>0.29909520753459068</c:v>
                </c:pt>
                <c:pt idx="14">
                  <c:v>0.29910113123062104</c:v>
                </c:pt>
                <c:pt idx="15">
                  <c:v>0.29910134317755116</c:v>
                </c:pt>
                <c:pt idx="16">
                  <c:v>0.29910134854920661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E4-4796-A91D-EE0B71F664A6}"/>
            </c:ext>
          </c:extLst>
        </c:ser>
        <c:ser>
          <c:idx val="3"/>
          <c:order val="3"/>
          <c:tx>
            <c:v>0.4</c:v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first_part_rho!$AP$5:$AP$21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first_part_rho!$AU$5:$AU$21</c:f>
              <c:numCache>
                <c:formatCode>General</c:formatCode>
                <c:ptCount val="17"/>
                <c:pt idx="0">
                  <c:v>1.7146657173941722E-16</c:v>
                </c:pt>
                <c:pt idx="1">
                  <c:v>2.3996762916801391E-12</c:v>
                </c:pt>
                <c:pt idx="2">
                  <c:v>4.0794980511215184E-9</c:v>
                </c:pt>
                <c:pt idx="3">
                  <c:v>1.2492523960331803E-6</c:v>
                </c:pt>
                <c:pt idx="4">
                  <c:v>9.387406712177922E-5</c:v>
                </c:pt>
                <c:pt idx="5">
                  <c:v>2.2206863454671427E-3</c:v>
                </c:pt>
                <c:pt idx="6">
                  <c:v>2.0358699772475959E-2</c:v>
                </c:pt>
                <c:pt idx="7">
                  <c:v>8.6801463209930207E-2</c:v>
                </c:pt>
                <c:pt idx="8">
                  <c:v>0.20422688060793115</c:v>
                </c:pt>
                <c:pt idx="9">
                  <c:v>0.31435240865969416</c:v>
                </c:pt>
                <c:pt idx="10">
                  <c:v>0.37372216345157355</c:v>
                </c:pt>
                <c:pt idx="11">
                  <c:v>0.39342380536091404</c:v>
                </c:pt>
                <c:pt idx="12">
                  <c:v>0.39769324894937874</c:v>
                </c:pt>
                <c:pt idx="13">
                  <c:v>0.39832927362661075</c:v>
                </c:pt>
                <c:pt idx="14">
                  <c:v>0.39839738796252955</c:v>
                </c:pt>
                <c:pt idx="15">
                  <c:v>0.3984028407573641</c:v>
                </c:pt>
                <c:pt idx="16">
                  <c:v>0.39840317838234113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E4-4796-A91D-EE0B71F664A6}"/>
            </c:ext>
          </c:extLst>
        </c:ser>
        <c:ser>
          <c:idx val="4"/>
          <c:order val="4"/>
          <c:tx>
            <c:v>0.5</c:v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first_part_rho!$AP$5:$AP$21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first_part_rho!$AV$5:$AV$21</c:f>
              <c:numCache>
                <c:formatCode>General</c:formatCode>
                <c:ptCount val="17"/>
                <c:pt idx="0">
                  <c:v>1.6258128709111354E-13</c:v>
                </c:pt>
                <c:pt idx="1">
                  <c:v>3.4533346751725232E-10</c:v>
                </c:pt>
                <c:pt idx="2">
                  <c:v>1.3625021969122364E-7</c:v>
                </c:pt>
                <c:pt idx="3">
                  <c:v>1.3693783854780401E-5</c:v>
                </c:pt>
                <c:pt idx="4">
                  <c:v>4.4930628022144242E-4</c:v>
                </c:pt>
                <c:pt idx="5">
                  <c:v>5.8793072579454864E-3</c:v>
                </c:pt>
                <c:pt idx="6">
                  <c:v>3.6258596069978881E-2</c:v>
                </c:pt>
                <c:pt idx="7">
                  <c:v>0.12193085930105975</c:v>
                </c:pt>
                <c:pt idx="8">
                  <c:v>0.25576885410967215</c:v>
                </c:pt>
                <c:pt idx="9">
                  <c:v>0.38103111573428783</c:v>
                </c:pt>
                <c:pt idx="10">
                  <c:v>0.45606650497595846</c:v>
                </c:pt>
                <c:pt idx="11">
                  <c:v>0.48650344681152441</c:v>
                </c:pt>
                <c:pt idx="12">
                  <c:v>0.49527868282183346</c:v>
                </c:pt>
                <c:pt idx="13">
                  <c:v>0.49715365396356187</c:v>
                </c:pt>
                <c:pt idx="14">
                  <c:v>0.49746149929550426</c:v>
                </c:pt>
                <c:pt idx="15">
                  <c:v>0.49750157959169578</c:v>
                </c:pt>
                <c:pt idx="16">
                  <c:v>0.49750583249072633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E4-4796-A91D-EE0B71F664A6}"/>
            </c:ext>
          </c:extLst>
        </c:ser>
        <c:ser>
          <c:idx val="5"/>
          <c:order val="5"/>
          <c:tx>
            <c:v>0.6</c:v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first_part_rho!$AP$5:$AP$21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first_part_rho!$AW$5:$AW$21</c:f>
              <c:numCache>
                <c:formatCode>General</c:formatCode>
                <c:ptCount val="17"/>
                <c:pt idx="0">
                  <c:v>1.6481813086334279E-11</c:v>
                </c:pt>
                <c:pt idx="1">
                  <c:v>9.9575989539410699E-9</c:v>
                </c:pt>
                <c:pt idx="2">
                  <c:v>1.4829729609667339E-6</c:v>
                </c:pt>
                <c:pt idx="3">
                  <c:v>7.0864177060534547E-5</c:v>
                </c:pt>
                <c:pt idx="4">
                  <c:v>1.3367272087027218E-3</c:v>
                </c:pt>
                <c:pt idx="5">
                  <c:v>1.1766528591399655E-2</c:v>
                </c:pt>
                <c:pt idx="6">
                  <c:v>5.5569135148285986E-2</c:v>
                </c:pt>
                <c:pt idx="7">
                  <c:v>0.15893745368596146</c:v>
                </c:pt>
                <c:pt idx="8">
                  <c:v>0.30741820985414314</c:v>
                </c:pt>
                <c:pt idx="9">
                  <c:v>0.4461911627338217</c:v>
                </c:pt>
                <c:pt idx="10">
                  <c:v>0.53546438342331992</c:v>
                </c:pt>
                <c:pt idx="11">
                  <c:v>0.5769314379272884</c:v>
                </c:pt>
                <c:pt idx="12">
                  <c:v>0.59142047882605842</c:v>
                </c:pt>
                <c:pt idx="13">
                  <c:v>0.59536529236320235</c:v>
                </c:pt>
                <c:pt idx="14">
                  <c:v>0.59622800656168429</c:v>
                </c:pt>
                <c:pt idx="15">
                  <c:v>0.59638360220830644</c:v>
                </c:pt>
                <c:pt idx="16">
                  <c:v>0.59640728082054484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E4-4796-A91D-EE0B71F664A6}"/>
            </c:ext>
          </c:extLst>
        </c:ser>
        <c:ser>
          <c:idx val="6"/>
          <c:order val="6"/>
          <c:tx>
            <c:v>0.7</c:v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first_part_rho!$AP$5:$AP$21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first_part_rho!$AX$5:$AX$21</c:f>
              <c:numCache>
                <c:formatCode>General</c:formatCode>
                <c:ptCount val="17"/>
                <c:pt idx="0">
                  <c:v>4.6233752509654254E-10</c:v>
                </c:pt>
                <c:pt idx="1">
                  <c:v>1.1375608625566583E-7</c:v>
                </c:pt>
                <c:pt idx="2">
                  <c:v>8.4440564273303502E-6</c:v>
                </c:pt>
                <c:pt idx="3">
                  <c:v>2.3711237792182926E-4</c:v>
                </c:pt>
                <c:pt idx="4">
                  <c:v>3.0094142404680354E-3</c:v>
                </c:pt>
                <c:pt idx="5">
                  <c:v>1.9932210842367931E-2</c:v>
                </c:pt>
                <c:pt idx="6">
                  <c:v>7.7653949825830557E-2</c:v>
                </c:pt>
                <c:pt idx="7">
                  <c:v>0.19735680124144059</c:v>
                </c:pt>
                <c:pt idx="8">
                  <c:v>0.35915594909590859</c:v>
                </c:pt>
                <c:pt idx="9">
                  <c:v>0.51022305279995162</c:v>
                </c:pt>
                <c:pt idx="10">
                  <c:v>0.61253729163278892</c:v>
                </c:pt>
                <c:pt idx="11">
                  <c:v>0.66493513401483262</c:v>
                </c:pt>
                <c:pt idx="12">
                  <c:v>0.68595842929360373</c:v>
                </c:pt>
                <c:pt idx="13">
                  <c:v>0.69277091810376734</c:v>
                </c:pt>
                <c:pt idx="14">
                  <c:v>0.69460114005190687</c:v>
                </c:pt>
                <c:pt idx="15">
                  <c:v>0.69501813372831622</c:v>
                </c:pt>
                <c:pt idx="16">
                  <c:v>0.69510030433566872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4E4-4796-A91D-EE0B71F664A6}"/>
            </c:ext>
          </c:extLst>
        </c:ser>
        <c:ser>
          <c:idx val="7"/>
          <c:order val="7"/>
          <c:tx>
            <c:v>0.8</c:v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first_part_rho!$AP$5:$AP$21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first_part_rho!$AY$5:$AY$21</c:f>
              <c:numCache>
                <c:formatCode>General</c:formatCode>
                <c:ptCount val="17"/>
                <c:pt idx="0">
                  <c:v>5.7838836856354677E-9</c:v>
                </c:pt>
                <c:pt idx="1">
                  <c:v>7.2532656593866114E-7</c:v>
                </c:pt>
                <c:pt idx="2">
                  <c:v>3.1927561083099139E-5</c:v>
                </c:pt>
                <c:pt idx="3">
                  <c:v>6.0144636736595401E-4</c:v>
                </c:pt>
                <c:pt idx="4">
                  <c:v>5.6671524536186417E-3</c:v>
                </c:pt>
                <c:pt idx="5">
                  <c:v>3.0294875417979789E-2</c:v>
                </c:pt>
                <c:pt idx="6">
                  <c:v>0.10202507574836325</c:v>
                </c:pt>
                <c:pt idx="7">
                  <c:v>0.23688743774384435</c:v>
                </c:pt>
                <c:pt idx="8">
                  <c:v>0.41096731210161047</c:v>
                </c:pt>
                <c:pt idx="9">
                  <c:v>0.57337518442883206</c:v>
                </c:pt>
                <c:pt idx="10">
                  <c:v>0.68773188516542405</c:v>
                </c:pt>
                <c:pt idx="11">
                  <c:v>0.75077492898362264</c:v>
                </c:pt>
                <c:pt idx="12">
                  <c:v>0.77884877360331073</c:v>
                </c:pt>
                <c:pt idx="13">
                  <c:v>0.78922100210084167</c:v>
                </c:pt>
                <c:pt idx="14">
                  <c:v>0.7924743967938036</c:v>
                </c:pt>
                <c:pt idx="15">
                  <c:v>0.79335812906789949</c:v>
                </c:pt>
                <c:pt idx="16">
                  <c:v>0.79356962372848683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4E4-4796-A91D-EE0B71F664A6}"/>
            </c:ext>
          </c:extLst>
        </c:ser>
        <c:ser>
          <c:idx val="8"/>
          <c:order val="8"/>
          <c:tx>
            <c:v>0.9</c:v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first_part_rho!$AP$5:$AP$21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first_part_rho!$AZ$5:$AZ$21</c:f>
              <c:numCache>
                <c:formatCode>General</c:formatCode>
                <c:ptCount val="17"/>
                <c:pt idx="0">
                  <c:v>4.2109995631038731E-8</c:v>
                </c:pt>
                <c:pt idx="1">
                  <c:v>3.1257694746679378E-6</c:v>
                </c:pt>
                <c:pt idx="2">
                  <c:v>9.1613031212593103E-5</c:v>
                </c:pt>
                <c:pt idx="3">
                  <c:v>1.2646643565367435E-3</c:v>
                </c:pt>
                <c:pt idx="4">
                  <c:v>9.4469788357844919E-3</c:v>
                </c:pt>
                <c:pt idx="5">
                  <c:v>4.2714832976975065E-2</c:v>
                </c:pt>
                <c:pt idx="6">
                  <c:v>0.12830859013377557</c:v>
                </c:pt>
                <c:pt idx="7">
                  <c:v>0.2773207335829711</c:v>
                </c:pt>
                <c:pt idx="8">
                  <c:v>0.46284039504608737</c:v>
                </c:pt>
                <c:pt idx="9">
                  <c:v>0.63581611101087554</c:v>
                </c:pt>
                <c:pt idx="10">
                  <c:v>0.76137581768653784</c:v>
                </c:pt>
                <c:pt idx="11">
                  <c:v>0.83469784716418216</c:v>
                </c:pt>
                <c:pt idx="12">
                  <c:v>0.87011875244291348</c:v>
                </c:pt>
                <c:pt idx="13">
                  <c:v>0.88461614166740554</c:v>
                </c:pt>
                <c:pt idx="14">
                  <c:v>0.88974743056024763</c:v>
                </c:pt>
                <c:pt idx="15">
                  <c:v>0.89134605998743832</c:v>
                </c:pt>
                <c:pt idx="16">
                  <c:v>0.89179120674511403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4E4-4796-A91D-EE0B71F664A6}"/>
            </c:ext>
          </c:extLst>
        </c:ser>
        <c:ser>
          <c:idx val="9"/>
          <c:order val="9"/>
          <c:tx>
            <c:v>1</c:v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first_part_rho!$AP$5:$AP$21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first_part_rho!$BA$5:$BA$21</c:f>
              <c:numCache>
                <c:formatCode>General</c:formatCode>
                <c:ptCount val="17"/>
                <c:pt idx="0">
                  <c:v>2.0944883154902559E-7</c:v>
                </c:pt>
                <c:pt idx="1">
                  <c:v>1.0218383303882987E-5</c:v>
                </c:pt>
                <c:pt idx="2">
                  <c:v>2.1625953663559442E-4</c:v>
                </c:pt>
                <c:pt idx="3">
                  <c:v>2.3272427909089093E-3</c:v>
                </c:pt>
                <c:pt idx="4">
                  <c:v>1.4430579922614033E-2</c:v>
                </c:pt>
                <c:pt idx="5">
                  <c:v>5.7033185664748597E-2</c:v>
                </c:pt>
                <c:pt idx="6">
                  <c:v>0.15621450219614411</c:v>
                </c:pt>
                <c:pt idx="7">
                  <c:v>0.31850518608360617</c:v>
                </c:pt>
                <c:pt idx="8">
                  <c:v>0.51476532828002164</c:v>
                </c:pt>
                <c:pt idx="9">
                  <c:v>0.69766586400827935</c:v>
                </c:pt>
                <c:pt idx="10">
                  <c:v>0.83371514981554562</c:v>
                </c:pt>
                <c:pt idx="11">
                  <c:v>0.91692301259484654</c:v>
                </c:pt>
                <c:pt idx="12">
                  <c:v>0.95983419426964212</c:v>
                </c:pt>
                <c:pt idx="13">
                  <c:v>0.97890054170176688</c:v>
                </c:pt>
                <c:pt idx="14">
                  <c:v>0.98633554504316656</c:v>
                </c:pt>
                <c:pt idx="15">
                  <c:v>0.9889209507546447</c:v>
                </c:pt>
                <c:pt idx="16">
                  <c:v>0.98973377492216597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4E4-4796-A91D-EE0B71F664A6}"/>
            </c:ext>
          </c:extLst>
        </c:ser>
        <c:ser>
          <c:idx val="10"/>
          <c:order val="10"/>
          <c:tx>
            <c:v>2</c:v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first_part_rho!$AP$5:$AP$21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first_part_rho!$BB$5:$BB$21</c:f>
              <c:numCache>
                <c:formatCode>General</c:formatCode>
                <c:ptCount val="17"/>
                <c:pt idx="0">
                  <c:v>3.9017006065321993E-4</c:v>
                </c:pt>
                <c:pt idx="1">
                  <c:v>2.8682719393543542E-3</c:v>
                </c:pt>
                <c:pt idx="2">
                  <c:v>1.3949867109230144E-2</c:v>
                </c:pt>
                <c:pt idx="3">
                  <c:v>4.8605196983075763E-2</c:v>
                </c:pt>
                <c:pt idx="4">
                  <c:v>0.12916231918414769</c:v>
                </c:pt>
                <c:pt idx="5">
                  <c:v>0.27526263359416991</c:v>
                </c:pt>
                <c:pt idx="6">
                  <c:v>0.49021713340295131</c:v>
                </c:pt>
                <c:pt idx="7">
                  <c:v>0.7550431564617397</c:v>
                </c:pt>
                <c:pt idx="8">
                  <c:v>1.0354544111550688</c:v>
                </c:pt>
                <c:pt idx="9">
                  <c:v>1.296192395779916</c:v>
                </c:pt>
                <c:pt idx="10">
                  <c:v>1.5129562033151718</c:v>
                </c:pt>
                <c:pt idx="11">
                  <c:v>1.6765216924491808</c:v>
                </c:pt>
                <c:pt idx="12">
                  <c:v>1.7899842881670318</c:v>
                </c:pt>
                <c:pt idx="13">
                  <c:v>1.8631273632495482</c:v>
                </c:pt>
                <c:pt idx="14">
                  <c:v>1.9073528277688421</c:v>
                </c:pt>
                <c:pt idx="15">
                  <c:v>1.9326342865983208</c:v>
                </c:pt>
                <c:pt idx="16">
                  <c:v>1.9463918255910062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4E4-4796-A91D-EE0B71F664A6}"/>
            </c:ext>
          </c:extLst>
        </c:ser>
        <c:ser>
          <c:idx val="11"/>
          <c:order val="11"/>
          <c:tx>
            <c:v>3</c:v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first_part_rho!$AP$5:$AP$21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first_part_rho!$BC$5:$BC$21</c:f>
              <c:numCache>
                <c:formatCode>General</c:formatCode>
                <c:ptCount val="17"/>
                <c:pt idx="0">
                  <c:v>6.1154603756096351E-3</c:v>
                </c:pt>
                <c:pt idx="1">
                  <c:v>2.3831658067032861E-2</c:v>
                </c:pt>
                <c:pt idx="2">
                  <c:v>7.0649659059548314E-2</c:v>
                </c:pt>
                <c:pt idx="3">
                  <c:v>0.16800016425945097</c:v>
                </c:pt>
                <c:pt idx="4">
                  <c:v>0.33403665227840929</c:v>
                </c:pt>
                <c:pt idx="5">
                  <c:v>0.57408661084024171</c:v>
                </c:pt>
                <c:pt idx="6">
                  <c:v>0.87613987301824248</c:v>
                </c:pt>
                <c:pt idx="7">
                  <c:v>1.2140668920003028</c:v>
                </c:pt>
                <c:pt idx="8">
                  <c:v>1.5561276866903309</c:v>
                </c:pt>
                <c:pt idx="9">
                  <c:v>1.8739472983683121</c:v>
                </c:pt>
                <c:pt idx="10">
                  <c:v>2.1482672152563937</c:v>
                </c:pt>
                <c:pt idx="11">
                  <c:v>2.3704399931886559</c:v>
                </c:pt>
                <c:pt idx="12">
                  <c:v>2.5407168875355404</c:v>
                </c:pt>
                <c:pt idx="13">
                  <c:v>2.6651023114110521</c:v>
                </c:pt>
                <c:pt idx="14">
                  <c:v>2.7522371935526651</c:v>
                </c:pt>
                <c:pt idx="15">
                  <c:v>2.8110815254143624</c:v>
                </c:pt>
                <c:pt idx="16">
                  <c:v>2.8495648996149048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4E4-4796-A91D-EE0B71F664A6}"/>
            </c:ext>
          </c:extLst>
        </c:ser>
        <c:ser>
          <c:idx val="12"/>
          <c:order val="12"/>
          <c:tx>
            <c:v>4</c:v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first_part_rho!$AP$5:$AP$21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first_part_rho!$BD$5:$BD$21</c:f>
              <c:numCache>
                <c:formatCode>General</c:formatCode>
                <c:ptCount val="17"/>
                <c:pt idx="0">
                  <c:v>2.7137815674117115E-2</c:v>
                </c:pt>
                <c:pt idx="1">
                  <c:v>7.6832332776932757E-2</c:v>
                </c:pt>
                <c:pt idx="2">
                  <c:v>0.17736667658110342</c:v>
                </c:pt>
                <c:pt idx="3">
                  <c:v>0.34734979174896125</c:v>
                </c:pt>
                <c:pt idx="4">
                  <c:v>0.5952355943117198</c:v>
                </c:pt>
                <c:pt idx="5">
                  <c:v>0.91485721832214872</c:v>
                </c:pt>
                <c:pt idx="6">
                  <c:v>1.2865415020805311</c:v>
                </c:pt>
                <c:pt idx="7">
                  <c:v>1.6826600318585683</c:v>
                </c:pt>
                <c:pt idx="8">
                  <c:v>2.0746435400648329</c:v>
                </c:pt>
                <c:pt idx="9">
                  <c:v>2.4387078999118197</c:v>
                </c:pt>
                <c:pt idx="10">
                  <c:v>2.7589205627569036</c:v>
                </c:pt>
                <c:pt idx="11">
                  <c:v>3.0276382235568668</c:v>
                </c:pt>
                <c:pt idx="12">
                  <c:v>3.2441523843363722</c:v>
                </c:pt>
                <c:pt idx="13">
                  <c:v>3.4125464232347826</c:v>
                </c:pt>
                <c:pt idx="14">
                  <c:v>3.5395433389541919</c:v>
                </c:pt>
                <c:pt idx="15">
                  <c:v>3.6327782720310542</c:v>
                </c:pt>
                <c:pt idx="16">
                  <c:v>3.6996343552554141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4E4-4796-A91D-EE0B71F664A6}"/>
            </c:ext>
          </c:extLst>
        </c:ser>
        <c:ser>
          <c:idx val="13"/>
          <c:order val="13"/>
          <c:tx>
            <c:v>5</c:v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first_part_rho!$AP$5:$AP$21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first_part_rho!$BE$5:$BE$21</c:f>
              <c:numCache>
                <c:formatCode>General</c:formatCode>
                <c:ptCount val="17"/>
                <c:pt idx="0">
                  <c:v>7.0877394865647217E-2</c:v>
                </c:pt>
                <c:pt idx="1">
                  <c:v>0.16543665197834301</c:v>
                </c:pt>
                <c:pt idx="2">
                  <c:v>0.3281644793147272</c:v>
                </c:pt>
                <c:pt idx="3">
                  <c:v>0.57096303141784466</c:v>
                </c:pt>
                <c:pt idx="4">
                  <c:v>0.89308606477141772</c:v>
                </c:pt>
                <c:pt idx="5">
                  <c:v>1.2807174822131724</c:v>
                </c:pt>
                <c:pt idx="6">
                  <c:v>1.7105684720072716</c:v>
                </c:pt>
                <c:pt idx="7">
                  <c:v>2.1554734091941636</c:v>
                </c:pt>
                <c:pt idx="8">
                  <c:v>2.5897713521361756</c:v>
                </c:pt>
                <c:pt idx="9">
                  <c:v>2.9930428387344614</c:v>
                </c:pt>
                <c:pt idx="10">
                  <c:v>3.3517828422688227</c:v>
                </c:pt>
                <c:pt idx="11">
                  <c:v>3.6593296824907293</c:v>
                </c:pt>
                <c:pt idx="12">
                  <c:v>3.914693905162963</c:v>
                </c:pt>
                <c:pt idx="13">
                  <c:v>4.1209288129593835</c:v>
                </c:pt>
                <c:pt idx="14">
                  <c:v>4.2835141810001804</c:v>
                </c:pt>
                <c:pt idx="15">
                  <c:v>4.4090180057059323</c:v>
                </c:pt>
                <c:pt idx="16">
                  <c:v>4.5041312353967964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4E4-4796-A91D-EE0B71F664A6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3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5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8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9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1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4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</c:bandFmts>
        <c:axId val="480826271"/>
        <c:axId val="480827519"/>
        <c:axId val="574198767"/>
      </c:surface3DChart>
      <c:catAx>
        <c:axId val="48082627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stock price</a:t>
                </a:r>
              </a:p>
            </c:rich>
          </c:tx>
          <c:layout>
            <c:manualLayout>
              <c:xMode val="edge"/>
              <c:yMode val="edge"/>
              <c:x val="0.75156070367237149"/>
              <c:y val="0.4788095750326291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827519"/>
        <c:crosses val="autoZero"/>
        <c:auto val="1"/>
        <c:lblAlgn val="ctr"/>
        <c:lblOffset val="100"/>
        <c:noMultiLvlLbl val="0"/>
      </c:catAx>
      <c:valAx>
        <c:axId val="4808275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Rho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826271"/>
        <c:crosses val="autoZero"/>
        <c:crossBetween val="midCat"/>
      </c:valAx>
      <c:serAx>
        <c:axId val="574198767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maturity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827519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Vega</a:t>
            </a:r>
            <a:r>
              <a:rPr lang="en-US" baseline="0"/>
              <a:t> (Volatility = 0.2)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0"/>
      <c:rotY val="30"/>
      <c:depthPercent val="220"/>
      <c:rAngAx val="0"/>
      <c:perspective val="8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v>0.1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first_part_vega!$G$5:$G$21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first_part_vega!$I$5:$I$21</c:f>
              <c:numCache>
                <c:formatCode>General</c:formatCode>
                <c:ptCount val="17"/>
                <c:pt idx="0">
                  <c:v>7.5719207361531463E-16</c:v>
                </c:pt>
                <c:pt idx="1">
                  <c:v>9.5374791219906036E-12</c:v>
                </c:pt>
                <c:pt idx="2">
                  <c:v>1.4305070674681116E-8</c:v>
                </c:pt>
                <c:pt idx="3">
                  <c:v>3.7701398975718424E-6</c:v>
                </c:pt>
                <c:pt idx="4">
                  <c:v>2.3609588828415681E-4</c:v>
                </c:pt>
                <c:pt idx="5">
                  <c:v>4.4558558892443629E-3</c:v>
                </c:pt>
                <c:pt idx="6">
                  <c:v>3.0644533309865177E-2</c:v>
                </c:pt>
                <c:pt idx="7">
                  <c:v>8.9541358039279748E-2</c:v>
                </c:pt>
                <c:pt idx="8">
                  <c:v>0.12601477970020519</c:v>
                </c:pt>
                <c:pt idx="9">
                  <c:v>9.4730567005775868E-2</c:v>
                </c:pt>
                <c:pt idx="10">
                  <c:v>4.1459744625109492E-2</c:v>
                </c:pt>
                <c:pt idx="11">
                  <c:v>1.1355073152064604E-2</c:v>
                </c:pt>
                <c:pt idx="12">
                  <c:v>2.0685250757256843E-3</c:v>
                </c:pt>
                <c:pt idx="13">
                  <c:v>2.6396322770578433E-4</c:v>
                </c:pt>
                <c:pt idx="14">
                  <c:v>2.4664615253611668E-5</c:v>
                </c:pt>
                <c:pt idx="15">
                  <c:v>1.7530109023145043E-6</c:v>
                </c:pt>
                <c:pt idx="16">
                  <c:v>9.7937749170318701E-8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18-47A9-B1B4-D3A9EBED9784}"/>
            </c:ext>
          </c:extLst>
        </c:ser>
        <c:ser>
          <c:idx val="1"/>
          <c:order val="1"/>
          <c:tx>
            <c:v>0.2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first_part_vega!$G$5:$G$21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first_part_vega!$J$5:$J$21</c:f>
              <c:numCache>
                <c:formatCode>General</c:formatCode>
                <c:ptCount val="17"/>
                <c:pt idx="0">
                  <c:v>1.29452098386633E-8</c:v>
                </c:pt>
                <c:pt idx="1">
                  <c:v>1.4674662728048759E-6</c:v>
                </c:pt>
                <c:pt idx="2">
                  <c:v>5.73613571054935E-5</c:v>
                </c:pt>
                <c:pt idx="3">
                  <c:v>9.3928751471449782E-4</c:v>
                </c:pt>
                <c:pt idx="4">
                  <c:v>7.4932050826936906E-3</c:v>
                </c:pt>
                <c:pt idx="5">
                  <c:v>3.2800471961839522E-2</c:v>
                </c:pt>
                <c:pt idx="6">
                  <c:v>8.6635119422354204E-2</c:v>
                </c:pt>
                <c:pt idx="7">
                  <c:v>0.14909546983266303</c:v>
                </c:pt>
                <c:pt idx="8">
                  <c:v>0.1780114349570453</c:v>
                </c:pt>
                <c:pt idx="9">
                  <c:v>0.15528549456541479</c:v>
                </c:pt>
                <c:pt idx="10">
                  <c:v>0.10332955422391689</c:v>
                </c:pt>
                <c:pt idx="11">
                  <c:v>5.4377515022381848E-2</c:v>
                </c:pt>
                <c:pt idx="12">
                  <c:v>2.3332711412433971E-2</c:v>
                </c:pt>
                <c:pt idx="13">
                  <c:v>8.3776579671249983E-3</c:v>
                </c:pt>
                <c:pt idx="14">
                  <c:v>2.573458981873061E-3</c:v>
                </c:pt>
                <c:pt idx="15">
                  <c:v>6.89320490541164E-4</c:v>
                </c:pt>
                <c:pt idx="16">
                  <c:v>1.6367344465552199E-4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18-47A9-B1B4-D3A9EBED9784}"/>
            </c:ext>
          </c:extLst>
        </c:ser>
        <c:ser>
          <c:idx val="2"/>
          <c:order val="2"/>
          <c:tx>
            <c:v>0.3</c:v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first_part_vega!$G$5:$G$21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first_part_vega!$K$5:$K$21</c:f>
              <c:numCache>
                <c:formatCode>General</c:formatCode>
                <c:ptCount val="17"/>
                <c:pt idx="0">
                  <c:v>3.6360095554575554E-6</c:v>
                </c:pt>
                <c:pt idx="1">
                  <c:v>8.5735604439262291E-5</c:v>
                </c:pt>
                <c:pt idx="2">
                  <c:v>9.9359820227649877E-4</c:v>
                </c:pt>
                <c:pt idx="3">
                  <c:v>6.4440735249376045E-3</c:v>
                </c:pt>
                <c:pt idx="4">
                  <c:v>2.5866773497556832E-2</c:v>
                </c:pt>
                <c:pt idx="5">
                  <c:v>6.9568288790958291E-2</c:v>
                </c:pt>
                <c:pt idx="6">
                  <c:v>0.13356393635672964</c:v>
                </c:pt>
                <c:pt idx="7">
                  <c:v>0.19267540519079149</c:v>
                </c:pt>
                <c:pt idx="8">
                  <c:v>0.21777345900985232</c:v>
                </c:pt>
                <c:pt idx="9">
                  <c:v>0.19963011175668893</c:v>
                </c:pt>
                <c:pt idx="10">
                  <c:v>0.15274679608962338</c:v>
                </c:pt>
                <c:pt idx="11">
                  <c:v>9.9933417595958002E-2</c:v>
                </c:pt>
                <c:pt idx="12">
                  <c:v>5.7053408088958327E-2</c:v>
                </c:pt>
                <c:pt idx="13">
                  <c:v>2.89199319495635E-2</c:v>
                </c:pt>
                <c:pt idx="14">
                  <c:v>1.3209299733984308E-2</c:v>
                </c:pt>
                <c:pt idx="15">
                  <c:v>5.5061531676659165E-3</c:v>
                </c:pt>
                <c:pt idx="16">
                  <c:v>2.1177230646577411E-3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18-47A9-B1B4-D3A9EBED9784}"/>
            </c:ext>
          </c:extLst>
        </c:ser>
        <c:ser>
          <c:idx val="3"/>
          <c:order val="3"/>
          <c:tx>
            <c:v>0.4</c:v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first_part_vega!$G$5:$G$21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first_part_vega!$L$5:$L$21</c:f>
              <c:numCache>
                <c:formatCode>General</c:formatCode>
                <c:ptCount val="17"/>
                <c:pt idx="0">
                  <c:v>6.3545564110513241E-5</c:v>
                </c:pt>
                <c:pt idx="1">
                  <c:v>6.8337646766849906E-4</c:v>
                </c:pt>
                <c:pt idx="2">
                  <c:v>4.3122978474392244E-3</c:v>
                </c:pt>
                <c:pt idx="3">
                  <c:v>1.7601258389828199E-2</c:v>
                </c:pt>
                <c:pt idx="4">
                  <c:v>5.0116628118720127E-2</c:v>
                </c:pt>
                <c:pt idx="5">
                  <c:v>0.10565235887329334</c:v>
                </c:pt>
                <c:pt idx="6">
                  <c:v>0.17293746502576174</c:v>
                </c:pt>
                <c:pt idx="7">
                  <c:v>0.22840702670307464</c:v>
                </c:pt>
                <c:pt idx="8">
                  <c:v>0.25118039341108511</c:v>
                </c:pt>
                <c:pt idx="9">
                  <c:v>0.23603472101352116</c:v>
                </c:pt>
                <c:pt idx="10">
                  <c:v>0.19366366629160028</c:v>
                </c:pt>
                <c:pt idx="11">
                  <c:v>0.14127284601816151</c:v>
                </c:pt>
                <c:pt idx="12">
                  <c:v>9.3034075502440555E-2</c:v>
                </c:pt>
                <c:pt idx="13">
                  <c:v>5.6032093638267749E-2</c:v>
                </c:pt>
                <c:pt idx="14">
                  <c:v>3.120781264579725E-2</c:v>
                </c:pt>
                <c:pt idx="15">
                  <c:v>1.6227966445448345E-2</c:v>
                </c:pt>
                <c:pt idx="16">
                  <c:v>7.9435914841497809E-3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18-47A9-B1B4-D3A9EBED9784}"/>
            </c:ext>
          </c:extLst>
        </c:ser>
        <c:ser>
          <c:idx val="4"/>
          <c:order val="4"/>
          <c:tx>
            <c:v>0.5</c:v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first_part_vega!$G$5:$G$21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first_part_vega!$M$5:$M$21</c:f>
              <c:numCache>
                <c:formatCode>General</c:formatCode>
                <c:ptCount val="17"/>
                <c:pt idx="0">
                  <c:v>3.625261396739315E-4</c:v>
                </c:pt>
                <c:pt idx="1">
                  <c:v>2.4340934965576379E-3</c:v>
                </c:pt>
                <c:pt idx="2">
                  <c:v>1.066560447463694E-2</c:v>
                </c:pt>
                <c:pt idx="3">
                  <c:v>3.2972479768503968E-2</c:v>
                </c:pt>
                <c:pt idx="4">
                  <c:v>7.6401792301498697E-2</c:v>
                </c:pt>
                <c:pt idx="5">
                  <c:v>0.13916751647279249</c:v>
                </c:pt>
                <c:pt idx="6">
                  <c:v>0.2070079234545385</c:v>
                </c:pt>
                <c:pt idx="7">
                  <c:v>0.25930883920219033</c:v>
                </c:pt>
                <c:pt idx="8">
                  <c:v>0.28051246304186261</c:v>
                </c:pt>
                <c:pt idx="9">
                  <c:v>0.26754925856393441</c:v>
                </c:pt>
                <c:pt idx="10">
                  <c:v>0.22891366897286514</c:v>
                </c:pt>
                <c:pt idx="11">
                  <c:v>0.17825651843380044</c:v>
                </c:pt>
                <c:pt idx="12">
                  <c:v>0.12788990708238193</c:v>
                </c:pt>
                <c:pt idx="13">
                  <c:v>8.5419800594485507E-2</c:v>
                </c:pt>
                <c:pt idx="14">
                  <c:v>5.3588475727461456E-2</c:v>
                </c:pt>
                <c:pt idx="15">
                  <c:v>3.1819367439192572E-2</c:v>
                </c:pt>
                <c:pt idx="16">
                  <c:v>1.8000455519786449E-2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18-47A9-B1B4-D3A9EBED9784}"/>
            </c:ext>
          </c:extLst>
        </c:ser>
        <c:ser>
          <c:idx val="5"/>
          <c:order val="5"/>
          <c:tx>
            <c:v>0.6</c:v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first_part_vega!$G$5:$G$21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first_part_vega!$N$5:$N$21</c:f>
              <c:numCache>
                <c:formatCode>General</c:formatCode>
                <c:ptCount val="17"/>
                <c:pt idx="0">
                  <c:v>1.1766116464443557E-3</c:v>
                </c:pt>
                <c:pt idx="1">
                  <c:v>5.7709392847973585E-3</c:v>
                </c:pt>
                <c:pt idx="2">
                  <c:v>1.9828706392671893E-2</c:v>
                </c:pt>
                <c:pt idx="3">
                  <c:v>5.0934802908825044E-2</c:v>
                </c:pt>
                <c:pt idx="4">
                  <c:v>0.10287482444006046</c:v>
                </c:pt>
                <c:pt idx="5">
                  <c:v>0.16999445472389768</c:v>
                </c:pt>
                <c:pt idx="6">
                  <c:v>0.23723384471393918</c:v>
                </c:pt>
                <c:pt idx="7">
                  <c:v>0.28686682039024308</c:v>
                </c:pt>
                <c:pt idx="8">
                  <c:v>0.30694050496199521</c:v>
                </c:pt>
                <c:pt idx="9">
                  <c:v>0.29567419013929419</c:v>
                </c:pt>
                <c:pt idx="10">
                  <c:v>0.26014283512817954</c:v>
                </c:pt>
                <c:pt idx="11">
                  <c:v>0.21158960540408664</c:v>
                </c:pt>
                <c:pt idx="12">
                  <c:v>0.16072749659884919</c:v>
                </c:pt>
                <c:pt idx="13">
                  <c:v>0.11501755031066588</c:v>
                </c:pt>
                <c:pt idx="14">
                  <c:v>7.8115019427058494E-2</c:v>
                </c:pt>
                <c:pt idx="15">
                  <c:v>5.0671947233936809E-2</c:v>
                </c:pt>
                <c:pt idx="16">
                  <c:v>3.1568381504252209E-2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B18-47A9-B1B4-D3A9EBED9784}"/>
            </c:ext>
          </c:extLst>
        </c:ser>
        <c:ser>
          <c:idx val="6"/>
          <c:order val="6"/>
          <c:tx>
            <c:v>0.7</c:v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first_part_vega!$G$5:$G$21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first_part_vega!$O$5:$O$21</c:f>
              <c:numCache>
                <c:formatCode>General</c:formatCode>
                <c:ptCount val="17"/>
                <c:pt idx="0">
                  <c:v>2.7599282724645072E-3</c:v>
                </c:pt>
                <c:pt idx="1">
                  <c:v>1.0816670734477618E-2</c:v>
                </c:pt>
                <c:pt idx="2">
                  <c:v>3.1240118425491601E-2</c:v>
                </c:pt>
                <c:pt idx="3">
                  <c:v>7.0302629740001565E-2</c:v>
                </c:pt>
                <c:pt idx="4">
                  <c:v>0.12872223646374945</c:v>
                </c:pt>
                <c:pt idx="5">
                  <c:v>0.19840779785263229</c:v>
                </c:pt>
                <c:pt idx="6">
                  <c:v>0.26455122246358709</c:v>
                </c:pt>
                <c:pt idx="7">
                  <c:v>0.31193622839956398</c:v>
                </c:pt>
                <c:pt idx="8">
                  <c:v>0.3311608714611029</c:v>
                </c:pt>
                <c:pt idx="9">
                  <c:v>0.32127364650068396</c:v>
                </c:pt>
                <c:pt idx="10">
                  <c:v>0.28836210247206262</c:v>
                </c:pt>
                <c:pt idx="11">
                  <c:v>0.24195071188978154</c:v>
                </c:pt>
                <c:pt idx="12">
                  <c:v>0.19144349454685666</c:v>
                </c:pt>
                <c:pt idx="13">
                  <c:v>0.14391583547437295</c:v>
                </c:pt>
                <c:pt idx="14">
                  <c:v>0.10344072895213412</c:v>
                </c:pt>
                <c:pt idx="15">
                  <c:v>7.147635788231986E-2</c:v>
                </c:pt>
                <c:pt idx="16">
                  <c:v>4.7705729750376964E-2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B18-47A9-B1B4-D3A9EBED9784}"/>
            </c:ext>
          </c:extLst>
        </c:ser>
        <c:ser>
          <c:idx val="7"/>
          <c:order val="7"/>
          <c:tx>
            <c:v>0.8</c:v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first_part_vega!$G$5:$G$21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first_part_vega!$P$5:$P$21</c:f>
              <c:numCache>
                <c:formatCode>General</c:formatCode>
                <c:ptCount val="17"/>
                <c:pt idx="0">
                  <c:v>5.2767323580423285E-3</c:v>
                </c:pt>
                <c:pt idx="1">
                  <c:v>1.7478240873614232E-2</c:v>
                </c:pt>
                <c:pt idx="2">
                  <c:v>4.431443031965894E-2</c:v>
                </c:pt>
                <c:pt idx="3">
                  <c:v>9.0304222542602286E-2</c:v>
                </c:pt>
                <c:pt idx="4">
                  <c:v>0.15361396923011619</c:v>
                </c:pt>
                <c:pt idx="5">
                  <c:v>0.22473489195639601</c:v>
                </c:pt>
                <c:pt idx="6">
                  <c:v>0.28958655791598931</c:v>
                </c:pt>
                <c:pt idx="7">
                  <c:v>0.33506087760385844</c:v>
                </c:pt>
                <c:pt idx="8">
                  <c:v>0.35362780796997573</c:v>
                </c:pt>
                <c:pt idx="9">
                  <c:v>0.34489758203526322</c:v>
                </c:pt>
                <c:pt idx="10">
                  <c:v>0.31423293448931333</c:v>
                </c:pt>
                <c:pt idx="11">
                  <c:v>0.2698796374360215</c:v>
                </c:pt>
                <c:pt idx="12">
                  <c:v>0.2201771367549985</c:v>
                </c:pt>
                <c:pt idx="13">
                  <c:v>0.17174563874605031</c:v>
                </c:pt>
                <c:pt idx="14">
                  <c:v>0.12880363658795957</c:v>
                </c:pt>
                <c:pt idx="15">
                  <c:v>9.3320554875542944E-2</c:v>
                </c:pt>
                <c:pt idx="16">
                  <c:v>6.5588544899120957E-2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B18-47A9-B1B4-D3A9EBED9784}"/>
            </c:ext>
          </c:extLst>
        </c:ser>
        <c:ser>
          <c:idx val="8"/>
          <c:order val="8"/>
          <c:tx>
            <c:v>0.9</c:v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first_part_vega!$G$5:$G$21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first_part_vega!$Q$5:$Q$21</c:f>
              <c:numCache>
                <c:formatCode>General</c:formatCode>
                <c:ptCount val="17"/>
                <c:pt idx="0">
                  <c:v>8.7942603690305717E-3</c:v>
                </c:pt>
                <c:pt idx="1">
                  <c:v>2.5556717355709923E-2</c:v>
                </c:pt>
                <c:pt idx="2">
                  <c:v>5.8553435054060327E-2</c:v>
                </c:pt>
                <c:pt idx="3">
                  <c:v>0.11045773801093518</c:v>
                </c:pt>
                <c:pt idx="4">
                  <c:v>0.17744408367129644</c:v>
                </c:pt>
                <c:pt idx="5">
                  <c:v>0.2492715420838269</c:v>
                </c:pt>
                <c:pt idx="6">
                  <c:v>0.31277780487504986</c:v>
                </c:pt>
                <c:pt idx="7">
                  <c:v>0.35661132714949467</c:v>
                </c:pt>
                <c:pt idx="8">
                  <c:v>0.37465720501521849</c:v>
                </c:pt>
                <c:pt idx="9">
                  <c:v>0.36692108772311305</c:v>
                </c:pt>
                <c:pt idx="10">
                  <c:v>0.33821167077407699</c:v>
                </c:pt>
                <c:pt idx="11">
                  <c:v>0.29579147918734411</c:v>
                </c:pt>
                <c:pt idx="12">
                  <c:v>0.24712869597243459</c:v>
                </c:pt>
                <c:pt idx="13">
                  <c:v>0.19838851664708951</c:v>
                </c:pt>
                <c:pt idx="14">
                  <c:v>0.15378580943041786</c:v>
                </c:pt>
                <c:pt idx="15">
                  <c:v>0.11560345928134991</c:v>
                </c:pt>
                <c:pt idx="16">
                  <c:v>8.4581782621465387E-2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B18-47A9-B1B4-D3A9EBED9784}"/>
            </c:ext>
          </c:extLst>
        </c:ser>
        <c:ser>
          <c:idx val="9"/>
          <c:order val="9"/>
          <c:tx>
            <c:v>1</c:v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first_part_vega!$G$5:$G$21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first_part_vega!$R$5:$R$21</c:f>
              <c:numCache>
                <c:formatCode>General</c:formatCode>
                <c:ptCount val="17"/>
                <c:pt idx="0">
                  <c:v>1.3304138019690321E-2</c:v>
                </c:pt>
                <c:pt idx="1">
                  <c:v>3.4820176623168372E-2</c:v>
                </c:pt>
                <c:pt idx="2">
                  <c:v>7.3566173019582473E-2</c:v>
                </c:pt>
                <c:pt idx="3">
                  <c:v>0.13046879019121693</c:v>
                </c:pt>
                <c:pt idx="4">
                  <c:v>0.20021019742744608</c:v>
                </c:pt>
                <c:pt idx="5">
                  <c:v>0.27226666793458271</c:v>
                </c:pt>
                <c:pt idx="6">
                  <c:v>0.33444289202725919</c:v>
                </c:pt>
                <c:pt idx="7">
                  <c:v>0.37685326590063856</c:v>
                </c:pt>
                <c:pt idx="8">
                  <c:v>0.39447933090788895</c:v>
                </c:pt>
                <c:pt idx="9">
                  <c:v>0.38761333572648299</c:v>
                </c:pt>
                <c:pt idx="10">
                  <c:v>0.36062690186445995</c:v>
                </c:pt>
                <c:pt idx="11">
                  <c:v>0.32000599329500923</c:v>
                </c:pt>
                <c:pt idx="12">
                  <c:v>0.27249840451049845</c:v>
                </c:pt>
                <c:pt idx="13">
                  <c:v>0.22384180561821135</c:v>
                </c:pt>
                <c:pt idx="14">
                  <c:v>0.17816680549913189</c:v>
                </c:pt>
                <c:pt idx="15">
                  <c:v>0.13793855243276579</c:v>
                </c:pt>
                <c:pt idx="16">
                  <c:v>0.1042211652111974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B18-47A9-B1B4-D3A9EBED9784}"/>
            </c:ext>
          </c:extLst>
        </c:ser>
        <c:ser>
          <c:idx val="10"/>
          <c:order val="10"/>
          <c:tx>
            <c:v>2</c:v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first_part_vega!$G$5:$G$21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first_part_vega!$S$5:$S$21</c:f>
              <c:numCache>
                <c:formatCode>General</c:formatCode>
                <c:ptCount val="17"/>
                <c:pt idx="0">
                  <c:v>9.5039378692490781E-2</c:v>
                </c:pt>
                <c:pt idx="1">
                  <c:v>0.15529982480581039</c:v>
                </c:pt>
                <c:pt idx="2">
                  <c:v>0.22783353493544931</c:v>
                </c:pt>
                <c:pt idx="3">
                  <c:v>0.30603936130050935</c:v>
                </c:pt>
                <c:pt idx="4">
                  <c:v>0.38218237653015336</c:v>
                </c:pt>
                <c:pt idx="5">
                  <c:v>0.44907193585775435</c:v>
                </c:pt>
                <c:pt idx="6">
                  <c:v>0.50128257699490841</c:v>
                </c:pt>
                <c:pt idx="7">
                  <c:v>0.53572622142458148</c:v>
                </c:pt>
                <c:pt idx="8">
                  <c:v>0.55163706332541196</c:v>
                </c:pt>
                <c:pt idx="9">
                  <c:v>0.5501604023542791</c:v>
                </c:pt>
                <c:pt idx="10">
                  <c:v>0.53375807389774854</c:v>
                </c:pt>
                <c:pt idx="11">
                  <c:v>0.50560061959578562</c:v>
                </c:pt>
                <c:pt idx="12">
                  <c:v>0.46905195347320522</c:v>
                </c:pt>
                <c:pt idx="13">
                  <c:v>0.42729288686192152</c:v>
                </c:pt>
                <c:pt idx="14">
                  <c:v>0.38308718744736653</c:v>
                </c:pt>
                <c:pt idx="15">
                  <c:v>0.33866932678137185</c:v>
                </c:pt>
                <c:pt idx="16">
                  <c:v>0.2957231189511369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B18-47A9-B1B4-D3A9EBED9784}"/>
            </c:ext>
          </c:extLst>
        </c:ser>
        <c:ser>
          <c:idx val="11"/>
          <c:order val="11"/>
          <c:tx>
            <c:v>3</c:v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first_part_vega!$G$5:$G$21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first_part_vega!$T$5:$T$21</c:f>
              <c:numCache>
                <c:formatCode>General</c:formatCode>
                <c:ptCount val="17"/>
                <c:pt idx="0">
                  <c:v>0.19822539521715424</c:v>
                </c:pt>
                <c:pt idx="1">
                  <c:v>0.27684353502761883</c:v>
                </c:pt>
                <c:pt idx="2">
                  <c:v>0.35965069029119617</c:v>
                </c:pt>
                <c:pt idx="3">
                  <c:v>0.44036986538728901</c:v>
                </c:pt>
                <c:pt idx="4">
                  <c:v>0.51343117209127109</c:v>
                </c:pt>
                <c:pt idx="5">
                  <c:v>0.574609960396536</c:v>
                </c:pt>
                <c:pt idx="6">
                  <c:v>0.6212783862055673</c:v>
                </c:pt>
                <c:pt idx="7">
                  <c:v>0.65235380338435678</c:v>
                </c:pt>
                <c:pt idx="8">
                  <c:v>0.66805659306916709</c:v>
                </c:pt>
                <c:pt idx="9">
                  <c:v>0.669580745803801</c:v>
                </c:pt>
                <c:pt idx="10">
                  <c:v>0.658754089959111</c:v>
                </c:pt>
                <c:pt idx="11">
                  <c:v>0.63773587385453712</c:v>
                </c:pt>
                <c:pt idx="12">
                  <c:v>0.60877484538879079</c:v>
                </c:pt>
                <c:pt idx="13">
                  <c:v>0.57403350128173736</c:v>
                </c:pt>
                <c:pt idx="14">
                  <c:v>0.53547351271025068</c:v>
                </c:pt>
                <c:pt idx="15">
                  <c:v>0.49479201943433782</c:v>
                </c:pt>
                <c:pt idx="16">
                  <c:v>0.45339683503257289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B18-47A9-B1B4-D3A9EBED9784}"/>
            </c:ext>
          </c:extLst>
        </c:ser>
        <c:ser>
          <c:idx val="12"/>
          <c:order val="12"/>
          <c:tx>
            <c:v>4</c:v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first_part_vega!$G$5:$G$21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first_part_vega!$U$5:$U$21</c:f>
              <c:numCache>
                <c:formatCode>General</c:formatCode>
                <c:ptCount val="17"/>
                <c:pt idx="0">
                  <c:v>0.29702348640212861</c:v>
                </c:pt>
                <c:pt idx="1">
                  <c:v>0.38350386340459214</c:v>
                </c:pt>
                <c:pt idx="2">
                  <c:v>0.46883083785060742</c:v>
                </c:pt>
                <c:pt idx="3">
                  <c:v>0.54807676647351533</c:v>
                </c:pt>
                <c:pt idx="4">
                  <c:v>0.61743560179207324</c:v>
                </c:pt>
                <c:pt idx="5">
                  <c:v>0.67438113704922509</c:v>
                </c:pt>
                <c:pt idx="6">
                  <c:v>0.71761533320686943</c:v>
                </c:pt>
                <c:pt idx="7">
                  <c:v>0.7468905995563202</c:v>
                </c:pt>
                <c:pt idx="8">
                  <c:v>0.76277563092104816</c:v>
                </c:pt>
                <c:pt idx="9">
                  <c:v>0.76641397953105828</c:v>
                </c:pt>
                <c:pt idx="10">
                  <c:v>0.75930525448770614</c:v>
                </c:pt>
                <c:pt idx="11">
                  <c:v>0.74312371276717004</c:v>
                </c:pt>
                <c:pt idx="12">
                  <c:v>0.71957857026067118</c:v>
                </c:pt>
                <c:pt idx="13">
                  <c:v>0.69031398866778315</c:v>
                </c:pt>
                <c:pt idx="14">
                  <c:v>0.6568433742701324</c:v>
                </c:pt>
                <c:pt idx="15">
                  <c:v>0.62051137062691963</c:v>
                </c:pt>
                <c:pt idx="16">
                  <c:v>0.58247693709726134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B18-47A9-B1B4-D3A9EBED9784}"/>
            </c:ext>
          </c:extLst>
        </c:ser>
        <c:ser>
          <c:idx val="13"/>
          <c:order val="13"/>
          <c:tx>
            <c:v>5</c:v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first_part_vega!$G$5:$G$21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first_part_vega!$V$5:$V$21</c:f>
              <c:numCache>
                <c:formatCode>General</c:formatCode>
                <c:ptCount val="17"/>
                <c:pt idx="0">
                  <c:v>0.3865349347186785</c:v>
                </c:pt>
                <c:pt idx="1">
                  <c:v>0.47611297617669923</c:v>
                </c:pt>
                <c:pt idx="2">
                  <c:v>0.56119836056730876</c:v>
                </c:pt>
                <c:pt idx="3">
                  <c:v>0.63807941266216028</c:v>
                </c:pt>
                <c:pt idx="4">
                  <c:v>0.70416816821210715</c:v>
                </c:pt>
                <c:pt idx="5">
                  <c:v>0.75795571731518341</c:v>
                </c:pt>
                <c:pt idx="6">
                  <c:v>0.79886620400360531</c:v>
                </c:pt>
                <c:pt idx="7">
                  <c:v>0.82706631007195031</c:v>
                </c:pt>
                <c:pt idx="8">
                  <c:v>0.84326874401380636</c:v>
                </c:pt>
                <c:pt idx="9">
                  <c:v>0.84855257304543275</c:v>
                </c:pt>
                <c:pt idx="10">
                  <c:v>0.84421159741338536</c:v>
                </c:pt>
                <c:pt idx="11">
                  <c:v>0.83163420463033977</c:v>
                </c:pt>
                <c:pt idx="12">
                  <c:v>0.81221348325030684</c:v>
                </c:pt>
                <c:pt idx="13">
                  <c:v>0.78728394585688899</c:v>
                </c:pt>
                <c:pt idx="14">
                  <c:v>0.7580802493833807</c:v>
                </c:pt>
                <c:pt idx="15">
                  <c:v>0.72571322803396565</c:v>
                </c:pt>
                <c:pt idx="16">
                  <c:v>0.69115896371880403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B18-47A9-B1B4-D3A9EBED9784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3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5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8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9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1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4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</c:bandFmts>
        <c:axId val="1542296959"/>
        <c:axId val="1542294463"/>
        <c:axId val="1309554735"/>
      </c:surface3DChart>
      <c:catAx>
        <c:axId val="154229695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>
                    <a:solidFill>
                      <a:schemeClr val="bg1"/>
                    </a:solidFill>
                  </a:rPr>
                  <a:t>Stock Price</a:t>
                </a:r>
              </a:p>
            </c:rich>
          </c:tx>
          <c:layout>
            <c:manualLayout>
              <c:xMode val="edge"/>
              <c:yMode val="edge"/>
              <c:x val="0.30150518088679534"/>
              <c:y val="0.7755670785054307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2294463"/>
        <c:crosses val="autoZero"/>
        <c:auto val="1"/>
        <c:lblAlgn val="ctr"/>
        <c:lblOffset val="100"/>
        <c:noMultiLvlLbl val="0"/>
      </c:catAx>
      <c:valAx>
        <c:axId val="15422944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>
                    <a:solidFill>
                      <a:schemeClr val="bg1"/>
                    </a:solidFill>
                  </a:rPr>
                  <a:t>Vega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2296959"/>
        <c:crosses val="autoZero"/>
        <c:crossBetween val="midCat"/>
      </c:valAx>
      <c:serAx>
        <c:axId val="1309554735"/>
        <c:scaling>
          <c:orientation val="minMax"/>
        </c:scaling>
        <c:delete val="0"/>
        <c:axPos val="b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>
                    <a:solidFill>
                      <a:schemeClr val="bg1"/>
                    </a:solidFill>
                  </a:rPr>
                  <a:t>Maturity</a:t>
                </a:r>
              </a:p>
            </c:rich>
          </c:tx>
          <c:layout>
            <c:manualLayout>
              <c:xMode val="edge"/>
              <c:yMode val="edge"/>
              <c:x val="0.82733751649523279"/>
              <c:y val="0.61447291988230468"/>
            </c:manualLayout>
          </c:layout>
          <c:overlay val="0"/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2294463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Vega (Volatility = 0.3)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0"/>
      <c:rotY val="30"/>
      <c:depthPercent val="220"/>
      <c:rAngAx val="0"/>
      <c:perspective val="7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3271365319989208E-2"/>
          <c:y val="0.11691588785046729"/>
          <c:w val="0.8885822172345279"/>
          <c:h val="0.60142468172786812"/>
        </c:manualLayout>
      </c:layout>
      <c:surface3DChart>
        <c:wireframe val="0"/>
        <c:ser>
          <c:idx val="0"/>
          <c:order val="0"/>
          <c:tx>
            <c:v>0.1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val>
            <c:numRef>
              <c:f>first_part_vega!$AA$5:$AA$21</c:f>
              <c:numCache>
                <c:formatCode>General</c:formatCode>
                <c:ptCount val="17"/>
                <c:pt idx="0">
                  <c:v>5.2241467496489445E-8</c:v>
                </c:pt>
                <c:pt idx="1">
                  <c:v>3.5480919020595774E-6</c:v>
                </c:pt>
                <c:pt idx="2">
                  <c:v>9.343630931757354E-5</c:v>
                </c:pt>
                <c:pt idx="3">
                  <c:v>1.1344357018572753E-3</c:v>
                </c:pt>
                <c:pt idx="4">
                  <c:v>7.2629446543345496E-3</c:v>
                </c:pt>
                <c:pt idx="5">
                  <c:v>2.725633977693533E-2</c:v>
                </c:pt>
                <c:pt idx="6">
                  <c:v>6.5245486618251372E-2</c:v>
                </c:pt>
                <c:pt idx="7">
                  <c:v>0.10666888149822518</c:v>
                </c:pt>
                <c:pt idx="8">
                  <c:v>0.12594479093238517</c:v>
                </c:pt>
                <c:pt idx="9">
                  <c:v>0.11245674973430275</c:v>
                </c:pt>
                <c:pt idx="10">
                  <c:v>7.8904665626496825E-2</c:v>
                </c:pt>
                <c:pt idx="11">
                  <c:v>4.4925546239266936E-2</c:v>
                </c:pt>
                <c:pt idx="12">
                  <c:v>2.1327896525065605E-2</c:v>
                </c:pt>
                <c:pt idx="13">
                  <c:v>8.6394717581212612E-3</c:v>
                </c:pt>
                <c:pt idx="14">
                  <c:v>3.0456280025937246E-3</c:v>
                </c:pt>
                <c:pt idx="15">
                  <c:v>9.503394546450289E-4</c:v>
                </c:pt>
                <c:pt idx="16">
                  <c:v>2.6634878733576307E-4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D8-4499-B5B8-1FED0269D6A1}"/>
            </c:ext>
          </c:extLst>
        </c:ser>
        <c:ser>
          <c:idx val="1"/>
          <c:order val="1"/>
          <c:tx>
            <c:v>0.2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val>
            <c:numRef>
              <c:f>first_part_vega!$AB$5:$AB$21</c:f>
              <c:numCache>
                <c:formatCode>General</c:formatCode>
                <c:ptCount val="17"/>
                <c:pt idx="0">
                  <c:v>1.0369210092575669E-4</c:v>
                </c:pt>
                <c:pt idx="1">
                  <c:v>8.6795002193490315E-4</c:v>
                </c:pt>
                <c:pt idx="2">
                  <c:v>4.5186973977930974E-3</c:v>
                </c:pt>
                <c:pt idx="3">
                  <c:v>1.5957745936388483E-2</c:v>
                </c:pt>
                <c:pt idx="4">
                  <c:v>4.0887259297741153E-2</c:v>
                </c:pt>
                <c:pt idx="5">
                  <c:v>8.0146565468207587E-2</c:v>
                </c:pt>
                <c:pt idx="6">
                  <c:v>0.12538719707021431</c:v>
                </c:pt>
                <c:pt idx="7">
                  <c:v>0.16201774980597239</c:v>
                </c:pt>
                <c:pt idx="8">
                  <c:v>0.17781375431667518</c:v>
                </c:pt>
                <c:pt idx="9">
                  <c:v>0.16962433257069018</c:v>
                </c:pt>
                <c:pt idx="10">
                  <c:v>0.14337557290741065</c:v>
                </c:pt>
                <c:pt idx="11">
                  <c:v>0.10912500779394539</c:v>
                </c:pt>
                <c:pt idx="12">
                  <c:v>7.5813336945485366E-2</c:v>
                </c:pt>
                <c:pt idx="13">
                  <c:v>4.8636515735941716E-2</c:v>
                </c:pt>
                <c:pt idx="14">
                  <c:v>2.909841456749146E-2</c:v>
                </c:pt>
                <c:pt idx="15">
                  <c:v>1.6374094930515438E-2</c:v>
                </c:pt>
                <c:pt idx="16">
                  <c:v>8.7300030082944971E-3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DD8-4499-B5B8-1FED0269D6A1}"/>
            </c:ext>
          </c:extLst>
        </c:ser>
        <c:ser>
          <c:idx val="2"/>
          <c:order val="2"/>
          <c:tx>
            <c:v>0.3</c:v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val>
            <c:numRef>
              <c:f>first_part_vega!$AC$5:$AC$21</c:f>
              <c:numCache>
                <c:formatCode>General</c:formatCode>
                <c:ptCount val="17"/>
                <c:pt idx="0">
                  <c:v>1.4202882759273422E-3</c:v>
                </c:pt>
                <c:pt idx="1">
                  <c:v>5.9162801509579999E-3</c:v>
                </c:pt>
                <c:pt idx="2">
                  <c:v>1.7943197870953598E-2</c:v>
                </c:pt>
                <c:pt idx="3">
                  <c:v>4.1984549048709421E-2</c:v>
                </c:pt>
                <c:pt idx="4">
                  <c:v>7.9274555446936956E-2</c:v>
                </c:pt>
                <c:pt idx="5">
                  <c:v>0.12514440458799733</c:v>
                </c:pt>
                <c:pt idx="6">
                  <c:v>0.16990578273325513</c:v>
                </c:pt>
                <c:pt idx="7">
                  <c:v>0.20298234899889017</c:v>
                </c:pt>
                <c:pt idx="8">
                  <c:v>0.21741080554000833</c:v>
                </c:pt>
                <c:pt idx="9">
                  <c:v>0.21201979956829659</c:v>
                </c:pt>
                <c:pt idx="10">
                  <c:v>0.19068654650481348</c:v>
                </c:pt>
                <c:pt idx="11">
                  <c:v>0.1598779807314763</c:v>
                </c:pt>
                <c:pt idx="12">
                  <c:v>0.12610496950196404</c:v>
                </c:pt>
                <c:pt idx="13">
                  <c:v>9.4299256777715626E-2</c:v>
                </c:pt>
                <c:pt idx="14">
                  <c:v>6.729573538434451E-2</c:v>
                </c:pt>
                <c:pt idx="15">
                  <c:v>4.6093272696781748E-2</c:v>
                </c:pt>
                <c:pt idx="16">
                  <c:v>3.0450166811718988E-2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DD8-4499-B5B8-1FED0269D6A1}"/>
            </c:ext>
          </c:extLst>
        </c:ser>
        <c:ser>
          <c:idx val="3"/>
          <c:order val="3"/>
          <c:tx>
            <c:v>0.4</c:v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val>
            <c:numRef>
              <c:f>first_part_vega!$AD$5:$AD$21</c:f>
              <c:numCache>
                <c:formatCode>General</c:formatCode>
                <c:ptCount val="17"/>
                <c:pt idx="0">
                  <c:v>5.4799114620321266E-3</c:v>
                </c:pt>
                <c:pt idx="1">
                  <c:v>1.6103021116910757E-2</c:v>
                </c:pt>
                <c:pt idx="2">
                  <c:v>3.7275610547584395E-2</c:v>
                </c:pt>
                <c:pt idx="3">
                  <c:v>7.0995380577419692E-2</c:v>
                </c:pt>
                <c:pt idx="4">
                  <c:v>0.11507695143275126</c:v>
                </c:pt>
                <c:pt idx="5">
                  <c:v>0.16302579321220409</c:v>
                </c:pt>
                <c:pt idx="6">
                  <c:v>0.20618984345800193</c:v>
                </c:pt>
                <c:pt idx="7">
                  <c:v>0.23685782585692991</c:v>
                </c:pt>
                <c:pt idx="8">
                  <c:v>0.25062283449841155</c:v>
                </c:pt>
                <c:pt idx="9">
                  <c:v>0.24711674739236783</c:v>
                </c:pt>
                <c:pt idx="10">
                  <c:v>0.22925780102263246</c:v>
                </c:pt>
                <c:pt idx="11">
                  <c:v>0.20174485287319668</c:v>
                </c:pt>
                <c:pt idx="12">
                  <c:v>0.16955364143103457</c:v>
                </c:pt>
                <c:pt idx="13">
                  <c:v>0.13688718821788132</c:v>
                </c:pt>
                <c:pt idx="14">
                  <c:v>0.10669112068562892</c:v>
                </c:pt>
                <c:pt idx="15">
                  <c:v>8.062306246902104E-2</c:v>
                </c:pt>
                <c:pt idx="16">
                  <c:v>5.9286927376384899E-2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DD8-4499-B5B8-1FED0269D6A1}"/>
            </c:ext>
          </c:extLst>
        </c:ser>
        <c:ser>
          <c:idx val="4"/>
          <c:order val="4"/>
          <c:tx>
            <c:v>0.5</c:v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val>
            <c:numRef>
              <c:f>first_part_vega!$AE$5:$AE$21</c:f>
              <c:numCache>
                <c:formatCode>General</c:formatCode>
                <c:ptCount val="17"/>
                <c:pt idx="0">
                  <c:v>1.2626797297023531E-2</c:v>
                </c:pt>
                <c:pt idx="1">
                  <c:v>3.0095667810257465E-2</c:v>
                </c:pt>
                <c:pt idx="2">
                  <c:v>5.9240833497693518E-2</c:v>
                </c:pt>
                <c:pt idx="3">
                  <c:v>9.9723128342838543E-2</c:v>
                </c:pt>
                <c:pt idx="4">
                  <c:v>0.14749677041710108</c:v>
                </c:pt>
                <c:pt idx="5">
                  <c:v>0.19581443166314164</c:v>
                </c:pt>
                <c:pt idx="6">
                  <c:v>0.23734723525071394</c:v>
                </c:pt>
                <c:pt idx="7">
                  <c:v>0.26630962333356745</c:v>
                </c:pt>
                <c:pt idx="8">
                  <c:v>0.27973434297828004</c:v>
                </c:pt>
                <c:pt idx="9">
                  <c:v>0.27765089504983587</c:v>
                </c:pt>
                <c:pt idx="10">
                  <c:v>0.26242669261937368</c:v>
                </c:pt>
                <c:pt idx="11">
                  <c:v>0.23773448946649214</c:v>
                </c:pt>
                <c:pt idx="12">
                  <c:v>0.20755515123786619</c:v>
                </c:pt>
                <c:pt idx="13">
                  <c:v>0.17545145159162673</c:v>
                </c:pt>
                <c:pt idx="14">
                  <c:v>0.1441763943815362</c:v>
                </c:pt>
                <c:pt idx="15">
                  <c:v>0.11556698455080515</c:v>
                </c:pt>
                <c:pt idx="16">
                  <c:v>9.0627906162675992E-2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DD8-4499-B5B8-1FED0269D6A1}"/>
            </c:ext>
          </c:extLst>
        </c:ser>
        <c:ser>
          <c:idx val="5"/>
          <c:order val="5"/>
          <c:tx>
            <c:v>0.6</c:v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val>
            <c:numRef>
              <c:f>first_part_vega!$AF$5:$AF$21</c:f>
              <c:numCache>
                <c:formatCode>General</c:formatCode>
                <c:ptCount val="17"/>
                <c:pt idx="0">
                  <c:v>2.2388087034633054E-2</c:v>
                </c:pt>
                <c:pt idx="1">
                  <c:v>4.6410088796281238E-2</c:v>
                </c:pt>
                <c:pt idx="2">
                  <c:v>8.1996646326998268E-2</c:v>
                </c:pt>
                <c:pt idx="3">
                  <c:v>0.12712093999325988</c:v>
                </c:pt>
                <c:pt idx="4">
                  <c:v>0.17688429965289609</c:v>
                </c:pt>
                <c:pt idx="5">
                  <c:v>0.22487833277913319</c:v>
                </c:pt>
                <c:pt idx="6">
                  <c:v>0.26495540458839584</c:v>
                </c:pt>
                <c:pt idx="7">
                  <c:v>0.29266016170947762</c:v>
                </c:pt>
                <c:pt idx="8">
                  <c:v>0.30591907327736617</c:v>
                </c:pt>
                <c:pt idx="9">
                  <c:v>0.30498209522504149</c:v>
                </c:pt>
                <c:pt idx="10">
                  <c:v>0.29186001251802374</c:v>
                </c:pt>
                <c:pt idx="11">
                  <c:v>0.26956448745123346</c:v>
                </c:pt>
                <c:pt idx="12">
                  <c:v>0.24139509792774025</c:v>
                </c:pt>
                <c:pt idx="13">
                  <c:v>0.21040872318836001</c:v>
                </c:pt>
                <c:pt idx="14">
                  <c:v>0.17910817795815687</c:v>
                </c:pt>
                <c:pt idx="15">
                  <c:v>0.14932325285649345</c:v>
                </c:pt>
                <c:pt idx="16">
                  <c:v>0.12222910034137176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DD8-4499-B5B8-1FED0269D6A1}"/>
            </c:ext>
          </c:extLst>
        </c:ser>
        <c:ser>
          <c:idx val="6"/>
          <c:order val="6"/>
          <c:tx>
            <c:v>0.7</c:v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val>
            <c:numRef>
              <c:f>first_part_vega!$AG$5:$AG$21</c:f>
              <c:numCache>
                <c:formatCode>General</c:formatCode>
                <c:ptCount val="17"/>
                <c:pt idx="0">
                  <c:v>3.4092800414934198E-2</c:v>
                </c:pt>
                <c:pt idx="1">
                  <c:v>6.3967797976228563E-2</c:v>
                </c:pt>
                <c:pt idx="2">
                  <c:v>0.10462155572124114</c:v>
                </c:pt>
                <c:pt idx="3">
                  <c:v>0.1529339134731435</c:v>
                </c:pt>
                <c:pt idx="4">
                  <c:v>0.20372161802542726</c:v>
                </c:pt>
                <c:pt idx="5">
                  <c:v>0.25111006208294911</c:v>
                </c:pt>
                <c:pt idx="6">
                  <c:v>0.28993012918382316</c:v>
                </c:pt>
                <c:pt idx="7">
                  <c:v>0.31667848744818328</c:v>
                </c:pt>
                <c:pt idx="8">
                  <c:v>0.32987552453324309</c:v>
                </c:pt>
                <c:pt idx="9">
                  <c:v>0.32990232912026402</c:v>
                </c:pt>
                <c:pt idx="10">
                  <c:v>0.31851990708534011</c:v>
                </c:pt>
                <c:pt idx="11">
                  <c:v>0.29828227300311033</c:v>
                </c:pt>
                <c:pt idx="12">
                  <c:v>0.27199931861420884</c:v>
                </c:pt>
                <c:pt idx="13">
                  <c:v>0.24233244905687776</c:v>
                </c:pt>
                <c:pt idx="14">
                  <c:v>0.21154470571896189</c:v>
                </c:pt>
                <c:pt idx="15">
                  <c:v>0.18138808755412689</c:v>
                </c:pt>
                <c:pt idx="16">
                  <c:v>0.15309296235130823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DD8-4499-B5B8-1FED0269D6A1}"/>
            </c:ext>
          </c:extLst>
        </c:ser>
        <c:ser>
          <c:idx val="7"/>
          <c:order val="7"/>
          <c:tx>
            <c:v>0.8</c:v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val>
            <c:numRef>
              <c:f>first_part_vega!$AH$5:$AH$21</c:f>
              <c:numCache>
                <c:formatCode>General</c:formatCode>
                <c:ptCount val="17"/>
                <c:pt idx="0">
                  <c:v>4.7136291023201063E-2</c:v>
                </c:pt>
                <c:pt idx="1">
                  <c:v>8.2069467460122739E-2</c:v>
                </c:pt>
                <c:pt idx="2">
                  <c:v>0.12667719836424346</c:v>
                </c:pt>
                <c:pt idx="3">
                  <c:v>0.17718513961379675</c:v>
                </c:pt>
                <c:pt idx="4">
                  <c:v>0.22843174271570832</c:v>
                </c:pt>
                <c:pt idx="5">
                  <c:v>0.27511226709398245</c:v>
                </c:pt>
                <c:pt idx="6">
                  <c:v>0.3128543782986476</c:v>
                </c:pt>
                <c:pt idx="7">
                  <c:v>0.33885838808772822</c:v>
                </c:pt>
                <c:pt idx="8">
                  <c:v>0.35205961627525989</c:v>
                </c:pt>
                <c:pt idx="9">
                  <c:v>0.35292069317520947</c:v>
                </c:pt>
                <c:pt idx="10">
                  <c:v>0.34301770068622478</c:v>
                </c:pt>
                <c:pt idx="11">
                  <c:v>0.32457082698947876</c:v>
                </c:pt>
                <c:pt idx="12">
                  <c:v>0.30002386856514912</c:v>
                </c:pt>
                <c:pt idx="13">
                  <c:v>0.27172581972973997</c:v>
                </c:pt>
                <c:pt idx="14">
                  <c:v>0.24172728981926181</c:v>
                </c:pt>
                <c:pt idx="15">
                  <c:v>0.2116792144510537</c:v>
                </c:pt>
                <c:pt idx="16">
                  <c:v>0.18280966330758441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DD8-4499-B5B8-1FED0269D6A1}"/>
            </c:ext>
          </c:extLst>
        </c:ser>
        <c:ser>
          <c:idx val="8"/>
          <c:order val="8"/>
          <c:tx>
            <c:v>0.9</c:v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val>
            <c:numRef>
              <c:f>first_part_vega!$AI$5:$AI$21</c:f>
              <c:numCache>
                <c:formatCode>General</c:formatCode>
                <c:ptCount val="17"/>
                <c:pt idx="0">
                  <c:v>6.1044245880699184E-2</c:v>
                </c:pt>
                <c:pt idx="1">
                  <c:v>0.10028004968425032</c:v>
                </c:pt>
                <c:pt idx="2">
                  <c:v>0.14797070949272112</c:v>
                </c:pt>
                <c:pt idx="3">
                  <c:v>0.19998950927794951</c:v>
                </c:pt>
                <c:pt idx="4">
                  <c:v>0.25135567501845724</c:v>
                </c:pt>
                <c:pt idx="5">
                  <c:v>0.29730845258588656</c:v>
                </c:pt>
                <c:pt idx="6">
                  <c:v>0.33412469483092277</c:v>
                </c:pt>
                <c:pt idx="7">
                  <c:v>0.35953924700853623</c:v>
                </c:pt>
                <c:pt idx="8">
                  <c:v>0.37278859440959367</c:v>
                </c:pt>
                <c:pt idx="9">
                  <c:v>0.37438741076876991</c:v>
                </c:pt>
                <c:pt idx="10">
                  <c:v>0.36576911327852024</c:v>
                </c:pt>
                <c:pt idx="11">
                  <c:v>0.34890050929444233</c:v>
                </c:pt>
                <c:pt idx="12">
                  <c:v>0.32594284085625297</c:v>
                </c:pt>
                <c:pt idx="13">
                  <c:v>0.29899446559453879</c:v>
                </c:pt>
                <c:pt idx="14">
                  <c:v>0.26992241961759361</c:v>
                </c:pt>
                <c:pt idx="15">
                  <c:v>0.24027301202528756</c:v>
                </c:pt>
                <c:pt idx="16">
                  <c:v>0.2112437392784553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DD8-4499-B5B8-1FED0269D6A1}"/>
            </c:ext>
          </c:extLst>
        </c:ser>
        <c:ser>
          <c:idx val="9"/>
          <c:order val="9"/>
          <c:tx>
            <c:v>1</c:v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val>
            <c:numRef>
              <c:f>first_part_vega!$AJ$5:$AJ$21</c:f>
              <c:numCache>
                <c:formatCode>General</c:formatCode>
                <c:ptCount val="17"/>
                <c:pt idx="0">
                  <c:v>7.5465414056779437E-2</c:v>
                </c:pt>
                <c:pt idx="1">
                  <c:v>0.11833484483505809</c:v>
                </c:pt>
                <c:pt idx="2">
                  <c:v>0.16843384637940814</c:v>
                </c:pt>
                <c:pt idx="3">
                  <c:v>0.22148428421066527</c:v>
                </c:pt>
                <c:pt idx="4">
                  <c:v>0.27276349949898759</c:v>
                </c:pt>
                <c:pt idx="5">
                  <c:v>0.31800713357890908</c:v>
                </c:pt>
                <c:pt idx="6">
                  <c:v>0.35402457537592474</c:v>
                </c:pt>
                <c:pt idx="7">
                  <c:v>0.37896623822327197</c:v>
                </c:pt>
                <c:pt idx="8">
                  <c:v>0.39229385545573264</c:v>
                </c:pt>
                <c:pt idx="9">
                  <c:v>0.39455567305177863</c:v>
                </c:pt>
                <c:pt idx="10">
                  <c:v>0.38707149777283806</c:v>
                </c:pt>
                <c:pt idx="11">
                  <c:v>0.37160972039984985</c:v>
                </c:pt>
                <c:pt idx="12">
                  <c:v>0.3501077491813388</c:v>
                </c:pt>
                <c:pt idx="13">
                  <c:v>0.3244596596452714</c:v>
                </c:pt>
                <c:pt idx="14">
                  <c:v>0.29637484768584299</c:v>
                </c:pt>
                <c:pt idx="15">
                  <c:v>0.26729952054680567</c:v>
                </c:pt>
                <c:pt idx="16">
                  <c:v>0.23838743989858865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DD8-4499-B5B8-1FED0269D6A1}"/>
            </c:ext>
          </c:extLst>
        </c:ser>
        <c:ser>
          <c:idx val="10"/>
          <c:order val="10"/>
          <c:tx>
            <c:v>2</c:v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val>
            <c:numRef>
              <c:f>first_part_vega!$AK$5:$AK$21</c:f>
              <c:numCache>
                <c:formatCode>General</c:formatCode>
                <c:ptCount val="17"/>
                <c:pt idx="0">
                  <c:v>0.21665010977573695</c:v>
                </c:pt>
                <c:pt idx="1">
                  <c:v>0.27555008864451608</c:v>
                </c:pt>
                <c:pt idx="2">
                  <c:v>0.33351628785916165</c:v>
                </c:pt>
                <c:pt idx="3">
                  <c:v>0.38761449136581971</c:v>
                </c:pt>
                <c:pt idx="4">
                  <c:v>0.43558378451392826</c:v>
                </c:pt>
                <c:pt idx="5">
                  <c:v>0.47590089770706884</c:v>
                </c:pt>
                <c:pt idx="6">
                  <c:v>0.50774026590962573</c:v>
                </c:pt>
                <c:pt idx="7">
                  <c:v>0.53087335695806659</c:v>
                </c:pt>
                <c:pt idx="8">
                  <c:v>0.54554168852462226</c:v>
                </c:pt>
                <c:pt idx="9">
                  <c:v>0.55232725998867305</c:v>
                </c:pt>
                <c:pt idx="10">
                  <c:v>0.5520346837390272</c:v>
                </c:pt>
                <c:pt idx="11">
                  <c:v>0.5455921101145208</c:v>
                </c:pt>
                <c:pt idx="12">
                  <c:v>0.53397313281358616</c:v>
                </c:pt>
                <c:pt idx="13">
                  <c:v>0.51813885189910813</c:v>
                </c:pt>
                <c:pt idx="14">
                  <c:v>0.49899766616306857</c:v>
                </c:pt>
                <c:pt idx="15">
                  <c:v>0.47737971160509779</c:v>
                </c:pt>
                <c:pt idx="16">
                  <c:v>0.45402279742050045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DD8-4499-B5B8-1FED0269D6A1}"/>
            </c:ext>
          </c:extLst>
        </c:ser>
        <c:ser>
          <c:idx val="11"/>
          <c:order val="11"/>
          <c:tx>
            <c:v>3</c:v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val>
            <c:numRef>
              <c:f>first_part_vega!$AL$5:$AL$21</c:f>
              <c:numCache>
                <c:formatCode>General</c:formatCode>
                <c:ptCount val="17"/>
                <c:pt idx="0">
                  <c:v>0.33222896128746121</c:v>
                </c:pt>
                <c:pt idx="1">
                  <c:v>0.39406825288577535</c:v>
                </c:pt>
                <c:pt idx="2">
                  <c:v>0.45187800131882511</c:v>
                </c:pt>
                <c:pt idx="3">
                  <c:v>0.50399623483227596</c:v>
                </c:pt>
                <c:pt idx="4">
                  <c:v>0.54934070118221501</c:v>
                </c:pt>
                <c:pt idx="5">
                  <c:v>0.58733335877732828</c:v>
                </c:pt>
                <c:pt idx="6">
                  <c:v>0.61780667302057179</c:v>
                </c:pt>
                <c:pt idx="7">
                  <c:v>0.6409084385653474</c:v>
                </c:pt>
                <c:pt idx="8">
                  <c:v>0.65701458882085051</c:v>
                </c:pt>
                <c:pt idx="9">
                  <c:v>0.66665447263519584</c:v>
                </c:pt>
                <c:pt idx="10">
                  <c:v>0.6704499236841015</c:v>
                </c:pt>
                <c:pt idx="11">
                  <c:v>0.66906761646336732</c:v>
                </c:pt>
                <c:pt idx="12">
                  <c:v>0.66318326233497227</c:v>
                </c:pt>
                <c:pt idx="13">
                  <c:v>0.65345582257987467</c:v>
                </c:pt>
                <c:pt idx="14">
                  <c:v>0.64050987256156355</c:v>
                </c:pt>
                <c:pt idx="15">
                  <c:v>0.62492438861032051</c:v>
                </c:pt>
                <c:pt idx="16">
                  <c:v>0.6072264500392125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DD8-4499-B5B8-1FED0269D6A1}"/>
            </c:ext>
          </c:extLst>
        </c:ser>
        <c:ser>
          <c:idx val="12"/>
          <c:order val="12"/>
          <c:tx>
            <c:v>4</c:v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val>
            <c:numRef>
              <c:f>first_part_vega!$AM$5:$AM$21</c:f>
              <c:numCache>
                <c:formatCode>General</c:formatCode>
                <c:ptCount val="17"/>
                <c:pt idx="0">
                  <c:v>0.42567098596972325</c:v>
                </c:pt>
                <c:pt idx="1">
                  <c:v>0.4875893022971528</c:v>
                </c:pt>
                <c:pt idx="2">
                  <c:v>0.54421505040302276</c:v>
                </c:pt>
                <c:pt idx="3">
                  <c:v>0.59461821507388335</c:v>
                </c:pt>
                <c:pt idx="4">
                  <c:v>0.63829888800540957</c:v>
                </c:pt>
                <c:pt idx="5">
                  <c:v>0.67509674458565583</c:v>
                </c:pt>
                <c:pt idx="6">
                  <c:v>0.70510754644860263</c:v>
                </c:pt>
                <c:pt idx="7">
                  <c:v>0.72861111689327818</c:v>
                </c:pt>
                <c:pt idx="8">
                  <c:v>0.74601201361465708</c:v>
                </c:pt>
                <c:pt idx="9">
                  <c:v>0.75779237344430039</c:v>
                </c:pt>
                <c:pt idx="10">
                  <c:v>0.76447556683034001</c:v>
                </c:pt>
                <c:pt idx="11">
                  <c:v>0.76659899934282549</c:v>
                </c:pt>
                <c:pt idx="12">
                  <c:v>0.76469439302491615</c:v>
                </c:pt>
                <c:pt idx="13">
                  <c:v>0.75927402432728763</c:v>
                </c:pt>
                <c:pt idx="14">
                  <c:v>0.7508216007760149</c:v>
                </c:pt>
                <c:pt idx="15">
                  <c:v>0.73978667680739474</c:v>
                </c:pt>
                <c:pt idx="16">
                  <c:v>0.72658171509209246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DD8-4499-B5B8-1FED0269D6A1}"/>
            </c:ext>
          </c:extLst>
        </c:ser>
        <c:ser>
          <c:idx val="13"/>
          <c:order val="13"/>
          <c:tx>
            <c:v>5</c:v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val>
            <c:numRef>
              <c:f>first_part_vega!$AN$5:$AN$21</c:f>
              <c:numCache>
                <c:formatCode>General</c:formatCode>
                <c:ptCount val="17"/>
                <c:pt idx="0">
                  <c:v>0.50316444779050262</c:v>
                </c:pt>
                <c:pt idx="1">
                  <c:v>0.56441397997533316</c:v>
                </c:pt>
                <c:pt idx="2">
                  <c:v>0.61983217876086938</c:v>
                </c:pt>
                <c:pt idx="3">
                  <c:v>0.66892699193410787</c:v>
                </c:pt>
                <c:pt idx="4">
                  <c:v>0.71152052988955772</c:v>
                </c:pt>
                <c:pt idx="5">
                  <c:v>0.74766798153008274</c:v>
                </c:pt>
                <c:pt idx="6">
                  <c:v>0.77759056969031726</c:v>
                </c:pt>
                <c:pt idx="7">
                  <c:v>0.80162201705931713</c:v>
                </c:pt>
                <c:pt idx="8">
                  <c:v>0.8201669558401079</c:v>
                </c:pt>
                <c:pt idx="9">
                  <c:v>0.83366938178088823</c:v>
                </c:pt>
                <c:pt idx="10">
                  <c:v>0.84258928010075784</c:v>
                </c:pt>
                <c:pt idx="11">
                  <c:v>0.84738574187741256</c:v>
                </c:pt>
                <c:pt idx="12">
                  <c:v>0.84850513852620746</c:v>
                </c:pt>
                <c:pt idx="13">
                  <c:v>0.84637317449963978</c:v>
                </c:pt>
                <c:pt idx="14">
                  <c:v>0.84138986871529853</c:v>
                </c:pt>
                <c:pt idx="15">
                  <c:v>0.83392671372802984</c:v>
                </c:pt>
                <c:pt idx="16">
                  <c:v>0.82432542675759601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DD8-4499-B5B8-1FED0269D6A1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3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5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8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9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1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4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</c:bandFmts>
        <c:axId val="2031627664"/>
        <c:axId val="2031627248"/>
        <c:axId val="2031054256"/>
      </c:surface3DChart>
      <c:catAx>
        <c:axId val="20316276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Stock price</a:t>
                </a:r>
              </a:p>
            </c:rich>
          </c:tx>
          <c:layout>
            <c:manualLayout>
              <c:xMode val="edge"/>
              <c:yMode val="edge"/>
              <c:x val="0.22656422474059906"/>
              <c:y val="0.6891409718644983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1627248"/>
        <c:crosses val="autoZero"/>
        <c:auto val="1"/>
        <c:lblAlgn val="ctr"/>
        <c:lblOffset val="100"/>
        <c:noMultiLvlLbl val="0"/>
      </c:catAx>
      <c:valAx>
        <c:axId val="2031627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Vega</a:t>
                </a:r>
              </a:p>
            </c:rich>
          </c:tx>
          <c:layout>
            <c:manualLayout>
              <c:xMode val="edge"/>
              <c:yMode val="edge"/>
              <c:x val="8.1736913434886066E-2"/>
              <c:y val="0.3525226285966590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1627664"/>
        <c:crosses val="autoZero"/>
        <c:crossBetween val="midCat"/>
      </c:valAx>
      <c:serAx>
        <c:axId val="2031054256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Maturity</a:t>
                </a:r>
              </a:p>
            </c:rich>
          </c:tx>
          <c:layout>
            <c:manualLayout>
              <c:xMode val="edge"/>
              <c:yMode val="edge"/>
              <c:x val="0.81728006107881379"/>
              <c:y val="0.59998233865626605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1627248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Vega (Volatility = 0.1)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0"/>
      <c:rotY val="30"/>
      <c:rAngAx val="0"/>
      <c:perspective val="7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v>0.1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first_part_vega!$AP$5:$AP$21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first_part_vega!$AR$5:$AR$21</c:f>
              <c:numCache>
                <c:formatCode>General</c:formatCode>
                <c:ptCount val="17"/>
                <c:pt idx="0">
                  <c:v>3.5345400505311531E-58</c:v>
                </c:pt>
                <c:pt idx="1">
                  <c:v>7.8904162138229814E-42</c:v>
                </c:pt>
                <c:pt idx="2">
                  <c:v>3.5731275340967404E-29</c:v>
                </c:pt>
                <c:pt idx="3">
                  <c:v>1.5544383929947457E-19</c:v>
                </c:pt>
                <c:pt idx="4">
                  <c:v>2.1699726533395634E-12</c:v>
                </c:pt>
                <c:pt idx="5">
                  <c:v>2.513805683571334E-7</c:v>
                </c:pt>
                <c:pt idx="6">
                  <c:v>5.1615938644774477E-4</c:v>
                </c:pt>
                <c:pt idx="7">
                  <c:v>3.4693238841801248E-2</c:v>
                </c:pt>
                <c:pt idx="8">
                  <c:v>0.12601477970020519</c:v>
                </c:pt>
                <c:pt idx="9">
                  <c:v>3.7403491562746805E-2</c:v>
                </c:pt>
                <c:pt idx="10">
                  <c:v>1.2798321316875715E-3</c:v>
                </c:pt>
                <c:pt idx="11">
                  <c:v>6.7367205338682622E-6</c:v>
                </c:pt>
                <c:pt idx="12">
                  <c:v>6.9599615016725039E-9</c:v>
                </c:pt>
                <c:pt idx="13">
                  <c:v>1.735978122671637E-12</c:v>
                </c:pt>
                <c:pt idx="14">
                  <c:v>1.247722190230733E-16</c:v>
                </c:pt>
                <c:pt idx="15">
                  <c:v>3.0086617304103606E-21</c:v>
                </c:pt>
                <c:pt idx="16">
                  <c:v>2.7755174863825503E-26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A1-407A-BFD3-6CDA66A32052}"/>
            </c:ext>
          </c:extLst>
        </c:ser>
        <c:ser>
          <c:idx val="1"/>
          <c:order val="1"/>
          <c:tx>
            <c:v>0.2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first_part_vega!$AP$5:$AP$21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first_part_vega!$AS$5:$AS$21</c:f>
              <c:numCache>
                <c:formatCode>General</c:formatCode>
                <c:ptCount val="17"/>
                <c:pt idx="0">
                  <c:v>1.0711882489098268E-29</c:v>
                </c:pt>
                <c:pt idx="1">
                  <c:v>1.5687681949729765E-21</c:v>
                </c:pt>
                <c:pt idx="2">
                  <c:v>3.2770789744139775E-15</c:v>
                </c:pt>
                <c:pt idx="3">
                  <c:v>2.1245091218449448E-10</c:v>
                </c:pt>
                <c:pt idx="4">
                  <c:v>7.8107330033859321E-7</c:v>
                </c:pt>
                <c:pt idx="5">
                  <c:v>2.6184740803568228E-4</c:v>
                </c:pt>
                <c:pt idx="6">
                  <c:v>1.1696837223341142E-2</c:v>
                </c:pt>
                <c:pt idx="7">
                  <c:v>9.4608178373498497E-2</c:v>
                </c:pt>
                <c:pt idx="8">
                  <c:v>0.1780114349570453</c:v>
                </c:pt>
                <c:pt idx="9">
                  <c:v>9.5806705523719615E-2</c:v>
                </c:pt>
                <c:pt idx="10">
                  <c:v>1.751723241894686E-2</c:v>
                </c:pt>
                <c:pt idx="11">
                  <c:v>1.2568601723670415E-3</c:v>
                </c:pt>
                <c:pt idx="12">
                  <c:v>3.9971023224294193E-5</c:v>
                </c:pt>
                <c:pt idx="13">
                  <c:v>6.2485864027086964E-7</c:v>
                </c:pt>
                <c:pt idx="14">
                  <c:v>5.2457823818334011E-9</c:v>
                </c:pt>
                <c:pt idx="15">
                  <c:v>2.5517633623765736E-11</c:v>
                </c:pt>
                <c:pt idx="16">
                  <c:v>7.6802814218934899E-14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A1-407A-BFD3-6CDA66A32052}"/>
            </c:ext>
          </c:extLst>
        </c:ser>
        <c:ser>
          <c:idx val="2"/>
          <c:order val="2"/>
          <c:tx>
            <c:v>0.3</c:v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first_part_vega!$AP$5:$AP$21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first_part_vega!$AT$5:$AT$21</c:f>
              <c:numCache>
                <c:formatCode>General</c:formatCode>
                <c:ptCount val="17"/>
                <c:pt idx="0">
                  <c:v>3.6413157535063633E-20</c:v>
                </c:pt>
                <c:pt idx="1">
                  <c:v>9.9829747601651493E-15</c:v>
                </c:pt>
                <c:pt idx="2">
                  <c:v>1.6113180804909157E-10</c:v>
                </c:pt>
                <c:pt idx="3">
                  <c:v>2.5706041526295764E-7</c:v>
                </c:pt>
                <c:pt idx="4">
                  <c:v>6.0578597213752167E-5</c:v>
                </c:pt>
                <c:pt idx="5">
                  <c:v>2.8940234587731301E-3</c:v>
                </c:pt>
                <c:pt idx="6">
                  <c:v>3.6089280836016528E-2</c:v>
                </c:pt>
                <c:pt idx="7">
                  <c:v>0.14411356711779724</c:v>
                </c:pt>
                <c:pt idx="8">
                  <c:v>0.21777345900985232</c:v>
                </c:pt>
                <c:pt idx="9">
                  <c:v>0.1429240792467272</c:v>
                </c:pt>
                <c:pt idx="10">
                  <c:v>4.5686150128548215E-2</c:v>
                </c:pt>
                <c:pt idx="11">
                  <c:v>7.8303531906443406E-3</c:v>
                </c:pt>
                <c:pt idx="12">
                  <c:v>7.8044023598122878E-4</c:v>
                </c:pt>
                <c:pt idx="13">
                  <c:v>4.8462877771001518E-5</c:v>
                </c:pt>
                <c:pt idx="14">
                  <c:v>1.9887917206308642E-6</c:v>
                </c:pt>
                <c:pt idx="15">
                  <c:v>5.6738474150032419E-8</c:v>
                </c:pt>
                <c:pt idx="16">
                  <c:v>1.1756275778131189E-9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A1-407A-BFD3-6CDA66A32052}"/>
            </c:ext>
          </c:extLst>
        </c:ser>
        <c:ser>
          <c:idx val="3"/>
          <c:order val="3"/>
          <c:tx>
            <c:v>0.4</c:v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first_part_vega!$AP$5:$AP$21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first_part_vega!$AU$5:$AU$21</c:f>
              <c:numCache>
                <c:formatCode>General</c:formatCode>
                <c:ptCount val="17"/>
                <c:pt idx="0">
                  <c:v>2.2138942538625791E-15</c:v>
                </c:pt>
                <c:pt idx="1">
                  <c:v>2.6261095230764715E-11</c:v>
                </c:pt>
                <c:pt idx="2">
                  <c:v>3.7258960102381551E-8</c:v>
                </c:pt>
                <c:pt idx="3">
                  <c:v>9.3245046528342434E-6</c:v>
                </c:pt>
                <c:pt idx="4">
                  <c:v>5.5633346565513934E-4</c:v>
                </c:pt>
                <c:pt idx="5">
                  <c:v>1.0033008819090706E-2</c:v>
                </c:pt>
                <c:pt idx="6">
                  <c:v>6.6105163163659941E-2</c:v>
                </c:pt>
                <c:pt idx="7">
                  <c:v>0.18547920454659683</c:v>
                </c:pt>
                <c:pt idx="8">
                  <c:v>0.25118039341108511</c:v>
                </c:pt>
                <c:pt idx="9">
                  <c:v>0.182038150418775</c:v>
                </c:pt>
                <c:pt idx="10">
                  <c:v>7.6938968689493709E-2</c:v>
                </c:pt>
                <c:pt idx="11">
                  <c:v>2.0381249613524031E-2</c:v>
                </c:pt>
                <c:pt idx="12">
                  <c:v>3.5961608377988127E-3</c:v>
                </c:pt>
                <c:pt idx="13">
                  <c:v>4.4506677252410988E-4</c:v>
                </c:pt>
                <c:pt idx="14">
                  <c:v>4.038137314557552E-5</c:v>
                </c:pt>
                <c:pt idx="15">
                  <c:v>2.7899636340967845E-6</c:v>
                </c:pt>
                <c:pt idx="16">
                  <c:v>1.5167651578010655E-7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A1-407A-BFD3-6CDA66A32052}"/>
            </c:ext>
          </c:extLst>
        </c:ser>
        <c:ser>
          <c:idx val="4"/>
          <c:order val="4"/>
          <c:tx>
            <c:v>0.5</c:v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first_part_vega!$AP$5:$AP$21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first_part_vega!$AV$5:$AV$21</c:f>
              <c:numCache>
                <c:formatCode>General</c:formatCode>
                <c:ptCount val="17"/>
                <c:pt idx="0">
                  <c:v>1.6837357993007909E-12</c:v>
                </c:pt>
                <c:pt idx="1">
                  <c:v>3.0347470957467911E-9</c:v>
                </c:pt>
                <c:pt idx="2">
                  <c:v>1.0010098526373569E-6</c:v>
                </c:pt>
                <c:pt idx="3">
                  <c:v>8.2443811591708765E-5</c:v>
                </c:pt>
                <c:pt idx="4">
                  <c:v>2.157360495959318E-3</c:v>
                </c:pt>
                <c:pt idx="5">
                  <c:v>2.1685359940348946E-2</c:v>
                </c:pt>
                <c:pt idx="6">
                  <c:v>9.7437835238203124E-2</c:v>
                </c:pt>
                <c:pt idx="7">
                  <c:v>0.22122153003014303</c:v>
                </c:pt>
                <c:pt idx="8">
                  <c:v>0.28051246304186261</c:v>
                </c:pt>
                <c:pt idx="9">
                  <c:v>0.21576180864022365</c:v>
                </c:pt>
                <c:pt idx="10">
                  <c:v>0.10783044375026946</c:v>
                </c:pt>
                <c:pt idx="11">
                  <c:v>3.709184487135108E-2</c:v>
                </c:pt>
                <c:pt idx="12">
                  <c:v>9.2196988092317338E-3</c:v>
                </c:pt>
                <c:pt idx="13">
                  <c:v>1.7258883967674482E-3</c:v>
                </c:pt>
                <c:pt idx="14">
                  <c:v>2.5206590353609039E-4</c:v>
                </c:pt>
                <c:pt idx="15">
                  <c:v>2.9607997104108362E-5</c:v>
                </c:pt>
                <c:pt idx="16">
                  <c:v>2.8713454403848715E-6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A1-407A-BFD3-6CDA66A32052}"/>
            </c:ext>
          </c:extLst>
        </c:ser>
        <c:ser>
          <c:idx val="5"/>
          <c:order val="5"/>
          <c:tx>
            <c:v>0.6</c:v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first_part_vega!$AP$5:$AP$21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first_part_vega!$AW$5:$AW$21</c:f>
              <c:numCache>
                <c:formatCode>General</c:formatCode>
                <c:ptCount val="17"/>
                <c:pt idx="0">
                  <c:v>1.4260773627185629E-10</c:v>
                </c:pt>
                <c:pt idx="1">
                  <c:v>7.3190274501949445E-8</c:v>
                </c:pt>
                <c:pt idx="2">
                  <c:v>9.1278366359240927E-6</c:v>
                </c:pt>
                <c:pt idx="3">
                  <c:v>3.5834719979831788E-4</c:v>
                </c:pt>
                <c:pt idx="4">
                  <c:v>5.4130101077600381E-3</c:v>
                </c:pt>
                <c:pt idx="5">
                  <c:v>3.6850893362287709E-2</c:v>
                </c:pt>
                <c:pt idx="6">
                  <c:v>0.12828628098948194</c:v>
                </c:pt>
                <c:pt idx="7">
                  <c:v>0.25291422770740374</c:v>
                </c:pt>
                <c:pt idx="8">
                  <c:v>0.30694050496199521</c:v>
                </c:pt>
                <c:pt idx="9">
                  <c:v>0.2456445343208962</c:v>
                </c:pt>
                <c:pt idx="10">
                  <c:v>0.13727638643411783</c:v>
                </c:pt>
                <c:pt idx="11">
                  <c:v>5.6204093069575231E-2</c:v>
                </c:pt>
                <c:pt idx="12">
                  <c:v>1.7556027112756587E-2</c:v>
                </c:pt>
                <c:pt idx="13">
                  <c:v>4.3304080862080164E-3</c:v>
                </c:pt>
                <c:pt idx="14">
                  <c:v>8.6868143918896585E-4</c:v>
                </c:pt>
                <c:pt idx="15">
                  <c:v>1.4534734818581388E-4</c:v>
                </c:pt>
                <c:pt idx="16">
                  <c:v>2.0732639788992961E-5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CA1-407A-BFD3-6CDA66A32052}"/>
            </c:ext>
          </c:extLst>
        </c:ser>
        <c:ser>
          <c:idx val="6"/>
          <c:order val="6"/>
          <c:tx>
            <c:v>0.7</c:v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first_part_vega!$AP$5:$AP$21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first_part_vega!$AX$5:$AX$21</c:f>
              <c:numCache>
                <c:formatCode>General</c:formatCode>
                <c:ptCount val="17"/>
                <c:pt idx="0">
                  <c:v>3.4375360039163326E-9</c:v>
                </c:pt>
                <c:pt idx="1">
                  <c:v>7.1926239310787059E-7</c:v>
                </c:pt>
                <c:pt idx="2">
                  <c:v>4.478025638717822E-5</c:v>
                </c:pt>
                <c:pt idx="3">
                  <c:v>1.0355649356059843E-3</c:v>
                </c:pt>
                <c:pt idx="4">
                  <c:v>1.0564824233400874E-2</c:v>
                </c:pt>
                <c:pt idx="5">
                  <c:v>5.4448949916165584E-2</c:v>
                </c:pt>
                <c:pt idx="6">
                  <c:v>0.15796405593882865</c:v>
                </c:pt>
                <c:pt idx="7">
                  <c:v>0.28155342127741206</c:v>
                </c:pt>
                <c:pt idx="8">
                  <c:v>0.3311608714611029</c:v>
                </c:pt>
                <c:pt idx="9">
                  <c:v>0.27264617640732552</c:v>
                </c:pt>
                <c:pt idx="10">
                  <c:v>0.16502382731650939</c:v>
                </c:pt>
                <c:pt idx="11">
                  <c:v>7.6514510849957487E-2</c:v>
                </c:pt>
                <c:pt idx="12">
                  <c:v>2.8136724172845171E-2</c:v>
                </c:pt>
                <c:pt idx="13">
                  <c:v>8.4518593867206771E-3</c:v>
                </c:pt>
                <c:pt idx="14">
                  <c:v>2.1268370180966031E-3</c:v>
                </c:pt>
                <c:pt idx="15">
                  <c:v>4.5817559828766953E-4</c:v>
                </c:pt>
                <c:pt idx="16">
                  <c:v>8.6094036586961643E-5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CA1-407A-BFD3-6CDA66A32052}"/>
            </c:ext>
          </c:extLst>
        </c:ser>
        <c:ser>
          <c:idx val="7"/>
          <c:order val="7"/>
          <c:tx>
            <c:v>0.8</c:v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first_part_vega!$AP$5:$AP$21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first_part_vega!$AY$5:$AY$21</c:f>
              <c:numCache>
                <c:formatCode>General</c:formatCode>
                <c:ptCount val="17"/>
                <c:pt idx="0">
                  <c:v>3.7721952577593385E-8</c:v>
                </c:pt>
                <c:pt idx="1">
                  <c:v>4.026999901175424E-6</c:v>
                </c:pt>
                <c:pt idx="2">
                  <c:v>1.4889989640669957E-4</c:v>
                </c:pt>
                <c:pt idx="3">
                  <c:v>2.3152671506101981E-3</c:v>
                </c:pt>
                <c:pt idx="4">
                  <c:v>1.759740529856035E-2</c:v>
                </c:pt>
                <c:pt idx="5">
                  <c:v>7.3606201526075665E-2</c:v>
                </c:pt>
                <c:pt idx="6">
                  <c:v>0.18625614252560363</c:v>
                </c:pt>
                <c:pt idx="7">
                  <c:v>0.30780115974298611</c:v>
                </c:pt>
                <c:pt idx="8">
                  <c:v>0.35362780796997573</c:v>
                </c:pt>
                <c:pt idx="9">
                  <c:v>0.29739757516778265</c:v>
                </c:pt>
                <c:pt idx="10">
                  <c:v>0.19110786021475312</c:v>
                </c:pt>
                <c:pt idx="11">
                  <c:v>9.727348704819927E-2</c:v>
                </c:pt>
                <c:pt idx="12">
                  <c:v>4.042758351391075E-2</c:v>
                </c:pt>
                <c:pt idx="13">
                  <c:v>1.4077924238848249E-2</c:v>
                </c:pt>
                <c:pt idx="14">
                  <c:v>4.1991195969349748E-3</c:v>
                </c:pt>
                <c:pt idx="15">
                  <c:v>1.0933755800638383E-3</c:v>
                </c:pt>
                <c:pt idx="16">
                  <c:v>2.5262754622349385E-4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CA1-407A-BFD3-6CDA66A32052}"/>
            </c:ext>
          </c:extLst>
        </c:ser>
        <c:ser>
          <c:idx val="8"/>
          <c:order val="8"/>
          <c:tx>
            <c:v>0.9</c:v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first_part_vega!$AP$5:$AP$21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first_part_vega!$AZ$5:$AZ$21</c:f>
              <c:numCache>
                <c:formatCode>General</c:formatCode>
                <c:ptCount val="17"/>
                <c:pt idx="0">
                  <c:v>2.4471925152833756E-7</c:v>
                </c:pt>
                <c:pt idx="1">
                  <c:v>1.5479180979646812E-5</c:v>
                </c:pt>
                <c:pt idx="2">
                  <c:v>3.8164553510493981E-4</c:v>
                </c:pt>
                <c:pt idx="3">
                  <c:v>4.3580320477808058E-3</c:v>
                </c:pt>
                <c:pt idx="4">
                  <c:v>2.6345645732472476E-2</c:v>
                </c:pt>
                <c:pt idx="5">
                  <c:v>9.368286121950696E-2</c:v>
                </c:pt>
                <c:pt idx="6">
                  <c:v>0.21314624132838875</c:v>
                </c:pt>
                <c:pt idx="7">
                  <c:v>0.33211834114491318</c:v>
                </c:pt>
                <c:pt idx="8">
                  <c:v>0.37465720501521849</c:v>
                </c:pt>
                <c:pt idx="9">
                  <c:v>0.32033505994229872</c:v>
                </c:pt>
                <c:pt idx="10">
                  <c:v>0.21565675444124369</c:v>
                </c:pt>
                <c:pt idx="11">
                  <c:v>0.11803032678147582</c:v>
                </c:pt>
                <c:pt idx="12">
                  <c:v>5.3953369730765095E-2</c:v>
                </c:pt>
                <c:pt idx="13">
                  <c:v>2.107651658597795E-2</c:v>
                </c:pt>
                <c:pt idx="14">
                  <c:v>7.1754270940931394E-3</c:v>
                </c:pt>
                <c:pt idx="15">
                  <c:v>2.1651121661498732E-3</c:v>
                </c:pt>
                <c:pt idx="16">
                  <c:v>5.8750695962988023E-4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CA1-407A-BFD3-6CDA66A32052}"/>
            </c:ext>
          </c:extLst>
        </c:ser>
        <c:ser>
          <c:idx val="9"/>
          <c:order val="9"/>
          <c:tx>
            <c:v>1</c:v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first_part_vega!$AP$5:$AP$21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first_part_vega!$BA$5:$BA$21</c:f>
              <c:numCache>
                <c:formatCode>General</c:formatCode>
                <c:ptCount val="17"/>
                <c:pt idx="0">
                  <c:v>1.0981137573304838E-6</c:v>
                </c:pt>
                <c:pt idx="1">
                  <c:v>4.569630507815192E-5</c:v>
                </c:pt>
                <c:pt idx="2">
                  <c:v>8.1469084911896749E-4</c:v>
                </c:pt>
                <c:pt idx="3">
                  <c:v>7.267112565693663E-3</c:v>
                </c:pt>
                <c:pt idx="4">
                  <c:v>3.6579438640896043E-2</c:v>
                </c:pt>
                <c:pt idx="5">
                  <c:v>0.11422910084499065</c:v>
                </c:pt>
                <c:pt idx="6">
                  <c:v>0.23869941692283714</c:v>
                </c:pt>
                <c:pt idx="7">
                  <c:v>0.35483868952949421</c:v>
                </c:pt>
                <c:pt idx="8">
                  <c:v>0.39447933090788895</c:v>
                </c:pt>
                <c:pt idx="9">
                  <c:v>0.34177330202865708</c:v>
                </c:pt>
                <c:pt idx="10">
                  <c:v>0.23882000168449918</c:v>
                </c:pt>
                <c:pt idx="11">
                  <c:v>0.13852014243074298</c:v>
                </c:pt>
                <c:pt idx="12">
                  <c:v>6.8329969593104806E-2</c:v>
                </c:pt>
                <c:pt idx="13">
                  <c:v>2.9263550912716783E-2</c:v>
                </c:pt>
                <c:pt idx="14">
                  <c:v>1.1074379087941755E-2</c:v>
                </c:pt>
                <c:pt idx="15">
                  <c:v>3.7598389688949115E-3</c:v>
                </c:pt>
                <c:pt idx="16">
                  <c:v>1.1602695242521601E-3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CA1-407A-BFD3-6CDA66A32052}"/>
            </c:ext>
          </c:extLst>
        </c:ser>
        <c:ser>
          <c:idx val="10"/>
          <c:order val="10"/>
          <c:tx>
            <c:v>2</c:v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first_part_vega!$AP$5:$AP$21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first_part_vega!$BB$5:$BB$21</c:f>
              <c:numCache>
                <c:formatCode>General</c:formatCode>
                <c:ptCount val="17"/>
                <c:pt idx="0">
                  <c:v>1.0457482945948283E-3</c:v>
                </c:pt>
                <c:pt idx="1">
                  <c:v>6.612314700451225E-3</c:v>
                </c:pt>
                <c:pt idx="2">
                  <c:v>2.740710858581228E-2</c:v>
                </c:pt>
                <c:pt idx="3">
                  <c:v>8.0455722498671708E-2</c:v>
                </c:pt>
                <c:pt idx="4">
                  <c:v>0.1776181461109162</c:v>
                </c:pt>
                <c:pt idx="5">
                  <c:v>0.30915406339357621</c:v>
                </c:pt>
                <c:pt idx="6">
                  <c:v>0.44056131835135998</c:v>
                </c:pt>
                <c:pt idx="7">
                  <c:v>0.52993901401176291</c:v>
                </c:pt>
                <c:pt idx="8">
                  <c:v>0.55163706332541196</c:v>
                </c:pt>
                <c:pt idx="9">
                  <c:v>0.5072394859703554</c:v>
                </c:pt>
                <c:pt idx="10">
                  <c:v>0.41911044907526829</c:v>
                </c:pt>
                <c:pt idx="11">
                  <c:v>0.31566273567519076</c:v>
                </c:pt>
                <c:pt idx="12">
                  <c:v>0.21935705841356859</c:v>
                </c:pt>
                <c:pt idx="13">
                  <c:v>0.14209451688873281</c:v>
                </c:pt>
                <c:pt idx="14">
                  <c:v>8.6559585117731042E-2</c:v>
                </c:pt>
                <c:pt idx="15">
                  <c:v>4.9962307922047984E-2</c:v>
                </c:pt>
                <c:pt idx="16">
                  <c:v>2.7503549451983314E-2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CA1-407A-BFD3-6CDA66A32052}"/>
            </c:ext>
          </c:extLst>
        </c:ser>
        <c:ser>
          <c:idx val="11"/>
          <c:order val="11"/>
          <c:tx>
            <c:v>3</c:v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first_part_vega!$AP$5:$AP$21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first_part_vega!$BC$5:$BC$21</c:f>
              <c:numCache>
                <c:formatCode>General</c:formatCode>
                <c:ptCount val="17"/>
                <c:pt idx="0">
                  <c:v>1.1142189253647152E-2</c:v>
                </c:pt>
                <c:pt idx="1">
                  <c:v>3.7594797189649538E-2</c:v>
                </c:pt>
                <c:pt idx="2">
                  <c:v>9.581572046112885E-2</c:v>
                </c:pt>
                <c:pt idx="3">
                  <c:v>0.19419529853530501</c:v>
                </c:pt>
                <c:pt idx="4">
                  <c:v>0.32572732040617636</c:v>
                </c:pt>
                <c:pt idx="5">
                  <c:v>0.46657820462206062</c:v>
                </c:pt>
                <c:pt idx="6">
                  <c:v>0.58525004130384151</c:v>
                </c:pt>
                <c:pt idx="7">
                  <c:v>0.65600571654605966</c:v>
                </c:pt>
                <c:pt idx="8">
                  <c:v>0.66805659306916709</c:v>
                </c:pt>
                <c:pt idx="9">
                  <c:v>0.62659671715556564</c:v>
                </c:pt>
                <c:pt idx="10">
                  <c:v>0.54747527123167761</c:v>
                </c:pt>
                <c:pt idx="11">
                  <c:v>0.4498594691960292</c:v>
                </c:pt>
                <c:pt idx="12">
                  <c:v>0.35044120413266605</c:v>
                </c:pt>
                <c:pt idx="13">
                  <c:v>0.26058185632494107</c:v>
                </c:pt>
                <c:pt idx="14">
                  <c:v>0.18603608061799032</c:v>
                </c:pt>
                <c:pt idx="15">
                  <c:v>0.12815935968047906</c:v>
                </c:pt>
                <c:pt idx="16">
                  <c:v>8.5562234911034277E-2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CA1-407A-BFD3-6CDA66A32052}"/>
            </c:ext>
          </c:extLst>
        </c:ser>
        <c:ser>
          <c:idx val="12"/>
          <c:order val="12"/>
          <c:tx>
            <c:v>4</c:v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first_part_vega!$AP$5:$AP$21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first_part_vega!$BD$5:$BD$21</c:f>
              <c:numCache>
                <c:formatCode>General</c:formatCode>
                <c:ptCount val="17"/>
                <c:pt idx="0">
                  <c:v>3.7735130894815956E-2</c:v>
                </c:pt>
                <c:pt idx="1">
                  <c:v>9.3007615269544958E-2</c:v>
                </c:pt>
                <c:pt idx="2">
                  <c:v>0.18587765767931</c:v>
                </c:pt>
                <c:pt idx="3">
                  <c:v>0.31302804195460354</c:v>
                </c:pt>
                <c:pt idx="4">
                  <c:v>0.45765821306048554</c:v>
                </c:pt>
                <c:pt idx="5">
                  <c:v>0.5947067105196463</c:v>
                </c:pt>
                <c:pt idx="6">
                  <c:v>0.69986237314498334</c:v>
                </c:pt>
                <c:pt idx="7">
                  <c:v>0.75727241342456986</c:v>
                </c:pt>
                <c:pt idx="8">
                  <c:v>0.76277563092104828</c:v>
                </c:pt>
                <c:pt idx="9">
                  <c:v>0.72256894624086909</c:v>
                </c:pt>
                <c:pt idx="10">
                  <c:v>0.64921143972907125</c:v>
                </c:pt>
                <c:pt idx="11">
                  <c:v>0.55719510030463637</c:v>
                </c:pt>
                <c:pt idx="12">
                  <c:v>0.45956885215668852</c:v>
                </c:pt>
                <c:pt idx="13">
                  <c:v>0.36612657044838837</c:v>
                </c:pt>
                <c:pt idx="14">
                  <c:v>0.28297093897443343</c:v>
                </c:pt>
                <c:pt idx="15">
                  <c:v>0.21296483325512211</c:v>
                </c:pt>
                <c:pt idx="16">
                  <c:v>0.15657861761389585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CA1-407A-BFD3-6CDA66A32052}"/>
            </c:ext>
          </c:extLst>
        </c:ser>
        <c:ser>
          <c:idx val="13"/>
          <c:order val="13"/>
          <c:tx>
            <c:v>5</c:v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first_part_vega!$AP$5:$AP$21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first_part_vega!$BE$5:$BE$21</c:f>
              <c:numCache>
                <c:formatCode>General</c:formatCode>
                <c:ptCount val="17"/>
                <c:pt idx="0">
                  <c:v>8.0099557916829336E-2</c:v>
                </c:pt>
                <c:pt idx="1">
                  <c:v>0.16352043251983775</c:v>
                </c:pt>
                <c:pt idx="2">
                  <c:v>0.28243629412307231</c:v>
                </c:pt>
                <c:pt idx="3">
                  <c:v>0.42560725743199956</c:v>
                </c:pt>
                <c:pt idx="4">
                  <c:v>0.57302367456033576</c:v>
                </c:pt>
                <c:pt idx="5">
                  <c:v>0.70234247577560904</c:v>
                </c:pt>
                <c:pt idx="6">
                  <c:v>0.79548944334653171</c:v>
                </c:pt>
                <c:pt idx="7">
                  <c:v>0.84270952755154982</c:v>
                </c:pt>
                <c:pt idx="8">
                  <c:v>0.84326874401380636</c:v>
                </c:pt>
                <c:pt idx="9">
                  <c:v>0.80358729178703991</c:v>
                </c:pt>
                <c:pt idx="10">
                  <c:v>0.73420648836426439</c:v>
                </c:pt>
                <c:pt idx="11">
                  <c:v>0.6468217313827832</c:v>
                </c:pt>
                <c:pt idx="12">
                  <c:v>0.55209129543356328</c:v>
                </c:pt>
                <c:pt idx="13">
                  <c:v>0.45841893964826841</c:v>
                </c:pt>
                <c:pt idx="14">
                  <c:v>0.37157602890379682</c:v>
                </c:pt>
                <c:pt idx="15">
                  <c:v>0.29489098382107914</c:v>
                </c:pt>
                <c:pt idx="16">
                  <c:v>0.22973211747964489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CA1-407A-BFD3-6CDA66A32052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3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5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8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9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1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4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</c:bandFmts>
        <c:axId val="195485871"/>
        <c:axId val="195495023"/>
        <c:axId val="675346079"/>
      </c:surface3DChart>
      <c:catAx>
        <c:axId val="19548587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stock</a:t>
                </a:r>
                <a:r>
                  <a:rPr lang="en-US" baseline="0"/>
                  <a:t> price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495023"/>
        <c:crosses val="autoZero"/>
        <c:auto val="1"/>
        <c:lblAlgn val="ctr"/>
        <c:lblOffset val="100"/>
        <c:noMultiLvlLbl val="0"/>
      </c:catAx>
      <c:valAx>
        <c:axId val="1954950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vega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485871"/>
        <c:crosses val="autoZero"/>
        <c:crossBetween val="midCat"/>
      </c:valAx>
      <c:serAx>
        <c:axId val="675346079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maturity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495023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January 19 2024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cat>
            <c:numRef>
              <c:f>Second_part!$L$106:$L$129</c:f>
              <c:numCache>
                <c:formatCode>General</c:formatCode>
                <c:ptCount val="24"/>
                <c:pt idx="0">
                  <c:v>55</c:v>
                </c:pt>
                <c:pt idx="1">
                  <c:v>60</c:v>
                </c:pt>
                <c:pt idx="2">
                  <c:v>75</c:v>
                </c:pt>
                <c:pt idx="3">
                  <c:v>85</c:v>
                </c:pt>
                <c:pt idx="4">
                  <c:v>95</c:v>
                </c:pt>
                <c:pt idx="5">
                  <c:v>100</c:v>
                </c:pt>
                <c:pt idx="6">
                  <c:v>105</c:v>
                </c:pt>
                <c:pt idx="7">
                  <c:v>110</c:v>
                </c:pt>
                <c:pt idx="8">
                  <c:v>115</c:v>
                </c:pt>
                <c:pt idx="9">
                  <c:v>120</c:v>
                </c:pt>
                <c:pt idx="10">
                  <c:v>125</c:v>
                </c:pt>
                <c:pt idx="11">
                  <c:v>130</c:v>
                </c:pt>
                <c:pt idx="12">
                  <c:v>135</c:v>
                </c:pt>
                <c:pt idx="13">
                  <c:v>140</c:v>
                </c:pt>
                <c:pt idx="14">
                  <c:v>145</c:v>
                </c:pt>
                <c:pt idx="15">
                  <c:v>150</c:v>
                </c:pt>
                <c:pt idx="16">
                  <c:v>155</c:v>
                </c:pt>
                <c:pt idx="17">
                  <c:v>160</c:v>
                </c:pt>
                <c:pt idx="18">
                  <c:v>165</c:v>
                </c:pt>
                <c:pt idx="19">
                  <c:v>170</c:v>
                </c:pt>
                <c:pt idx="20">
                  <c:v>180</c:v>
                </c:pt>
                <c:pt idx="21">
                  <c:v>185</c:v>
                </c:pt>
                <c:pt idx="22">
                  <c:v>190</c:v>
                </c:pt>
                <c:pt idx="23">
                  <c:v>195</c:v>
                </c:pt>
              </c:numCache>
            </c:numRef>
          </c:cat>
          <c:val>
            <c:numRef>
              <c:f>Second_part!$T$106:$T$129</c:f>
              <c:numCache>
                <c:formatCode>0.00%</c:formatCode>
                <c:ptCount val="24"/>
                <c:pt idx="0">
                  <c:v>0.58979999999999999</c:v>
                </c:pt>
                <c:pt idx="1">
                  <c:v>0.30080000000000001</c:v>
                </c:pt>
                <c:pt idx="2">
                  <c:v>0.21629999999999999</c:v>
                </c:pt>
                <c:pt idx="3">
                  <c:v>0.4829</c:v>
                </c:pt>
                <c:pt idx="4">
                  <c:v>0.46489999999999998</c:v>
                </c:pt>
                <c:pt idx="5">
                  <c:v>0.43859999999999999</c:v>
                </c:pt>
                <c:pt idx="6">
                  <c:v>0.42799999999999999</c:v>
                </c:pt>
                <c:pt idx="7">
                  <c:v>0.38469999999999999</c:v>
                </c:pt>
                <c:pt idx="8">
                  <c:v>0.37159999999999999</c:v>
                </c:pt>
                <c:pt idx="9">
                  <c:v>0.36609999999999998</c:v>
                </c:pt>
                <c:pt idx="10">
                  <c:v>0.38019999999999998</c:v>
                </c:pt>
                <c:pt idx="11">
                  <c:v>0.36520000000000002</c:v>
                </c:pt>
                <c:pt idx="12">
                  <c:v>0.36830000000000002</c:v>
                </c:pt>
                <c:pt idx="13">
                  <c:v>0.33689999999999998</c:v>
                </c:pt>
                <c:pt idx="14">
                  <c:v>0.26619999999999999</c:v>
                </c:pt>
                <c:pt idx="15">
                  <c:v>0.34970000000000001</c:v>
                </c:pt>
                <c:pt idx="16">
                  <c:v>0.2908</c:v>
                </c:pt>
                <c:pt idx="17">
                  <c:v>0.34289999999999998</c:v>
                </c:pt>
                <c:pt idx="18">
                  <c:v>0.34420000000000001</c:v>
                </c:pt>
                <c:pt idx="19">
                  <c:v>0.31219999999999998</c:v>
                </c:pt>
                <c:pt idx="20">
                  <c:v>0.26069999999999999</c:v>
                </c:pt>
                <c:pt idx="21">
                  <c:v>0.31890000000000002</c:v>
                </c:pt>
                <c:pt idx="22">
                  <c:v>0.26779999999999998</c:v>
                </c:pt>
                <c:pt idx="23">
                  <c:v>0.31319999999999998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BE-4A34-860E-A5D7BF1F56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50265296"/>
        <c:axId val="1150267376"/>
      </c:lineChart>
      <c:catAx>
        <c:axId val="115026529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Strikes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0267376"/>
        <c:crosses val="autoZero"/>
        <c:auto val="1"/>
        <c:lblAlgn val="ctr"/>
        <c:lblOffset val="100"/>
        <c:noMultiLvlLbl val="0"/>
      </c:catAx>
      <c:valAx>
        <c:axId val="1150267376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Implied Volatility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0265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January 20 2023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cat>
            <c:numRef>
              <c:f>Second_part!$L$72:$L$100</c:f>
              <c:numCache>
                <c:formatCode>General</c:formatCode>
                <c:ptCount val="29"/>
                <c:pt idx="0">
                  <c:v>40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  <c:pt idx="21">
                  <c:v>155</c:v>
                </c:pt>
                <c:pt idx="22">
                  <c:v>160</c:v>
                </c:pt>
                <c:pt idx="23">
                  <c:v>165</c:v>
                </c:pt>
                <c:pt idx="24">
                  <c:v>170</c:v>
                </c:pt>
                <c:pt idx="25">
                  <c:v>180</c:v>
                </c:pt>
                <c:pt idx="26">
                  <c:v>185</c:v>
                </c:pt>
                <c:pt idx="27">
                  <c:v>190</c:v>
                </c:pt>
                <c:pt idx="28">
                  <c:v>195</c:v>
                </c:pt>
              </c:numCache>
            </c:numRef>
          </c:cat>
          <c:val>
            <c:numRef>
              <c:f>Second_part!$T$72:$T$100</c:f>
              <c:numCache>
                <c:formatCode>0.00%</c:formatCode>
                <c:ptCount val="29"/>
                <c:pt idx="0">
                  <c:v>0.67869999999999997</c:v>
                </c:pt>
                <c:pt idx="1">
                  <c:v>0.62519999999999998</c:v>
                </c:pt>
                <c:pt idx="2">
                  <c:v>0.52659999999999996</c:v>
                </c:pt>
                <c:pt idx="3">
                  <c:v>1.0176000000000001</c:v>
                </c:pt>
                <c:pt idx="4">
                  <c:v>0.58609999999999995</c:v>
                </c:pt>
                <c:pt idx="5">
                  <c:v>0.53710000000000002</c:v>
                </c:pt>
                <c:pt idx="6">
                  <c:v>0.50860000000000005</c:v>
                </c:pt>
                <c:pt idx="7">
                  <c:v>0.49049999999999999</c:v>
                </c:pt>
                <c:pt idx="8">
                  <c:v>0.48099999999999998</c:v>
                </c:pt>
                <c:pt idx="9">
                  <c:v>0.48220000000000002</c:v>
                </c:pt>
                <c:pt idx="10">
                  <c:v>0.43840000000000001</c:v>
                </c:pt>
                <c:pt idx="11">
                  <c:v>0.39979999999999999</c:v>
                </c:pt>
                <c:pt idx="12">
                  <c:v>0.39589999999999997</c:v>
                </c:pt>
                <c:pt idx="13">
                  <c:v>0.37159999999999999</c:v>
                </c:pt>
                <c:pt idx="14">
                  <c:v>0.3574</c:v>
                </c:pt>
                <c:pt idx="15">
                  <c:v>0.34489999999999998</c:v>
                </c:pt>
                <c:pt idx="16">
                  <c:v>0.33829999999999999</c:v>
                </c:pt>
                <c:pt idx="17">
                  <c:v>0.33069999999999999</c:v>
                </c:pt>
                <c:pt idx="18">
                  <c:v>0.32950000000000002</c:v>
                </c:pt>
                <c:pt idx="19">
                  <c:v>0.31530000000000002</c:v>
                </c:pt>
                <c:pt idx="20">
                  <c:v>0.31069999999999998</c:v>
                </c:pt>
                <c:pt idx="21">
                  <c:v>0.30659999999999998</c:v>
                </c:pt>
                <c:pt idx="22">
                  <c:v>0.30349999999999999</c:v>
                </c:pt>
                <c:pt idx="23">
                  <c:v>0.31019999999999998</c:v>
                </c:pt>
                <c:pt idx="24">
                  <c:v>0.312</c:v>
                </c:pt>
                <c:pt idx="25">
                  <c:v>0.42270000000000002</c:v>
                </c:pt>
                <c:pt idx="26">
                  <c:v>0.42349999999999999</c:v>
                </c:pt>
                <c:pt idx="27">
                  <c:v>0.3286</c:v>
                </c:pt>
                <c:pt idx="28">
                  <c:v>0.40529999999999999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87-4364-8EC9-A669513159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9452240"/>
        <c:axId val="1049452656"/>
      </c:lineChart>
      <c:catAx>
        <c:axId val="104945224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Strikes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9452656"/>
        <c:crosses val="autoZero"/>
        <c:auto val="1"/>
        <c:lblAlgn val="ctr"/>
        <c:lblOffset val="100"/>
        <c:noMultiLvlLbl val="0"/>
      </c:catAx>
      <c:valAx>
        <c:axId val="1049452656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Implied</a:t>
                </a:r>
                <a:r>
                  <a:rPr lang="en-US" baseline="0"/>
                  <a:t> Volatility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9452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November 18 2022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cat>
            <c:numRef>
              <c:f>Second_part!$L$55:$L$62</c:f>
              <c:numCache>
                <c:formatCode>General</c:formatCode>
                <c:ptCount val="8"/>
                <c:pt idx="0">
                  <c:v>105</c:v>
                </c:pt>
                <c:pt idx="1">
                  <c:v>110</c:v>
                </c:pt>
                <c:pt idx="2">
                  <c:v>115</c:v>
                </c:pt>
                <c:pt idx="3">
                  <c:v>120</c:v>
                </c:pt>
                <c:pt idx="4">
                  <c:v>130</c:v>
                </c:pt>
                <c:pt idx="5">
                  <c:v>135</c:v>
                </c:pt>
                <c:pt idx="6">
                  <c:v>140</c:v>
                </c:pt>
                <c:pt idx="7">
                  <c:v>150</c:v>
                </c:pt>
              </c:numCache>
            </c:numRef>
          </c:cat>
          <c:val>
            <c:numRef>
              <c:f>Second_part!$T$55:$T$62</c:f>
              <c:numCache>
                <c:formatCode>0.00%</c:formatCode>
                <c:ptCount val="8"/>
                <c:pt idx="0">
                  <c:v>0.42799999999999999</c:v>
                </c:pt>
                <c:pt idx="1">
                  <c:v>0.39319999999999999</c:v>
                </c:pt>
                <c:pt idx="2">
                  <c:v>0.3715</c:v>
                </c:pt>
                <c:pt idx="3">
                  <c:v>0.36009999999999998</c:v>
                </c:pt>
                <c:pt idx="4">
                  <c:v>0.33429999999999999</c:v>
                </c:pt>
                <c:pt idx="5">
                  <c:v>0.33550000000000002</c:v>
                </c:pt>
                <c:pt idx="6">
                  <c:v>0.32990000000000003</c:v>
                </c:pt>
                <c:pt idx="7">
                  <c:v>0.315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E4-42D5-AC02-FC27ED4E41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7498576"/>
        <c:axId val="1147498992"/>
      </c:lineChart>
      <c:catAx>
        <c:axId val="114749857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Strikes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7498992"/>
        <c:crosses val="autoZero"/>
        <c:auto val="1"/>
        <c:lblAlgn val="ctr"/>
        <c:lblOffset val="100"/>
        <c:noMultiLvlLbl val="0"/>
      </c:catAx>
      <c:valAx>
        <c:axId val="114749899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Implied Volatility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7498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May 6 2022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cat>
            <c:numRef>
              <c:f>Second_part!$L$12:$L$21</c:f>
              <c:numCache>
                <c:formatCode>0.00</c:formatCode>
                <c:ptCount val="10"/>
                <c:pt idx="0">
                  <c:v>110</c:v>
                </c:pt>
                <c:pt idx="1">
                  <c:v>117</c:v>
                </c:pt>
                <c:pt idx="2">
                  <c:v>118</c:v>
                </c:pt>
                <c:pt idx="3">
                  <c:v>119</c:v>
                </c:pt>
                <c:pt idx="4">
                  <c:v>120</c:v>
                </c:pt>
                <c:pt idx="5">
                  <c:v>121</c:v>
                </c:pt>
                <c:pt idx="6">
                  <c:v>125</c:v>
                </c:pt>
                <c:pt idx="7">
                  <c:v>129</c:v>
                </c:pt>
                <c:pt idx="8">
                  <c:v>130</c:v>
                </c:pt>
                <c:pt idx="9">
                  <c:v>135</c:v>
                </c:pt>
              </c:numCache>
            </c:numRef>
          </c:cat>
          <c:val>
            <c:numRef>
              <c:f>Second_part!$T$12:$T$21</c:f>
              <c:numCache>
                <c:formatCode>0.00%</c:formatCode>
                <c:ptCount val="10"/>
                <c:pt idx="0">
                  <c:v>0.50509999999999999</c:v>
                </c:pt>
                <c:pt idx="1">
                  <c:v>0.44969999999999999</c:v>
                </c:pt>
                <c:pt idx="2">
                  <c:v>0.41139999999999999</c:v>
                </c:pt>
                <c:pt idx="3">
                  <c:v>0.40989999999999999</c:v>
                </c:pt>
                <c:pt idx="4">
                  <c:v>0.37709999999999999</c:v>
                </c:pt>
                <c:pt idx="5">
                  <c:v>0.38650000000000001</c:v>
                </c:pt>
                <c:pt idx="6">
                  <c:v>0.3735</c:v>
                </c:pt>
                <c:pt idx="7">
                  <c:v>0.37059999999999998</c:v>
                </c:pt>
                <c:pt idx="8">
                  <c:v>0.37259999999999999</c:v>
                </c:pt>
                <c:pt idx="9">
                  <c:v>0.37790000000000001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57-4CA3-828B-2553A78ED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3683264"/>
        <c:axId val="1143685760"/>
      </c:lineChart>
      <c:catAx>
        <c:axId val="1143683264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Strikes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685760"/>
        <c:crosses val="autoZero"/>
        <c:auto val="1"/>
        <c:lblAlgn val="ctr"/>
        <c:lblOffset val="100"/>
        <c:noMultiLvlLbl val="0"/>
      </c:catAx>
      <c:valAx>
        <c:axId val="114368576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Implied volatility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683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August 19 2022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cat>
            <c:numRef>
              <c:f>Second_part!$L$30:$L$45</c:f>
              <c:numCache>
                <c:formatCode>General</c:formatCode>
                <c:ptCount val="16"/>
                <c:pt idx="0">
                  <c:v>90</c:v>
                </c:pt>
                <c:pt idx="1">
                  <c:v>100</c:v>
                </c:pt>
                <c:pt idx="2">
                  <c:v>105</c:v>
                </c:pt>
                <c:pt idx="3">
                  <c:v>110</c:v>
                </c:pt>
                <c:pt idx="4">
                  <c:v>115</c:v>
                </c:pt>
                <c:pt idx="5">
                  <c:v>120</c:v>
                </c:pt>
                <c:pt idx="6">
                  <c:v>125</c:v>
                </c:pt>
                <c:pt idx="7">
                  <c:v>130</c:v>
                </c:pt>
                <c:pt idx="8">
                  <c:v>135</c:v>
                </c:pt>
                <c:pt idx="9">
                  <c:v>140</c:v>
                </c:pt>
                <c:pt idx="10">
                  <c:v>145</c:v>
                </c:pt>
                <c:pt idx="11">
                  <c:v>150</c:v>
                </c:pt>
                <c:pt idx="12">
                  <c:v>155</c:v>
                </c:pt>
                <c:pt idx="13">
                  <c:v>160</c:v>
                </c:pt>
                <c:pt idx="14">
                  <c:v>170</c:v>
                </c:pt>
                <c:pt idx="15">
                  <c:v>180</c:v>
                </c:pt>
              </c:numCache>
            </c:numRef>
          </c:cat>
          <c:val>
            <c:numRef>
              <c:f>Second_part!$T$30:$T$45</c:f>
              <c:numCache>
                <c:formatCode>0.00%</c:formatCode>
                <c:ptCount val="16"/>
                <c:pt idx="0">
                  <c:v>0.52280000000000004</c:v>
                </c:pt>
                <c:pt idx="1">
                  <c:v>0.43990000000000001</c:v>
                </c:pt>
                <c:pt idx="2">
                  <c:v>0.4138</c:v>
                </c:pt>
                <c:pt idx="3">
                  <c:v>0.38030000000000003</c:v>
                </c:pt>
                <c:pt idx="4">
                  <c:v>0.36870000000000003</c:v>
                </c:pt>
                <c:pt idx="5">
                  <c:v>0.34910000000000002</c:v>
                </c:pt>
                <c:pt idx="6">
                  <c:v>0.33460000000000001</c:v>
                </c:pt>
                <c:pt idx="7">
                  <c:v>0.32750000000000001</c:v>
                </c:pt>
                <c:pt idx="8">
                  <c:v>0.3216</c:v>
                </c:pt>
                <c:pt idx="9">
                  <c:v>0.31809999999999999</c:v>
                </c:pt>
                <c:pt idx="10">
                  <c:v>0.31519999999999998</c:v>
                </c:pt>
                <c:pt idx="11">
                  <c:v>0.31009999999999999</c:v>
                </c:pt>
                <c:pt idx="12">
                  <c:v>0.33300000000000002</c:v>
                </c:pt>
                <c:pt idx="13">
                  <c:v>0.3251</c:v>
                </c:pt>
                <c:pt idx="14">
                  <c:v>0.34520000000000001</c:v>
                </c:pt>
                <c:pt idx="15">
                  <c:v>0.36649999999999999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D1-410F-BF94-22705CE55E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51245296"/>
        <c:axId val="1151244464"/>
      </c:lineChart>
      <c:catAx>
        <c:axId val="115124529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Strikes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1244464"/>
        <c:crosses val="autoZero"/>
        <c:auto val="1"/>
        <c:lblAlgn val="ctr"/>
        <c:lblOffset val="100"/>
        <c:noMultiLvlLbl val="0"/>
      </c:catAx>
      <c:valAx>
        <c:axId val="1151244464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Implied Volatility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1245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Implied volatility of different maturity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0"/>
    </c:view3D>
    <c:floor>
      <c:thickness val="0"/>
      <c:spPr>
        <a:solidFill>
          <a:schemeClr val="lt1"/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3042363525714579"/>
          <c:y val="9.171866203164529E-2"/>
          <c:w val="0.76546709197906493"/>
          <c:h val="0.79982095864056679"/>
        </c:manualLayout>
      </c:layout>
      <c:area3DChart>
        <c:grouping val="standard"/>
        <c:varyColors val="0"/>
        <c:ser>
          <c:idx val="0"/>
          <c:order val="0"/>
          <c:tx>
            <c:v>6-May</c:v>
          </c:tx>
          <c:spPr>
            <a:pattFill prst="ltUpDiag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  <a:sp3d/>
          </c:spPr>
          <c:cat>
            <c:numRef>
              <c:f>Second_part!$L$12:$L$21</c:f>
              <c:numCache>
                <c:formatCode>0.00</c:formatCode>
                <c:ptCount val="10"/>
                <c:pt idx="0">
                  <c:v>110</c:v>
                </c:pt>
                <c:pt idx="1">
                  <c:v>117</c:v>
                </c:pt>
                <c:pt idx="2">
                  <c:v>118</c:v>
                </c:pt>
                <c:pt idx="3">
                  <c:v>119</c:v>
                </c:pt>
                <c:pt idx="4">
                  <c:v>120</c:v>
                </c:pt>
                <c:pt idx="5">
                  <c:v>121</c:v>
                </c:pt>
                <c:pt idx="6">
                  <c:v>125</c:v>
                </c:pt>
                <c:pt idx="7">
                  <c:v>129</c:v>
                </c:pt>
                <c:pt idx="8">
                  <c:v>130</c:v>
                </c:pt>
                <c:pt idx="9">
                  <c:v>135</c:v>
                </c:pt>
              </c:numCache>
            </c:numRef>
          </c:cat>
          <c:val>
            <c:numRef>
              <c:f>Second_part!$T$12:$T$21</c:f>
              <c:numCache>
                <c:formatCode>0.00%</c:formatCode>
                <c:ptCount val="10"/>
                <c:pt idx="0">
                  <c:v>0.50509999999999999</c:v>
                </c:pt>
                <c:pt idx="1">
                  <c:v>0.44969999999999999</c:v>
                </c:pt>
                <c:pt idx="2">
                  <c:v>0.41139999999999999</c:v>
                </c:pt>
                <c:pt idx="3">
                  <c:v>0.40989999999999999</c:v>
                </c:pt>
                <c:pt idx="4">
                  <c:v>0.37709999999999999</c:v>
                </c:pt>
                <c:pt idx="5">
                  <c:v>0.38650000000000001</c:v>
                </c:pt>
                <c:pt idx="6">
                  <c:v>0.3735</c:v>
                </c:pt>
                <c:pt idx="7">
                  <c:v>0.37059999999999998</c:v>
                </c:pt>
                <c:pt idx="8">
                  <c:v>0.37259999999999999</c:v>
                </c:pt>
                <c:pt idx="9">
                  <c:v>0.37790000000000001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5D-48C8-9A1A-BA9FC6DF5B6C}"/>
            </c:ext>
          </c:extLst>
        </c:ser>
        <c:ser>
          <c:idx val="1"/>
          <c:order val="1"/>
          <c:tx>
            <c:v>19-Aug</c:v>
          </c:tx>
          <c:spPr>
            <a:pattFill prst="ltUpDiag">
              <a:fgClr>
                <a:schemeClr val="accent2"/>
              </a:fgClr>
              <a:bgClr>
                <a:schemeClr val="accent2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2"/>
              </a:innerShdw>
            </a:effectLst>
            <a:sp3d/>
          </c:spPr>
          <c:cat>
            <c:numRef>
              <c:f>Second_part!$L$30:$L$45</c:f>
              <c:numCache>
                <c:formatCode>General</c:formatCode>
                <c:ptCount val="16"/>
                <c:pt idx="0">
                  <c:v>90</c:v>
                </c:pt>
                <c:pt idx="1">
                  <c:v>100</c:v>
                </c:pt>
                <c:pt idx="2">
                  <c:v>105</c:v>
                </c:pt>
                <c:pt idx="3">
                  <c:v>110</c:v>
                </c:pt>
                <c:pt idx="4">
                  <c:v>115</c:v>
                </c:pt>
                <c:pt idx="5">
                  <c:v>120</c:v>
                </c:pt>
                <c:pt idx="6">
                  <c:v>125</c:v>
                </c:pt>
                <c:pt idx="7">
                  <c:v>130</c:v>
                </c:pt>
                <c:pt idx="8">
                  <c:v>135</c:v>
                </c:pt>
                <c:pt idx="9">
                  <c:v>140</c:v>
                </c:pt>
                <c:pt idx="10">
                  <c:v>145</c:v>
                </c:pt>
                <c:pt idx="11">
                  <c:v>150</c:v>
                </c:pt>
                <c:pt idx="12">
                  <c:v>155</c:v>
                </c:pt>
                <c:pt idx="13">
                  <c:v>160</c:v>
                </c:pt>
                <c:pt idx="14">
                  <c:v>170</c:v>
                </c:pt>
                <c:pt idx="15">
                  <c:v>180</c:v>
                </c:pt>
              </c:numCache>
            </c:numRef>
          </c:cat>
          <c:val>
            <c:numRef>
              <c:f>Second_part!$T$30:$T$45</c:f>
              <c:numCache>
                <c:formatCode>0.00%</c:formatCode>
                <c:ptCount val="16"/>
                <c:pt idx="0">
                  <c:v>0.52280000000000004</c:v>
                </c:pt>
                <c:pt idx="1">
                  <c:v>0.43990000000000001</c:v>
                </c:pt>
                <c:pt idx="2">
                  <c:v>0.4138</c:v>
                </c:pt>
                <c:pt idx="3">
                  <c:v>0.38030000000000003</c:v>
                </c:pt>
                <c:pt idx="4">
                  <c:v>0.36870000000000003</c:v>
                </c:pt>
                <c:pt idx="5">
                  <c:v>0.34910000000000002</c:v>
                </c:pt>
                <c:pt idx="6">
                  <c:v>0.33460000000000001</c:v>
                </c:pt>
                <c:pt idx="7">
                  <c:v>0.32750000000000001</c:v>
                </c:pt>
                <c:pt idx="8">
                  <c:v>0.3216</c:v>
                </c:pt>
                <c:pt idx="9">
                  <c:v>0.31809999999999999</c:v>
                </c:pt>
                <c:pt idx="10">
                  <c:v>0.31519999999999998</c:v>
                </c:pt>
                <c:pt idx="11">
                  <c:v>0.31009999999999999</c:v>
                </c:pt>
                <c:pt idx="12">
                  <c:v>0.33300000000000002</c:v>
                </c:pt>
                <c:pt idx="13">
                  <c:v>0.3251</c:v>
                </c:pt>
                <c:pt idx="14">
                  <c:v>0.34520000000000001</c:v>
                </c:pt>
                <c:pt idx="15">
                  <c:v>0.36649999999999999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C5D-48C8-9A1A-BA9FC6DF5B6C}"/>
            </c:ext>
          </c:extLst>
        </c:ser>
        <c:ser>
          <c:idx val="2"/>
          <c:order val="2"/>
          <c:tx>
            <c:v>18-Nov</c:v>
          </c:tx>
          <c:spPr>
            <a:pattFill prst="ltUpDiag">
              <a:fgClr>
                <a:schemeClr val="accent3"/>
              </a:fgClr>
              <a:bgClr>
                <a:schemeClr val="accent3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3"/>
              </a:innerShdw>
            </a:effectLst>
            <a:sp3d/>
          </c:spPr>
          <c:cat>
            <c:numRef>
              <c:f>Second_part!$L$55:$L$62</c:f>
              <c:numCache>
                <c:formatCode>General</c:formatCode>
                <c:ptCount val="8"/>
                <c:pt idx="0">
                  <c:v>105</c:v>
                </c:pt>
                <c:pt idx="1">
                  <c:v>110</c:v>
                </c:pt>
                <c:pt idx="2">
                  <c:v>115</c:v>
                </c:pt>
                <c:pt idx="3">
                  <c:v>120</c:v>
                </c:pt>
                <c:pt idx="4">
                  <c:v>130</c:v>
                </c:pt>
                <c:pt idx="5">
                  <c:v>135</c:v>
                </c:pt>
                <c:pt idx="6">
                  <c:v>140</c:v>
                </c:pt>
                <c:pt idx="7">
                  <c:v>150</c:v>
                </c:pt>
              </c:numCache>
            </c:numRef>
          </c:cat>
          <c:val>
            <c:numRef>
              <c:f>Second_part!$T$55:$T$62</c:f>
              <c:numCache>
                <c:formatCode>0.00%</c:formatCode>
                <c:ptCount val="8"/>
                <c:pt idx="0">
                  <c:v>0.42799999999999999</c:v>
                </c:pt>
                <c:pt idx="1">
                  <c:v>0.39319999999999999</c:v>
                </c:pt>
                <c:pt idx="2">
                  <c:v>0.3715</c:v>
                </c:pt>
                <c:pt idx="3">
                  <c:v>0.36009999999999998</c:v>
                </c:pt>
                <c:pt idx="4">
                  <c:v>0.33429999999999999</c:v>
                </c:pt>
                <c:pt idx="5">
                  <c:v>0.33550000000000002</c:v>
                </c:pt>
                <c:pt idx="6">
                  <c:v>0.32990000000000003</c:v>
                </c:pt>
                <c:pt idx="7">
                  <c:v>0.315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C5D-48C8-9A1A-BA9FC6DF5B6C}"/>
            </c:ext>
          </c:extLst>
        </c:ser>
        <c:ser>
          <c:idx val="3"/>
          <c:order val="3"/>
          <c:tx>
            <c:v>20-Jan 2023</c:v>
          </c:tx>
          <c:spPr>
            <a:pattFill prst="ltUpDiag">
              <a:fgClr>
                <a:schemeClr val="accent4"/>
              </a:fgClr>
              <a:bgClr>
                <a:schemeClr val="accent4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4"/>
              </a:innerShdw>
            </a:effectLst>
            <a:sp3d/>
          </c:spPr>
          <c:cat>
            <c:numRef>
              <c:f>Second_part!$L$72:$L$100</c:f>
              <c:numCache>
                <c:formatCode>General</c:formatCode>
                <c:ptCount val="29"/>
                <c:pt idx="0">
                  <c:v>40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  <c:pt idx="21">
                  <c:v>155</c:v>
                </c:pt>
                <c:pt idx="22">
                  <c:v>160</c:v>
                </c:pt>
                <c:pt idx="23">
                  <c:v>165</c:v>
                </c:pt>
                <c:pt idx="24">
                  <c:v>170</c:v>
                </c:pt>
                <c:pt idx="25">
                  <c:v>180</c:v>
                </c:pt>
                <c:pt idx="26">
                  <c:v>185</c:v>
                </c:pt>
                <c:pt idx="27">
                  <c:v>190</c:v>
                </c:pt>
                <c:pt idx="28">
                  <c:v>195</c:v>
                </c:pt>
              </c:numCache>
            </c:numRef>
          </c:cat>
          <c:val>
            <c:numRef>
              <c:f>Second_part!$T$72:$T$100</c:f>
              <c:numCache>
                <c:formatCode>0.00%</c:formatCode>
                <c:ptCount val="29"/>
                <c:pt idx="0">
                  <c:v>0.67869999999999997</c:v>
                </c:pt>
                <c:pt idx="1">
                  <c:v>0.62519999999999998</c:v>
                </c:pt>
                <c:pt idx="2">
                  <c:v>0.52659999999999996</c:v>
                </c:pt>
                <c:pt idx="3">
                  <c:v>1.0176000000000001</c:v>
                </c:pt>
                <c:pt idx="4">
                  <c:v>0.58609999999999995</c:v>
                </c:pt>
                <c:pt idx="5">
                  <c:v>0.53710000000000002</c:v>
                </c:pt>
                <c:pt idx="6">
                  <c:v>0.50860000000000005</c:v>
                </c:pt>
                <c:pt idx="7">
                  <c:v>0.49049999999999999</c:v>
                </c:pt>
                <c:pt idx="8">
                  <c:v>0.48099999999999998</c:v>
                </c:pt>
                <c:pt idx="9">
                  <c:v>0.48220000000000002</c:v>
                </c:pt>
                <c:pt idx="10">
                  <c:v>0.43840000000000001</c:v>
                </c:pt>
                <c:pt idx="11">
                  <c:v>0.39979999999999999</c:v>
                </c:pt>
                <c:pt idx="12">
                  <c:v>0.39589999999999997</c:v>
                </c:pt>
                <c:pt idx="13">
                  <c:v>0.37159999999999999</c:v>
                </c:pt>
                <c:pt idx="14">
                  <c:v>0.3574</c:v>
                </c:pt>
                <c:pt idx="15">
                  <c:v>0.34489999999999998</c:v>
                </c:pt>
                <c:pt idx="16">
                  <c:v>0.33829999999999999</c:v>
                </c:pt>
                <c:pt idx="17">
                  <c:v>0.33069999999999999</c:v>
                </c:pt>
                <c:pt idx="18">
                  <c:v>0.32950000000000002</c:v>
                </c:pt>
                <c:pt idx="19">
                  <c:v>0.31530000000000002</c:v>
                </c:pt>
                <c:pt idx="20">
                  <c:v>0.31069999999999998</c:v>
                </c:pt>
                <c:pt idx="21">
                  <c:v>0.30659999999999998</c:v>
                </c:pt>
                <c:pt idx="22">
                  <c:v>0.30349999999999999</c:v>
                </c:pt>
                <c:pt idx="23">
                  <c:v>0.31019999999999998</c:v>
                </c:pt>
                <c:pt idx="24">
                  <c:v>0.312</c:v>
                </c:pt>
                <c:pt idx="25">
                  <c:v>0.42270000000000002</c:v>
                </c:pt>
                <c:pt idx="26">
                  <c:v>0.42349999999999999</c:v>
                </c:pt>
                <c:pt idx="27">
                  <c:v>0.3286</c:v>
                </c:pt>
                <c:pt idx="28">
                  <c:v>0.40529999999999999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C5D-48C8-9A1A-BA9FC6DF5B6C}"/>
            </c:ext>
          </c:extLst>
        </c:ser>
        <c:ser>
          <c:idx val="4"/>
          <c:order val="4"/>
          <c:tx>
            <c:v>19-Jan-24</c:v>
          </c:tx>
          <c:spPr>
            <a:pattFill prst="ltUpDiag">
              <a:fgClr>
                <a:schemeClr val="accent5"/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5"/>
              </a:innerShdw>
            </a:effectLst>
            <a:sp3d/>
          </c:spPr>
          <c:cat>
            <c:numRef>
              <c:f>Second_part!$L$106:$L$129</c:f>
              <c:numCache>
                <c:formatCode>General</c:formatCode>
                <c:ptCount val="24"/>
                <c:pt idx="0">
                  <c:v>55</c:v>
                </c:pt>
                <c:pt idx="1">
                  <c:v>60</c:v>
                </c:pt>
                <c:pt idx="2">
                  <c:v>75</c:v>
                </c:pt>
                <c:pt idx="3">
                  <c:v>85</c:v>
                </c:pt>
                <c:pt idx="4">
                  <c:v>95</c:v>
                </c:pt>
                <c:pt idx="5">
                  <c:v>100</c:v>
                </c:pt>
                <c:pt idx="6">
                  <c:v>105</c:v>
                </c:pt>
                <c:pt idx="7">
                  <c:v>110</c:v>
                </c:pt>
                <c:pt idx="8">
                  <c:v>115</c:v>
                </c:pt>
                <c:pt idx="9">
                  <c:v>120</c:v>
                </c:pt>
                <c:pt idx="10">
                  <c:v>125</c:v>
                </c:pt>
                <c:pt idx="11">
                  <c:v>130</c:v>
                </c:pt>
                <c:pt idx="12">
                  <c:v>135</c:v>
                </c:pt>
                <c:pt idx="13">
                  <c:v>140</c:v>
                </c:pt>
                <c:pt idx="14">
                  <c:v>145</c:v>
                </c:pt>
                <c:pt idx="15">
                  <c:v>150</c:v>
                </c:pt>
                <c:pt idx="16">
                  <c:v>155</c:v>
                </c:pt>
                <c:pt idx="17">
                  <c:v>160</c:v>
                </c:pt>
                <c:pt idx="18">
                  <c:v>165</c:v>
                </c:pt>
                <c:pt idx="19">
                  <c:v>170</c:v>
                </c:pt>
                <c:pt idx="20">
                  <c:v>180</c:v>
                </c:pt>
                <c:pt idx="21">
                  <c:v>185</c:v>
                </c:pt>
                <c:pt idx="22">
                  <c:v>190</c:v>
                </c:pt>
                <c:pt idx="23">
                  <c:v>195</c:v>
                </c:pt>
              </c:numCache>
            </c:numRef>
          </c:cat>
          <c:val>
            <c:numRef>
              <c:f>Second_part!$T$106:$T$129</c:f>
              <c:numCache>
                <c:formatCode>0.00%</c:formatCode>
                <c:ptCount val="24"/>
                <c:pt idx="0">
                  <c:v>0.58979999999999999</c:v>
                </c:pt>
                <c:pt idx="1">
                  <c:v>0.30080000000000001</c:v>
                </c:pt>
                <c:pt idx="2">
                  <c:v>0.21629999999999999</c:v>
                </c:pt>
                <c:pt idx="3">
                  <c:v>0.4829</c:v>
                </c:pt>
                <c:pt idx="4">
                  <c:v>0.46489999999999998</c:v>
                </c:pt>
                <c:pt idx="5">
                  <c:v>0.43859999999999999</c:v>
                </c:pt>
                <c:pt idx="6">
                  <c:v>0.42799999999999999</c:v>
                </c:pt>
                <c:pt idx="7">
                  <c:v>0.38469999999999999</c:v>
                </c:pt>
                <c:pt idx="8">
                  <c:v>0.37159999999999999</c:v>
                </c:pt>
                <c:pt idx="9">
                  <c:v>0.36609999999999998</c:v>
                </c:pt>
                <c:pt idx="10">
                  <c:v>0.38019999999999998</c:v>
                </c:pt>
                <c:pt idx="11">
                  <c:v>0.36520000000000002</c:v>
                </c:pt>
                <c:pt idx="12">
                  <c:v>0.36830000000000002</c:v>
                </c:pt>
                <c:pt idx="13">
                  <c:v>0.33689999999999998</c:v>
                </c:pt>
                <c:pt idx="14">
                  <c:v>0.26619999999999999</c:v>
                </c:pt>
                <c:pt idx="15">
                  <c:v>0.34970000000000001</c:v>
                </c:pt>
                <c:pt idx="16">
                  <c:v>0.2908</c:v>
                </c:pt>
                <c:pt idx="17">
                  <c:v>0.34289999999999998</c:v>
                </c:pt>
                <c:pt idx="18">
                  <c:v>0.34420000000000001</c:v>
                </c:pt>
                <c:pt idx="19">
                  <c:v>0.31219999999999998</c:v>
                </c:pt>
                <c:pt idx="20">
                  <c:v>0.26069999999999999</c:v>
                </c:pt>
                <c:pt idx="21">
                  <c:v>0.31890000000000002</c:v>
                </c:pt>
                <c:pt idx="22">
                  <c:v>0.26779999999999998</c:v>
                </c:pt>
                <c:pt idx="23">
                  <c:v>0.31319999999999998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C5D-48C8-9A1A-BA9FC6DF5B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5938992"/>
        <c:axId val="2045939408"/>
        <c:axId val="93550384"/>
      </c:area3DChart>
      <c:catAx>
        <c:axId val="2045938992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Strikes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out"/>
        <c:tickLblPos val="nextTo"/>
        <c:crossAx val="2045939408"/>
        <c:crosses val="autoZero"/>
        <c:auto val="1"/>
        <c:lblAlgn val="ctr"/>
        <c:lblOffset val="100"/>
        <c:noMultiLvlLbl val="0"/>
      </c:catAx>
      <c:valAx>
        <c:axId val="2045939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Implied</a:t>
                </a:r>
                <a:r>
                  <a:rPr lang="en-US" baseline="0"/>
                  <a:t> Volatility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5938992"/>
        <c:crosses val="autoZero"/>
        <c:crossBetween val="midCat"/>
      </c:valAx>
      <c:serAx>
        <c:axId val="93550384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Maturity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out"/>
        <c:minorTickMark val="out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5939408"/>
        <c:crosses val="autoZero"/>
      </c:ser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lt1">
          <a:lumMod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3D</a:t>
            </a:r>
            <a:r>
              <a:rPr lang="en-US" baseline="0"/>
              <a:t> surface plot of different maturity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3042363525714579"/>
          <c:y val="9.171866203164529E-2"/>
          <c:w val="0.76546709197906493"/>
          <c:h val="0.79982095864056679"/>
        </c:manualLayout>
      </c:layout>
      <c:surface3DChart>
        <c:wireframe val="0"/>
        <c:ser>
          <c:idx val="0"/>
          <c:order val="0"/>
          <c:tx>
            <c:v>6-May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Second_part!$L$12:$L$21</c:f>
              <c:numCache>
                <c:formatCode>0.00</c:formatCode>
                <c:ptCount val="10"/>
                <c:pt idx="0">
                  <c:v>110</c:v>
                </c:pt>
                <c:pt idx="1">
                  <c:v>117</c:v>
                </c:pt>
                <c:pt idx="2">
                  <c:v>118</c:v>
                </c:pt>
                <c:pt idx="3">
                  <c:v>119</c:v>
                </c:pt>
                <c:pt idx="4">
                  <c:v>120</c:v>
                </c:pt>
                <c:pt idx="5">
                  <c:v>121</c:v>
                </c:pt>
                <c:pt idx="6">
                  <c:v>125</c:v>
                </c:pt>
                <c:pt idx="7">
                  <c:v>129</c:v>
                </c:pt>
                <c:pt idx="8">
                  <c:v>130</c:v>
                </c:pt>
                <c:pt idx="9">
                  <c:v>135</c:v>
                </c:pt>
              </c:numCache>
            </c:numRef>
          </c:cat>
          <c:val>
            <c:numRef>
              <c:f>Second_part!$T$12:$T$21</c:f>
              <c:numCache>
                <c:formatCode>0.00%</c:formatCode>
                <c:ptCount val="10"/>
                <c:pt idx="0">
                  <c:v>0.50509999999999999</c:v>
                </c:pt>
                <c:pt idx="1">
                  <c:v>0.44969999999999999</c:v>
                </c:pt>
                <c:pt idx="2">
                  <c:v>0.41139999999999999</c:v>
                </c:pt>
                <c:pt idx="3">
                  <c:v>0.40989999999999999</c:v>
                </c:pt>
                <c:pt idx="4">
                  <c:v>0.37709999999999999</c:v>
                </c:pt>
                <c:pt idx="5">
                  <c:v>0.38650000000000001</c:v>
                </c:pt>
                <c:pt idx="6">
                  <c:v>0.3735</c:v>
                </c:pt>
                <c:pt idx="7">
                  <c:v>0.37059999999999998</c:v>
                </c:pt>
                <c:pt idx="8">
                  <c:v>0.37259999999999999</c:v>
                </c:pt>
                <c:pt idx="9">
                  <c:v>0.37790000000000001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1F-463F-9B7F-9269B68D3C52}"/>
            </c:ext>
          </c:extLst>
        </c:ser>
        <c:ser>
          <c:idx val="1"/>
          <c:order val="1"/>
          <c:tx>
            <c:v>19-Aug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Second_part!$L$30:$L$45</c:f>
              <c:numCache>
                <c:formatCode>General</c:formatCode>
                <c:ptCount val="16"/>
                <c:pt idx="0">
                  <c:v>90</c:v>
                </c:pt>
                <c:pt idx="1">
                  <c:v>100</c:v>
                </c:pt>
                <c:pt idx="2">
                  <c:v>105</c:v>
                </c:pt>
                <c:pt idx="3">
                  <c:v>110</c:v>
                </c:pt>
                <c:pt idx="4">
                  <c:v>115</c:v>
                </c:pt>
                <c:pt idx="5">
                  <c:v>120</c:v>
                </c:pt>
                <c:pt idx="6">
                  <c:v>125</c:v>
                </c:pt>
                <c:pt idx="7">
                  <c:v>130</c:v>
                </c:pt>
                <c:pt idx="8">
                  <c:v>135</c:v>
                </c:pt>
                <c:pt idx="9">
                  <c:v>140</c:v>
                </c:pt>
                <c:pt idx="10">
                  <c:v>145</c:v>
                </c:pt>
                <c:pt idx="11">
                  <c:v>150</c:v>
                </c:pt>
                <c:pt idx="12">
                  <c:v>155</c:v>
                </c:pt>
                <c:pt idx="13">
                  <c:v>160</c:v>
                </c:pt>
                <c:pt idx="14">
                  <c:v>170</c:v>
                </c:pt>
                <c:pt idx="15">
                  <c:v>180</c:v>
                </c:pt>
              </c:numCache>
            </c:numRef>
          </c:cat>
          <c:val>
            <c:numRef>
              <c:f>Second_part!$T$30:$T$45</c:f>
              <c:numCache>
                <c:formatCode>0.00%</c:formatCode>
                <c:ptCount val="16"/>
                <c:pt idx="0">
                  <c:v>0.52280000000000004</c:v>
                </c:pt>
                <c:pt idx="1">
                  <c:v>0.43990000000000001</c:v>
                </c:pt>
                <c:pt idx="2">
                  <c:v>0.4138</c:v>
                </c:pt>
                <c:pt idx="3">
                  <c:v>0.38030000000000003</c:v>
                </c:pt>
                <c:pt idx="4">
                  <c:v>0.36870000000000003</c:v>
                </c:pt>
                <c:pt idx="5">
                  <c:v>0.34910000000000002</c:v>
                </c:pt>
                <c:pt idx="6">
                  <c:v>0.33460000000000001</c:v>
                </c:pt>
                <c:pt idx="7">
                  <c:v>0.32750000000000001</c:v>
                </c:pt>
                <c:pt idx="8">
                  <c:v>0.3216</c:v>
                </c:pt>
                <c:pt idx="9">
                  <c:v>0.31809999999999999</c:v>
                </c:pt>
                <c:pt idx="10">
                  <c:v>0.31519999999999998</c:v>
                </c:pt>
                <c:pt idx="11">
                  <c:v>0.31009999999999999</c:v>
                </c:pt>
                <c:pt idx="12">
                  <c:v>0.33300000000000002</c:v>
                </c:pt>
                <c:pt idx="13">
                  <c:v>0.3251</c:v>
                </c:pt>
                <c:pt idx="14">
                  <c:v>0.34520000000000001</c:v>
                </c:pt>
                <c:pt idx="15">
                  <c:v>0.36649999999999999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1F-463F-9B7F-9269B68D3C52}"/>
            </c:ext>
          </c:extLst>
        </c:ser>
        <c:ser>
          <c:idx val="2"/>
          <c:order val="2"/>
          <c:tx>
            <c:v>18-Nov</c:v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Second_part!$L$55:$L$62</c:f>
              <c:numCache>
                <c:formatCode>General</c:formatCode>
                <c:ptCount val="8"/>
                <c:pt idx="0">
                  <c:v>105</c:v>
                </c:pt>
                <c:pt idx="1">
                  <c:v>110</c:v>
                </c:pt>
                <c:pt idx="2">
                  <c:v>115</c:v>
                </c:pt>
                <c:pt idx="3">
                  <c:v>120</c:v>
                </c:pt>
                <c:pt idx="4">
                  <c:v>130</c:v>
                </c:pt>
                <c:pt idx="5">
                  <c:v>135</c:v>
                </c:pt>
                <c:pt idx="6">
                  <c:v>140</c:v>
                </c:pt>
                <c:pt idx="7">
                  <c:v>150</c:v>
                </c:pt>
              </c:numCache>
            </c:numRef>
          </c:cat>
          <c:val>
            <c:numRef>
              <c:f>Second_part!$T$55:$T$62</c:f>
              <c:numCache>
                <c:formatCode>0.00%</c:formatCode>
                <c:ptCount val="8"/>
                <c:pt idx="0">
                  <c:v>0.42799999999999999</c:v>
                </c:pt>
                <c:pt idx="1">
                  <c:v>0.39319999999999999</c:v>
                </c:pt>
                <c:pt idx="2">
                  <c:v>0.3715</c:v>
                </c:pt>
                <c:pt idx="3">
                  <c:v>0.36009999999999998</c:v>
                </c:pt>
                <c:pt idx="4">
                  <c:v>0.33429999999999999</c:v>
                </c:pt>
                <c:pt idx="5">
                  <c:v>0.33550000000000002</c:v>
                </c:pt>
                <c:pt idx="6">
                  <c:v>0.32990000000000003</c:v>
                </c:pt>
                <c:pt idx="7">
                  <c:v>0.315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01F-463F-9B7F-9269B68D3C52}"/>
            </c:ext>
          </c:extLst>
        </c:ser>
        <c:ser>
          <c:idx val="3"/>
          <c:order val="3"/>
          <c:tx>
            <c:v>20-Jan 2023</c:v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Second_part!$L$72:$L$100</c:f>
              <c:numCache>
                <c:formatCode>General</c:formatCode>
                <c:ptCount val="29"/>
                <c:pt idx="0">
                  <c:v>40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  <c:pt idx="21">
                  <c:v>155</c:v>
                </c:pt>
                <c:pt idx="22">
                  <c:v>160</c:v>
                </c:pt>
                <c:pt idx="23">
                  <c:v>165</c:v>
                </c:pt>
                <c:pt idx="24">
                  <c:v>170</c:v>
                </c:pt>
                <c:pt idx="25">
                  <c:v>180</c:v>
                </c:pt>
                <c:pt idx="26">
                  <c:v>185</c:v>
                </c:pt>
                <c:pt idx="27">
                  <c:v>190</c:v>
                </c:pt>
                <c:pt idx="28">
                  <c:v>195</c:v>
                </c:pt>
              </c:numCache>
            </c:numRef>
          </c:cat>
          <c:val>
            <c:numRef>
              <c:f>Second_part!$T$72:$T$100</c:f>
              <c:numCache>
                <c:formatCode>0.00%</c:formatCode>
                <c:ptCount val="29"/>
                <c:pt idx="0">
                  <c:v>0.67869999999999997</c:v>
                </c:pt>
                <c:pt idx="1">
                  <c:v>0.62519999999999998</c:v>
                </c:pt>
                <c:pt idx="2">
                  <c:v>0.52659999999999996</c:v>
                </c:pt>
                <c:pt idx="3">
                  <c:v>1.0176000000000001</c:v>
                </c:pt>
                <c:pt idx="4">
                  <c:v>0.58609999999999995</c:v>
                </c:pt>
                <c:pt idx="5">
                  <c:v>0.53710000000000002</c:v>
                </c:pt>
                <c:pt idx="6">
                  <c:v>0.50860000000000005</c:v>
                </c:pt>
                <c:pt idx="7">
                  <c:v>0.49049999999999999</c:v>
                </c:pt>
                <c:pt idx="8">
                  <c:v>0.48099999999999998</c:v>
                </c:pt>
                <c:pt idx="9">
                  <c:v>0.48220000000000002</c:v>
                </c:pt>
                <c:pt idx="10">
                  <c:v>0.43840000000000001</c:v>
                </c:pt>
                <c:pt idx="11">
                  <c:v>0.39979999999999999</c:v>
                </c:pt>
                <c:pt idx="12">
                  <c:v>0.39589999999999997</c:v>
                </c:pt>
                <c:pt idx="13">
                  <c:v>0.37159999999999999</c:v>
                </c:pt>
                <c:pt idx="14">
                  <c:v>0.3574</c:v>
                </c:pt>
                <c:pt idx="15">
                  <c:v>0.34489999999999998</c:v>
                </c:pt>
                <c:pt idx="16">
                  <c:v>0.33829999999999999</c:v>
                </c:pt>
                <c:pt idx="17">
                  <c:v>0.33069999999999999</c:v>
                </c:pt>
                <c:pt idx="18">
                  <c:v>0.32950000000000002</c:v>
                </c:pt>
                <c:pt idx="19">
                  <c:v>0.31530000000000002</c:v>
                </c:pt>
                <c:pt idx="20">
                  <c:v>0.31069999999999998</c:v>
                </c:pt>
                <c:pt idx="21">
                  <c:v>0.30659999999999998</c:v>
                </c:pt>
                <c:pt idx="22">
                  <c:v>0.30349999999999999</c:v>
                </c:pt>
                <c:pt idx="23">
                  <c:v>0.31019999999999998</c:v>
                </c:pt>
                <c:pt idx="24">
                  <c:v>0.312</c:v>
                </c:pt>
                <c:pt idx="25">
                  <c:v>0.42270000000000002</c:v>
                </c:pt>
                <c:pt idx="26">
                  <c:v>0.42349999999999999</c:v>
                </c:pt>
                <c:pt idx="27">
                  <c:v>0.3286</c:v>
                </c:pt>
                <c:pt idx="28">
                  <c:v>0.40529999999999999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1F-463F-9B7F-9269B68D3C52}"/>
            </c:ext>
          </c:extLst>
        </c:ser>
        <c:ser>
          <c:idx val="4"/>
          <c:order val="4"/>
          <c:tx>
            <c:v>19-Jan-24</c:v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Second_part!$L$106:$L$129</c:f>
              <c:numCache>
                <c:formatCode>General</c:formatCode>
                <c:ptCount val="24"/>
                <c:pt idx="0">
                  <c:v>55</c:v>
                </c:pt>
                <c:pt idx="1">
                  <c:v>60</c:v>
                </c:pt>
                <c:pt idx="2">
                  <c:v>75</c:v>
                </c:pt>
                <c:pt idx="3">
                  <c:v>85</c:v>
                </c:pt>
                <c:pt idx="4">
                  <c:v>95</c:v>
                </c:pt>
                <c:pt idx="5">
                  <c:v>100</c:v>
                </c:pt>
                <c:pt idx="6">
                  <c:v>105</c:v>
                </c:pt>
                <c:pt idx="7">
                  <c:v>110</c:v>
                </c:pt>
                <c:pt idx="8">
                  <c:v>115</c:v>
                </c:pt>
                <c:pt idx="9">
                  <c:v>120</c:v>
                </c:pt>
                <c:pt idx="10">
                  <c:v>125</c:v>
                </c:pt>
                <c:pt idx="11">
                  <c:v>130</c:v>
                </c:pt>
                <c:pt idx="12">
                  <c:v>135</c:v>
                </c:pt>
                <c:pt idx="13">
                  <c:v>140</c:v>
                </c:pt>
                <c:pt idx="14">
                  <c:v>145</c:v>
                </c:pt>
                <c:pt idx="15">
                  <c:v>150</c:v>
                </c:pt>
                <c:pt idx="16">
                  <c:v>155</c:v>
                </c:pt>
                <c:pt idx="17">
                  <c:v>160</c:v>
                </c:pt>
                <c:pt idx="18">
                  <c:v>165</c:v>
                </c:pt>
                <c:pt idx="19">
                  <c:v>170</c:v>
                </c:pt>
                <c:pt idx="20">
                  <c:v>180</c:v>
                </c:pt>
                <c:pt idx="21">
                  <c:v>185</c:v>
                </c:pt>
                <c:pt idx="22">
                  <c:v>190</c:v>
                </c:pt>
                <c:pt idx="23">
                  <c:v>195</c:v>
                </c:pt>
              </c:numCache>
            </c:numRef>
          </c:cat>
          <c:val>
            <c:numRef>
              <c:f>Second_part!$T$106:$T$129</c:f>
              <c:numCache>
                <c:formatCode>0.00%</c:formatCode>
                <c:ptCount val="24"/>
                <c:pt idx="0">
                  <c:v>0.58979999999999999</c:v>
                </c:pt>
                <c:pt idx="1">
                  <c:v>0.30080000000000001</c:v>
                </c:pt>
                <c:pt idx="2">
                  <c:v>0.21629999999999999</c:v>
                </c:pt>
                <c:pt idx="3">
                  <c:v>0.4829</c:v>
                </c:pt>
                <c:pt idx="4">
                  <c:v>0.46489999999999998</c:v>
                </c:pt>
                <c:pt idx="5">
                  <c:v>0.43859999999999999</c:v>
                </c:pt>
                <c:pt idx="6">
                  <c:v>0.42799999999999999</c:v>
                </c:pt>
                <c:pt idx="7">
                  <c:v>0.38469999999999999</c:v>
                </c:pt>
                <c:pt idx="8">
                  <c:v>0.37159999999999999</c:v>
                </c:pt>
                <c:pt idx="9">
                  <c:v>0.36609999999999998</c:v>
                </c:pt>
                <c:pt idx="10">
                  <c:v>0.38019999999999998</c:v>
                </c:pt>
                <c:pt idx="11">
                  <c:v>0.36520000000000002</c:v>
                </c:pt>
                <c:pt idx="12">
                  <c:v>0.36830000000000002</c:v>
                </c:pt>
                <c:pt idx="13">
                  <c:v>0.33689999999999998</c:v>
                </c:pt>
                <c:pt idx="14">
                  <c:v>0.26619999999999999</c:v>
                </c:pt>
                <c:pt idx="15">
                  <c:v>0.34970000000000001</c:v>
                </c:pt>
                <c:pt idx="16">
                  <c:v>0.2908</c:v>
                </c:pt>
                <c:pt idx="17">
                  <c:v>0.34289999999999998</c:v>
                </c:pt>
                <c:pt idx="18">
                  <c:v>0.34420000000000001</c:v>
                </c:pt>
                <c:pt idx="19">
                  <c:v>0.31219999999999998</c:v>
                </c:pt>
                <c:pt idx="20">
                  <c:v>0.26069999999999999</c:v>
                </c:pt>
                <c:pt idx="21">
                  <c:v>0.31890000000000002</c:v>
                </c:pt>
                <c:pt idx="22">
                  <c:v>0.26779999999999998</c:v>
                </c:pt>
                <c:pt idx="23">
                  <c:v>0.31319999999999998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01F-463F-9B7F-9269B68D3C52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3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5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8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9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1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4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</c:bandFmts>
        <c:axId val="2045938992"/>
        <c:axId val="2045939408"/>
        <c:axId val="93550384"/>
      </c:surface3DChart>
      <c:catAx>
        <c:axId val="2045938992"/>
        <c:scaling>
          <c:orientation val="minMax"/>
        </c:scaling>
        <c:delete val="1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Strikes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out"/>
        <c:minorTickMark val="none"/>
        <c:tickLblPos val="nextTo"/>
        <c:crossAx val="2045939408"/>
        <c:crosses val="autoZero"/>
        <c:auto val="1"/>
        <c:lblAlgn val="ctr"/>
        <c:lblOffset val="100"/>
        <c:noMultiLvlLbl val="0"/>
      </c:catAx>
      <c:valAx>
        <c:axId val="2045939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Implied</a:t>
                </a:r>
                <a:r>
                  <a:rPr lang="en-US" baseline="0"/>
                  <a:t> Volatility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5938992"/>
        <c:crosses val="autoZero"/>
        <c:crossBetween val="midCat"/>
      </c:valAx>
      <c:serAx>
        <c:axId val="93550384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maturity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5939408"/>
        <c:crosses val="autoZero"/>
      </c:ser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cap="all" baseline="0">
                <a:effectLst/>
              </a:rPr>
              <a:t>Implied volatility of different maturity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160"/>
      <c:depthPercent val="100"/>
      <c:rAngAx val="0"/>
    </c:view3D>
    <c:floor>
      <c:thickness val="0"/>
      <c:spPr>
        <a:solidFill>
          <a:schemeClr val="lt1"/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3042363525714579"/>
          <c:y val="9.171866203164529E-2"/>
          <c:w val="0.76546709197906493"/>
          <c:h val="0.79982095864056679"/>
        </c:manualLayout>
      </c:layout>
      <c:area3DChart>
        <c:grouping val="standard"/>
        <c:varyColors val="0"/>
        <c:ser>
          <c:idx val="0"/>
          <c:order val="0"/>
          <c:tx>
            <c:v>6-May</c:v>
          </c:tx>
          <c:spPr>
            <a:pattFill prst="ltUpDiag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  <a:sp3d/>
          </c:spPr>
          <c:cat>
            <c:numRef>
              <c:f>Second_part!$L$12:$L$21</c:f>
              <c:numCache>
                <c:formatCode>0.00</c:formatCode>
                <c:ptCount val="10"/>
                <c:pt idx="0">
                  <c:v>110</c:v>
                </c:pt>
                <c:pt idx="1">
                  <c:v>117</c:v>
                </c:pt>
                <c:pt idx="2">
                  <c:v>118</c:v>
                </c:pt>
                <c:pt idx="3">
                  <c:v>119</c:v>
                </c:pt>
                <c:pt idx="4">
                  <c:v>120</c:v>
                </c:pt>
                <c:pt idx="5">
                  <c:v>121</c:v>
                </c:pt>
                <c:pt idx="6">
                  <c:v>125</c:v>
                </c:pt>
                <c:pt idx="7">
                  <c:v>129</c:v>
                </c:pt>
                <c:pt idx="8">
                  <c:v>130</c:v>
                </c:pt>
                <c:pt idx="9">
                  <c:v>135</c:v>
                </c:pt>
              </c:numCache>
            </c:numRef>
          </c:cat>
          <c:val>
            <c:numRef>
              <c:f>Second_part!$T$12:$T$21</c:f>
              <c:numCache>
                <c:formatCode>0.00%</c:formatCode>
                <c:ptCount val="10"/>
                <c:pt idx="0">
                  <c:v>0.50509999999999999</c:v>
                </c:pt>
                <c:pt idx="1">
                  <c:v>0.44969999999999999</c:v>
                </c:pt>
                <c:pt idx="2">
                  <c:v>0.41139999999999999</c:v>
                </c:pt>
                <c:pt idx="3">
                  <c:v>0.40989999999999999</c:v>
                </c:pt>
                <c:pt idx="4">
                  <c:v>0.37709999999999999</c:v>
                </c:pt>
                <c:pt idx="5">
                  <c:v>0.38650000000000001</c:v>
                </c:pt>
                <c:pt idx="6">
                  <c:v>0.3735</c:v>
                </c:pt>
                <c:pt idx="7">
                  <c:v>0.37059999999999998</c:v>
                </c:pt>
                <c:pt idx="8">
                  <c:v>0.37259999999999999</c:v>
                </c:pt>
                <c:pt idx="9">
                  <c:v>0.37790000000000001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50-43A4-81CB-691CC0173639}"/>
            </c:ext>
          </c:extLst>
        </c:ser>
        <c:ser>
          <c:idx val="1"/>
          <c:order val="1"/>
          <c:tx>
            <c:v>19-Aug</c:v>
          </c:tx>
          <c:spPr>
            <a:pattFill prst="ltUpDiag">
              <a:fgClr>
                <a:schemeClr val="accent2"/>
              </a:fgClr>
              <a:bgClr>
                <a:schemeClr val="accent2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2"/>
              </a:innerShdw>
            </a:effectLst>
            <a:sp3d/>
          </c:spPr>
          <c:cat>
            <c:numRef>
              <c:f>Second_part!$L$30:$L$45</c:f>
              <c:numCache>
                <c:formatCode>General</c:formatCode>
                <c:ptCount val="16"/>
                <c:pt idx="0">
                  <c:v>90</c:v>
                </c:pt>
                <c:pt idx="1">
                  <c:v>100</c:v>
                </c:pt>
                <c:pt idx="2">
                  <c:v>105</c:v>
                </c:pt>
                <c:pt idx="3">
                  <c:v>110</c:v>
                </c:pt>
                <c:pt idx="4">
                  <c:v>115</c:v>
                </c:pt>
                <c:pt idx="5">
                  <c:v>120</c:v>
                </c:pt>
                <c:pt idx="6">
                  <c:v>125</c:v>
                </c:pt>
                <c:pt idx="7">
                  <c:v>130</c:v>
                </c:pt>
                <c:pt idx="8">
                  <c:v>135</c:v>
                </c:pt>
                <c:pt idx="9">
                  <c:v>140</c:v>
                </c:pt>
                <c:pt idx="10">
                  <c:v>145</c:v>
                </c:pt>
                <c:pt idx="11">
                  <c:v>150</c:v>
                </c:pt>
                <c:pt idx="12">
                  <c:v>155</c:v>
                </c:pt>
                <c:pt idx="13">
                  <c:v>160</c:v>
                </c:pt>
                <c:pt idx="14">
                  <c:v>170</c:v>
                </c:pt>
                <c:pt idx="15">
                  <c:v>180</c:v>
                </c:pt>
              </c:numCache>
            </c:numRef>
          </c:cat>
          <c:val>
            <c:numRef>
              <c:f>Second_part!$T$30:$T$45</c:f>
              <c:numCache>
                <c:formatCode>0.00%</c:formatCode>
                <c:ptCount val="16"/>
                <c:pt idx="0">
                  <c:v>0.52280000000000004</c:v>
                </c:pt>
                <c:pt idx="1">
                  <c:v>0.43990000000000001</c:v>
                </c:pt>
                <c:pt idx="2">
                  <c:v>0.4138</c:v>
                </c:pt>
                <c:pt idx="3">
                  <c:v>0.38030000000000003</c:v>
                </c:pt>
                <c:pt idx="4">
                  <c:v>0.36870000000000003</c:v>
                </c:pt>
                <c:pt idx="5">
                  <c:v>0.34910000000000002</c:v>
                </c:pt>
                <c:pt idx="6">
                  <c:v>0.33460000000000001</c:v>
                </c:pt>
                <c:pt idx="7">
                  <c:v>0.32750000000000001</c:v>
                </c:pt>
                <c:pt idx="8">
                  <c:v>0.3216</c:v>
                </c:pt>
                <c:pt idx="9">
                  <c:v>0.31809999999999999</c:v>
                </c:pt>
                <c:pt idx="10">
                  <c:v>0.31519999999999998</c:v>
                </c:pt>
                <c:pt idx="11">
                  <c:v>0.31009999999999999</c:v>
                </c:pt>
                <c:pt idx="12">
                  <c:v>0.33300000000000002</c:v>
                </c:pt>
                <c:pt idx="13">
                  <c:v>0.3251</c:v>
                </c:pt>
                <c:pt idx="14">
                  <c:v>0.34520000000000001</c:v>
                </c:pt>
                <c:pt idx="15">
                  <c:v>0.36649999999999999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50-43A4-81CB-691CC0173639}"/>
            </c:ext>
          </c:extLst>
        </c:ser>
        <c:ser>
          <c:idx val="2"/>
          <c:order val="2"/>
          <c:tx>
            <c:v>18-Nov</c:v>
          </c:tx>
          <c:spPr>
            <a:pattFill prst="ltUpDiag">
              <a:fgClr>
                <a:schemeClr val="accent3"/>
              </a:fgClr>
              <a:bgClr>
                <a:schemeClr val="accent3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3"/>
              </a:innerShdw>
            </a:effectLst>
            <a:sp3d/>
          </c:spPr>
          <c:cat>
            <c:numRef>
              <c:f>Second_part!$L$55:$L$62</c:f>
              <c:numCache>
                <c:formatCode>General</c:formatCode>
                <c:ptCount val="8"/>
                <c:pt idx="0">
                  <c:v>105</c:v>
                </c:pt>
                <c:pt idx="1">
                  <c:v>110</c:v>
                </c:pt>
                <c:pt idx="2">
                  <c:v>115</c:v>
                </c:pt>
                <c:pt idx="3">
                  <c:v>120</c:v>
                </c:pt>
                <c:pt idx="4">
                  <c:v>130</c:v>
                </c:pt>
                <c:pt idx="5">
                  <c:v>135</c:v>
                </c:pt>
                <c:pt idx="6">
                  <c:v>140</c:v>
                </c:pt>
                <c:pt idx="7">
                  <c:v>150</c:v>
                </c:pt>
              </c:numCache>
            </c:numRef>
          </c:cat>
          <c:val>
            <c:numRef>
              <c:f>Second_part!$T$55:$T$62</c:f>
              <c:numCache>
                <c:formatCode>0.00%</c:formatCode>
                <c:ptCount val="8"/>
                <c:pt idx="0">
                  <c:v>0.42799999999999999</c:v>
                </c:pt>
                <c:pt idx="1">
                  <c:v>0.39319999999999999</c:v>
                </c:pt>
                <c:pt idx="2">
                  <c:v>0.3715</c:v>
                </c:pt>
                <c:pt idx="3">
                  <c:v>0.36009999999999998</c:v>
                </c:pt>
                <c:pt idx="4">
                  <c:v>0.33429999999999999</c:v>
                </c:pt>
                <c:pt idx="5">
                  <c:v>0.33550000000000002</c:v>
                </c:pt>
                <c:pt idx="6">
                  <c:v>0.32990000000000003</c:v>
                </c:pt>
                <c:pt idx="7">
                  <c:v>0.315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350-43A4-81CB-691CC0173639}"/>
            </c:ext>
          </c:extLst>
        </c:ser>
        <c:ser>
          <c:idx val="3"/>
          <c:order val="3"/>
          <c:tx>
            <c:v>20-Jan 2023</c:v>
          </c:tx>
          <c:spPr>
            <a:pattFill prst="ltUpDiag">
              <a:fgClr>
                <a:schemeClr val="accent4"/>
              </a:fgClr>
              <a:bgClr>
                <a:schemeClr val="accent4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4"/>
              </a:innerShdw>
            </a:effectLst>
            <a:sp3d/>
          </c:spPr>
          <c:cat>
            <c:numRef>
              <c:f>Second_part!$L$72:$L$100</c:f>
              <c:numCache>
                <c:formatCode>General</c:formatCode>
                <c:ptCount val="29"/>
                <c:pt idx="0">
                  <c:v>40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  <c:pt idx="21">
                  <c:v>155</c:v>
                </c:pt>
                <c:pt idx="22">
                  <c:v>160</c:v>
                </c:pt>
                <c:pt idx="23">
                  <c:v>165</c:v>
                </c:pt>
                <c:pt idx="24">
                  <c:v>170</c:v>
                </c:pt>
                <c:pt idx="25">
                  <c:v>180</c:v>
                </c:pt>
                <c:pt idx="26">
                  <c:v>185</c:v>
                </c:pt>
                <c:pt idx="27">
                  <c:v>190</c:v>
                </c:pt>
                <c:pt idx="28">
                  <c:v>195</c:v>
                </c:pt>
              </c:numCache>
            </c:numRef>
          </c:cat>
          <c:val>
            <c:numRef>
              <c:f>Second_part!$T$72:$T$100</c:f>
              <c:numCache>
                <c:formatCode>0.00%</c:formatCode>
                <c:ptCount val="29"/>
                <c:pt idx="0">
                  <c:v>0.67869999999999997</c:v>
                </c:pt>
                <c:pt idx="1">
                  <c:v>0.62519999999999998</c:v>
                </c:pt>
                <c:pt idx="2">
                  <c:v>0.52659999999999996</c:v>
                </c:pt>
                <c:pt idx="3">
                  <c:v>1.0176000000000001</c:v>
                </c:pt>
                <c:pt idx="4">
                  <c:v>0.58609999999999995</c:v>
                </c:pt>
                <c:pt idx="5">
                  <c:v>0.53710000000000002</c:v>
                </c:pt>
                <c:pt idx="6">
                  <c:v>0.50860000000000005</c:v>
                </c:pt>
                <c:pt idx="7">
                  <c:v>0.49049999999999999</c:v>
                </c:pt>
                <c:pt idx="8">
                  <c:v>0.48099999999999998</c:v>
                </c:pt>
                <c:pt idx="9">
                  <c:v>0.48220000000000002</c:v>
                </c:pt>
                <c:pt idx="10">
                  <c:v>0.43840000000000001</c:v>
                </c:pt>
                <c:pt idx="11">
                  <c:v>0.39979999999999999</c:v>
                </c:pt>
                <c:pt idx="12">
                  <c:v>0.39589999999999997</c:v>
                </c:pt>
                <c:pt idx="13">
                  <c:v>0.37159999999999999</c:v>
                </c:pt>
                <c:pt idx="14">
                  <c:v>0.3574</c:v>
                </c:pt>
                <c:pt idx="15">
                  <c:v>0.34489999999999998</c:v>
                </c:pt>
                <c:pt idx="16">
                  <c:v>0.33829999999999999</c:v>
                </c:pt>
                <c:pt idx="17">
                  <c:v>0.33069999999999999</c:v>
                </c:pt>
                <c:pt idx="18">
                  <c:v>0.32950000000000002</c:v>
                </c:pt>
                <c:pt idx="19">
                  <c:v>0.31530000000000002</c:v>
                </c:pt>
                <c:pt idx="20">
                  <c:v>0.31069999999999998</c:v>
                </c:pt>
                <c:pt idx="21">
                  <c:v>0.30659999999999998</c:v>
                </c:pt>
                <c:pt idx="22">
                  <c:v>0.30349999999999999</c:v>
                </c:pt>
                <c:pt idx="23">
                  <c:v>0.31019999999999998</c:v>
                </c:pt>
                <c:pt idx="24">
                  <c:v>0.312</c:v>
                </c:pt>
                <c:pt idx="25">
                  <c:v>0.42270000000000002</c:v>
                </c:pt>
                <c:pt idx="26">
                  <c:v>0.42349999999999999</c:v>
                </c:pt>
                <c:pt idx="27">
                  <c:v>0.3286</c:v>
                </c:pt>
                <c:pt idx="28">
                  <c:v>0.40529999999999999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350-43A4-81CB-691CC0173639}"/>
            </c:ext>
          </c:extLst>
        </c:ser>
        <c:ser>
          <c:idx val="4"/>
          <c:order val="4"/>
          <c:tx>
            <c:v>19-Jan-24</c:v>
          </c:tx>
          <c:spPr>
            <a:pattFill prst="ltUpDiag">
              <a:fgClr>
                <a:schemeClr val="accent5"/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5"/>
              </a:innerShdw>
            </a:effectLst>
            <a:sp3d/>
          </c:spPr>
          <c:cat>
            <c:numRef>
              <c:f>Second_part!$L$106:$L$129</c:f>
              <c:numCache>
                <c:formatCode>General</c:formatCode>
                <c:ptCount val="24"/>
                <c:pt idx="0">
                  <c:v>55</c:v>
                </c:pt>
                <c:pt idx="1">
                  <c:v>60</c:v>
                </c:pt>
                <c:pt idx="2">
                  <c:v>75</c:v>
                </c:pt>
                <c:pt idx="3">
                  <c:v>85</c:v>
                </c:pt>
                <c:pt idx="4">
                  <c:v>95</c:v>
                </c:pt>
                <c:pt idx="5">
                  <c:v>100</c:v>
                </c:pt>
                <c:pt idx="6">
                  <c:v>105</c:v>
                </c:pt>
                <c:pt idx="7">
                  <c:v>110</c:v>
                </c:pt>
                <c:pt idx="8">
                  <c:v>115</c:v>
                </c:pt>
                <c:pt idx="9">
                  <c:v>120</c:v>
                </c:pt>
                <c:pt idx="10">
                  <c:v>125</c:v>
                </c:pt>
                <c:pt idx="11">
                  <c:v>130</c:v>
                </c:pt>
                <c:pt idx="12">
                  <c:v>135</c:v>
                </c:pt>
                <c:pt idx="13">
                  <c:v>140</c:v>
                </c:pt>
                <c:pt idx="14">
                  <c:v>145</c:v>
                </c:pt>
                <c:pt idx="15">
                  <c:v>150</c:v>
                </c:pt>
                <c:pt idx="16">
                  <c:v>155</c:v>
                </c:pt>
                <c:pt idx="17">
                  <c:v>160</c:v>
                </c:pt>
                <c:pt idx="18">
                  <c:v>165</c:v>
                </c:pt>
                <c:pt idx="19">
                  <c:v>170</c:v>
                </c:pt>
                <c:pt idx="20">
                  <c:v>180</c:v>
                </c:pt>
                <c:pt idx="21">
                  <c:v>185</c:v>
                </c:pt>
                <c:pt idx="22">
                  <c:v>190</c:v>
                </c:pt>
                <c:pt idx="23">
                  <c:v>195</c:v>
                </c:pt>
              </c:numCache>
            </c:numRef>
          </c:cat>
          <c:val>
            <c:numRef>
              <c:f>Second_part!$T$106:$T$129</c:f>
              <c:numCache>
                <c:formatCode>0.00%</c:formatCode>
                <c:ptCount val="24"/>
                <c:pt idx="0">
                  <c:v>0.58979999999999999</c:v>
                </c:pt>
                <c:pt idx="1">
                  <c:v>0.30080000000000001</c:v>
                </c:pt>
                <c:pt idx="2">
                  <c:v>0.21629999999999999</c:v>
                </c:pt>
                <c:pt idx="3">
                  <c:v>0.4829</c:v>
                </c:pt>
                <c:pt idx="4">
                  <c:v>0.46489999999999998</c:v>
                </c:pt>
                <c:pt idx="5">
                  <c:v>0.43859999999999999</c:v>
                </c:pt>
                <c:pt idx="6">
                  <c:v>0.42799999999999999</c:v>
                </c:pt>
                <c:pt idx="7">
                  <c:v>0.38469999999999999</c:v>
                </c:pt>
                <c:pt idx="8">
                  <c:v>0.37159999999999999</c:v>
                </c:pt>
                <c:pt idx="9">
                  <c:v>0.36609999999999998</c:v>
                </c:pt>
                <c:pt idx="10">
                  <c:v>0.38019999999999998</c:v>
                </c:pt>
                <c:pt idx="11">
                  <c:v>0.36520000000000002</c:v>
                </c:pt>
                <c:pt idx="12">
                  <c:v>0.36830000000000002</c:v>
                </c:pt>
                <c:pt idx="13">
                  <c:v>0.33689999999999998</c:v>
                </c:pt>
                <c:pt idx="14">
                  <c:v>0.26619999999999999</c:v>
                </c:pt>
                <c:pt idx="15">
                  <c:v>0.34970000000000001</c:v>
                </c:pt>
                <c:pt idx="16">
                  <c:v>0.2908</c:v>
                </c:pt>
                <c:pt idx="17">
                  <c:v>0.34289999999999998</c:v>
                </c:pt>
                <c:pt idx="18">
                  <c:v>0.34420000000000001</c:v>
                </c:pt>
                <c:pt idx="19">
                  <c:v>0.31219999999999998</c:v>
                </c:pt>
                <c:pt idx="20">
                  <c:v>0.26069999999999999</c:v>
                </c:pt>
                <c:pt idx="21">
                  <c:v>0.31890000000000002</c:v>
                </c:pt>
                <c:pt idx="22">
                  <c:v>0.26779999999999998</c:v>
                </c:pt>
                <c:pt idx="23">
                  <c:v>0.31319999999999998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350-43A4-81CB-691CC0173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5938992"/>
        <c:axId val="2045939408"/>
        <c:axId val="93550384"/>
      </c:area3DChart>
      <c:catAx>
        <c:axId val="2045938992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Strikes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out"/>
        <c:tickLblPos val="nextTo"/>
        <c:crossAx val="2045939408"/>
        <c:crosses val="autoZero"/>
        <c:auto val="1"/>
        <c:lblAlgn val="ctr"/>
        <c:lblOffset val="100"/>
        <c:noMultiLvlLbl val="0"/>
      </c:catAx>
      <c:valAx>
        <c:axId val="204593940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implied volatility</a:t>
                </a:r>
              </a:p>
            </c:rich>
          </c:tx>
          <c:layout>
            <c:manualLayout>
              <c:xMode val="edge"/>
              <c:yMode val="edge"/>
              <c:x val="0.94816441871717971"/>
              <c:y val="0.378547090285138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5938992"/>
        <c:crosses val="autoZero"/>
        <c:crossBetween val="midCat"/>
      </c:valAx>
      <c:serAx>
        <c:axId val="93550384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maturity</a:t>
                </a:r>
              </a:p>
            </c:rich>
          </c:tx>
          <c:layout>
            <c:manualLayout>
              <c:xMode val="edge"/>
              <c:yMode val="edge"/>
              <c:x val="6.3188261578555144E-2"/>
              <c:y val="0.6847307369544087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out"/>
        <c:minorTickMark val="out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5939408"/>
        <c:crosses val="autoZero"/>
      </c:ser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1.8734888548892381E-2"/>
          <c:y val="8.5690357358887109E-2"/>
          <c:w val="8.3325735766437259E-2"/>
          <c:h val="0.18140929306801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lt1">
          <a:lumMod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cap="all" baseline="0">
                <a:effectLst/>
              </a:rPr>
              <a:t>Implied volatility of different maturity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60"/>
      <c:depthPercent val="100"/>
      <c:rAngAx val="0"/>
    </c:view3D>
    <c:floor>
      <c:thickness val="0"/>
      <c:spPr>
        <a:solidFill>
          <a:schemeClr val="lt1"/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3042363525714579"/>
          <c:y val="9.171866203164529E-2"/>
          <c:w val="0.76546709197906493"/>
          <c:h val="0.79982095864056679"/>
        </c:manualLayout>
      </c:layout>
      <c:area3DChart>
        <c:grouping val="standard"/>
        <c:varyColors val="0"/>
        <c:ser>
          <c:idx val="0"/>
          <c:order val="0"/>
          <c:tx>
            <c:v>6-May</c:v>
          </c:tx>
          <c:spPr>
            <a:pattFill prst="ltUpDiag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  <a:sp3d/>
          </c:spPr>
          <c:cat>
            <c:numRef>
              <c:f>Second_part!$L$12:$L$21</c:f>
              <c:numCache>
                <c:formatCode>0.00</c:formatCode>
                <c:ptCount val="10"/>
                <c:pt idx="0">
                  <c:v>110</c:v>
                </c:pt>
                <c:pt idx="1">
                  <c:v>117</c:v>
                </c:pt>
                <c:pt idx="2">
                  <c:v>118</c:v>
                </c:pt>
                <c:pt idx="3">
                  <c:v>119</c:v>
                </c:pt>
                <c:pt idx="4">
                  <c:v>120</c:v>
                </c:pt>
                <c:pt idx="5">
                  <c:v>121</c:v>
                </c:pt>
                <c:pt idx="6">
                  <c:v>125</c:v>
                </c:pt>
                <c:pt idx="7">
                  <c:v>129</c:v>
                </c:pt>
                <c:pt idx="8">
                  <c:v>130</c:v>
                </c:pt>
                <c:pt idx="9">
                  <c:v>135</c:v>
                </c:pt>
              </c:numCache>
            </c:numRef>
          </c:cat>
          <c:val>
            <c:numRef>
              <c:f>Second_part!$T$12:$T$21</c:f>
              <c:numCache>
                <c:formatCode>0.00%</c:formatCode>
                <c:ptCount val="10"/>
                <c:pt idx="0">
                  <c:v>0.50509999999999999</c:v>
                </c:pt>
                <c:pt idx="1">
                  <c:v>0.44969999999999999</c:v>
                </c:pt>
                <c:pt idx="2">
                  <c:v>0.41139999999999999</c:v>
                </c:pt>
                <c:pt idx="3">
                  <c:v>0.40989999999999999</c:v>
                </c:pt>
                <c:pt idx="4">
                  <c:v>0.37709999999999999</c:v>
                </c:pt>
                <c:pt idx="5">
                  <c:v>0.38650000000000001</c:v>
                </c:pt>
                <c:pt idx="6">
                  <c:v>0.3735</c:v>
                </c:pt>
                <c:pt idx="7">
                  <c:v>0.37059999999999998</c:v>
                </c:pt>
                <c:pt idx="8">
                  <c:v>0.37259999999999999</c:v>
                </c:pt>
                <c:pt idx="9">
                  <c:v>0.37790000000000001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AF-40FE-9677-21253A3301E2}"/>
            </c:ext>
          </c:extLst>
        </c:ser>
        <c:ser>
          <c:idx val="1"/>
          <c:order val="1"/>
          <c:tx>
            <c:v>19-Aug</c:v>
          </c:tx>
          <c:spPr>
            <a:pattFill prst="ltUpDiag">
              <a:fgClr>
                <a:schemeClr val="accent2"/>
              </a:fgClr>
              <a:bgClr>
                <a:schemeClr val="accent2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2"/>
              </a:innerShdw>
            </a:effectLst>
            <a:sp3d/>
          </c:spPr>
          <c:cat>
            <c:numRef>
              <c:f>Second_part!$L$30:$L$45</c:f>
              <c:numCache>
                <c:formatCode>General</c:formatCode>
                <c:ptCount val="16"/>
                <c:pt idx="0">
                  <c:v>90</c:v>
                </c:pt>
                <c:pt idx="1">
                  <c:v>100</c:v>
                </c:pt>
                <c:pt idx="2">
                  <c:v>105</c:v>
                </c:pt>
                <c:pt idx="3">
                  <c:v>110</c:v>
                </c:pt>
                <c:pt idx="4">
                  <c:v>115</c:v>
                </c:pt>
                <c:pt idx="5">
                  <c:v>120</c:v>
                </c:pt>
                <c:pt idx="6">
                  <c:v>125</c:v>
                </c:pt>
                <c:pt idx="7">
                  <c:v>130</c:v>
                </c:pt>
                <c:pt idx="8">
                  <c:v>135</c:v>
                </c:pt>
                <c:pt idx="9">
                  <c:v>140</c:v>
                </c:pt>
                <c:pt idx="10">
                  <c:v>145</c:v>
                </c:pt>
                <c:pt idx="11">
                  <c:v>150</c:v>
                </c:pt>
                <c:pt idx="12">
                  <c:v>155</c:v>
                </c:pt>
                <c:pt idx="13">
                  <c:v>160</c:v>
                </c:pt>
                <c:pt idx="14">
                  <c:v>170</c:v>
                </c:pt>
                <c:pt idx="15">
                  <c:v>180</c:v>
                </c:pt>
              </c:numCache>
            </c:numRef>
          </c:cat>
          <c:val>
            <c:numRef>
              <c:f>Second_part!$T$30:$T$45</c:f>
              <c:numCache>
                <c:formatCode>0.00%</c:formatCode>
                <c:ptCount val="16"/>
                <c:pt idx="0">
                  <c:v>0.52280000000000004</c:v>
                </c:pt>
                <c:pt idx="1">
                  <c:v>0.43990000000000001</c:v>
                </c:pt>
                <c:pt idx="2">
                  <c:v>0.4138</c:v>
                </c:pt>
                <c:pt idx="3">
                  <c:v>0.38030000000000003</c:v>
                </c:pt>
                <c:pt idx="4">
                  <c:v>0.36870000000000003</c:v>
                </c:pt>
                <c:pt idx="5">
                  <c:v>0.34910000000000002</c:v>
                </c:pt>
                <c:pt idx="6">
                  <c:v>0.33460000000000001</c:v>
                </c:pt>
                <c:pt idx="7">
                  <c:v>0.32750000000000001</c:v>
                </c:pt>
                <c:pt idx="8">
                  <c:v>0.3216</c:v>
                </c:pt>
                <c:pt idx="9">
                  <c:v>0.31809999999999999</c:v>
                </c:pt>
                <c:pt idx="10">
                  <c:v>0.31519999999999998</c:v>
                </c:pt>
                <c:pt idx="11">
                  <c:v>0.31009999999999999</c:v>
                </c:pt>
                <c:pt idx="12">
                  <c:v>0.33300000000000002</c:v>
                </c:pt>
                <c:pt idx="13">
                  <c:v>0.3251</c:v>
                </c:pt>
                <c:pt idx="14">
                  <c:v>0.34520000000000001</c:v>
                </c:pt>
                <c:pt idx="15">
                  <c:v>0.36649999999999999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AF-40FE-9677-21253A3301E2}"/>
            </c:ext>
          </c:extLst>
        </c:ser>
        <c:ser>
          <c:idx val="2"/>
          <c:order val="2"/>
          <c:tx>
            <c:v>18-Nov</c:v>
          </c:tx>
          <c:spPr>
            <a:pattFill prst="ltUpDiag">
              <a:fgClr>
                <a:schemeClr val="accent3"/>
              </a:fgClr>
              <a:bgClr>
                <a:schemeClr val="accent3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3"/>
              </a:innerShdw>
            </a:effectLst>
            <a:sp3d/>
          </c:spPr>
          <c:cat>
            <c:numRef>
              <c:f>Second_part!$L$55:$L$62</c:f>
              <c:numCache>
                <c:formatCode>General</c:formatCode>
                <c:ptCount val="8"/>
                <c:pt idx="0">
                  <c:v>105</c:v>
                </c:pt>
                <c:pt idx="1">
                  <c:v>110</c:v>
                </c:pt>
                <c:pt idx="2">
                  <c:v>115</c:v>
                </c:pt>
                <c:pt idx="3">
                  <c:v>120</c:v>
                </c:pt>
                <c:pt idx="4">
                  <c:v>130</c:v>
                </c:pt>
                <c:pt idx="5">
                  <c:v>135</c:v>
                </c:pt>
                <c:pt idx="6">
                  <c:v>140</c:v>
                </c:pt>
                <c:pt idx="7">
                  <c:v>150</c:v>
                </c:pt>
              </c:numCache>
            </c:numRef>
          </c:cat>
          <c:val>
            <c:numRef>
              <c:f>Second_part!$T$55:$T$62</c:f>
              <c:numCache>
                <c:formatCode>0.00%</c:formatCode>
                <c:ptCount val="8"/>
                <c:pt idx="0">
                  <c:v>0.42799999999999999</c:v>
                </c:pt>
                <c:pt idx="1">
                  <c:v>0.39319999999999999</c:v>
                </c:pt>
                <c:pt idx="2">
                  <c:v>0.3715</c:v>
                </c:pt>
                <c:pt idx="3">
                  <c:v>0.36009999999999998</c:v>
                </c:pt>
                <c:pt idx="4">
                  <c:v>0.33429999999999999</c:v>
                </c:pt>
                <c:pt idx="5">
                  <c:v>0.33550000000000002</c:v>
                </c:pt>
                <c:pt idx="6">
                  <c:v>0.32990000000000003</c:v>
                </c:pt>
                <c:pt idx="7">
                  <c:v>0.315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6AF-40FE-9677-21253A3301E2}"/>
            </c:ext>
          </c:extLst>
        </c:ser>
        <c:ser>
          <c:idx val="3"/>
          <c:order val="3"/>
          <c:tx>
            <c:v>20-Jan 2023</c:v>
          </c:tx>
          <c:spPr>
            <a:pattFill prst="ltUpDiag">
              <a:fgClr>
                <a:schemeClr val="accent4"/>
              </a:fgClr>
              <a:bgClr>
                <a:schemeClr val="accent4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4"/>
              </a:innerShdw>
            </a:effectLst>
            <a:sp3d/>
          </c:spPr>
          <c:cat>
            <c:numRef>
              <c:f>Second_part!$L$72:$L$100</c:f>
              <c:numCache>
                <c:formatCode>General</c:formatCode>
                <c:ptCount val="29"/>
                <c:pt idx="0">
                  <c:v>40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  <c:pt idx="21">
                  <c:v>155</c:v>
                </c:pt>
                <c:pt idx="22">
                  <c:v>160</c:v>
                </c:pt>
                <c:pt idx="23">
                  <c:v>165</c:v>
                </c:pt>
                <c:pt idx="24">
                  <c:v>170</c:v>
                </c:pt>
                <c:pt idx="25">
                  <c:v>180</c:v>
                </c:pt>
                <c:pt idx="26">
                  <c:v>185</c:v>
                </c:pt>
                <c:pt idx="27">
                  <c:v>190</c:v>
                </c:pt>
                <c:pt idx="28">
                  <c:v>195</c:v>
                </c:pt>
              </c:numCache>
            </c:numRef>
          </c:cat>
          <c:val>
            <c:numRef>
              <c:f>Second_part!$T$72:$T$100</c:f>
              <c:numCache>
                <c:formatCode>0.00%</c:formatCode>
                <c:ptCount val="29"/>
                <c:pt idx="0">
                  <c:v>0.67869999999999997</c:v>
                </c:pt>
                <c:pt idx="1">
                  <c:v>0.62519999999999998</c:v>
                </c:pt>
                <c:pt idx="2">
                  <c:v>0.52659999999999996</c:v>
                </c:pt>
                <c:pt idx="3">
                  <c:v>1.0176000000000001</c:v>
                </c:pt>
                <c:pt idx="4">
                  <c:v>0.58609999999999995</c:v>
                </c:pt>
                <c:pt idx="5">
                  <c:v>0.53710000000000002</c:v>
                </c:pt>
                <c:pt idx="6">
                  <c:v>0.50860000000000005</c:v>
                </c:pt>
                <c:pt idx="7">
                  <c:v>0.49049999999999999</c:v>
                </c:pt>
                <c:pt idx="8">
                  <c:v>0.48099999999999998</c:v>
                </c:pt>
                <c:pt idx="9">
                  <c:v>0.48220000000000002</c:v>
                </c:pt>
                <c:pt idx="10">
                  <c:v>0.43840000000000001</c:v>
                </c:pt>
                <c:pt idx="11">
                  <c:v>0.39979999999999999</c:v>
                </c:pt>
                <c:pt idx="12">
                  <c:v>0.39589999999999997</c:v>
                </c:pt>
                <c:pt idx="13">
                  <c:v>0.37159999999999999</c:v>
                </c:pt>
                <c:pt idx="14">
                  <c:v>0.3574</c:v>
                </c:pt>
                <c:pt idx="15">
                  <c:v>0.34489999999999998</c:v>
                </c:pt>
                <c:pt idx="16">
                  <c:v>0.33829999999999999</c:v>
                </c:pt>
                <c:pt idx="17">
                  <c:v>0.33069999999999999</c:v>
                </c:pt>
                <c:pt idx="18">
                  <c:v>0.32950000000000002</c:v>
                </c:pt>
                <c:pt idx="19">
                  <c:v>0.31530000000000002</c:v>
                </c:pt>
                <c:pt idx="20">
                  <c:v>0.31069999999999998</c:v>
                </c:pt>
                <c:pt idx="21">
                  <c:v>0.30659999999999998</c:v>
                </c:pt>
                <c:pt idx="22">
                  <c:v>0.30349999999999999</c:v>
                </c:pt>
                <c:pt idx="23">
                  <c:v>0.31019999999999998</c:v>
                </c:pt>
                <c:pt idx="24">
                  <c:v>0.312</c:v>
                </c:pt>
                <c:pt idx="25">
                  <c:v>0.42270000000000002</c:v>
                </c:pt>
                <c:pt idx="26">
                  <c:v>0.42349999999999999</c:v>
                </c:pt>
                <c:pt idx="27">
                  <c:v>0.3286</c:v>
                </c:pt>
                <c:pt idx="28">
                  <c:v>0.40529999999999999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6AF-40FE-9677-21253A3301E2}"/>
            </c:ext>
          </c:extLst>
        </c:ser>
        <c:ser>
          <c:idx val="4"/>
          <c:order val="4"/>
          <c:tx>
            <c:v>19-Jan-24</c:v>
          </c:tx>
          <c:spPr>
            <a:pattFill prst="ltUpDiag">
              <a:fgClr>
                <a:schemeClr val="accent5"/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5"/>
              </a:innerShdw>
            </a:effectLst>
            <a:sp3d/>
          </c:spPr>
          <c:cat>
            <c:numRef>
              <c:f>Second_part!$L$106:$L$129</c:f>
              <c:numCache>
                <c:formatCode>General</c:formatCode>
                <c:ptCount val="24"/>
                <c:pt idx="0">
                  <c:v>55</c:v>
                </c:pt>
                <c:pt idx="1">
                  <c:v>60</c:v>
                </c:pt>
                <c:pt idx="2">
                  <c:v>75</c:v>
                </c:pt>
                <c:pt idx="3">
                  <c:v>85</c:v>
                </c:pt>
                <c:pt idx="4">
                  <c:v>95</c:v>
                </c:pt>
                <c:pt idx="5">
                  <c:v>100</c:v>
                </c:pt>
                <c:pt idx="6">
                  <c:v>105</c:v>
                </c:pt>
                <c:pt idx="7">
                  <c:v>110</c:v>
                </c:pt>
                <c:pt idx="8">
                  <c:v>115</c:v>
                </c:pt>
                <c:pt idx="9">
                  <c:v>120</c:v>
                </c:pt>
                <c:pt idx="10">
                  <c:v>125</c:v>
                </c:pt>
                <c:pt idx="11">
                  <c:v>130</c:v>
                </c:pt>
                <c:pt idx="12">
                  <c:v>135</c:v>
                </c:pt>
                <c:pt idx="13">
                  <c:v>140</c:v>
                </c:pt>
                <c:pt idx="14">
                  <c:v>145</c:v>
                </c:pt>
                <c:pt idx="15">
                  <c:v>150</c:v>
                </c:pt>
                <c:pt idx="16">
                  <c:v>155</c:v>
                </c:pt>
                <c:pt idx="17">
                  <c:v>160</c:v>
                </c:pt>
                <c:pt idx="18">
                  <c:v>165</c:v>
                </c:pt>
                <c:pt idx="19">
                  <c:v>170</c:v>
                </c:pt>
                <c:pt idx="20">
                  <c:v>180</c:v>
                </c:pt>
                <c:pt idx="21">
                  <c:v>185</c:v>
                </c:pt>
                <c:pt idx="22">
                  <c:v>190</c:v>
                </c:pt>
                <c:pt idx="23">
                  <c:v>195</c:v>
                </c:pt>
              </c:numCache>
            </c:numRef>
          </c:cat>
          <c:val>
            <c:numRef>
              <c:f>Second_part!$T$106:$T$129</c:f>
              <c:numCache>
                <c:formatCode>0.00%</c:formatCode>
                <c:ptCount val="24"/>
                <c:pt idx="0">
                  <c:v>0.58979999999999999</c:v>
                </c:pt>
                <c:pt idx="1">
                  <c:v>0.30080000000000001</c:v>
                </c:pt>
                <c:pt idx="2">
                  <c:v>0.21629999999999999</c:v>
                </c:pt>
                <c:pt idx="3">
                  <c:v>0.4829</c:v>
                </c:pt>
                <c:pt idx="4">
                  <c:v>0.46489999999999998</c:v>
                </c:pt>
                <c:pt idx="5">
                  <c:v>0.43859999999999999</c:v>
                </c:pt>
                <c:pt idx="6">
                  <c:v>0.42799999999999999</c:v>
                </c:pt>
                <c:pt idx="7">
                  <c:v>0.38469999999999999</c:v>
                </c:pt>
                <c:pt idx="8">
                  <c:v>0.37159999999999999</c:v>
                </c:pt>
                <c:pt idx="9">
                  <c:v>0.36609999999999998</c:v>
                </c:pt>
                <c:pt idx="10">
                  <c:v>0.38019999999999998</c:v>
                </c:pt>
                <c:pt idx="11">
                  <c:v>0.36520000000000002</c:v>
                </c:pt>
                <c:pt idx="12">
                  <c:v>0.36830000000000002</c:v>
                </c:pt>
                <c:pt idx="13">
                  <c:v>0.33689999999999998</c:v>
                </c:pt>
                <c:pt idx="14">
                  <c:v>0.26619999999999999</c:v>
                </c:pt>
                <c:pt idx="15">
                  <c:v>0.34970000000000001</c:v>
                </c:pt>
                <c:pt idx="16">
                  <c:v>0.2908</c:v>
                </c:pt>
                <c:pt idx="17">
                  <c:v>0.34289999999999998</c:v>
                </c:pt>
                <c:pt idx="18">
                  <c:v>0.34420000000000001</c:v>
                </c:pt>
                <c:pt idx="19">
                  <c:v>0.31219999999999998</c:v>
                </c:pt>
                <c:pt idx="20">
                  <c:v>0.26069999999999999</c:v>
                </c:pt>
                <c:pt idx="21">
                  <c:v>0.31890000000000002</c:v>
                </c:pt>
                <c:pt idx="22">
                  <c:v>0.26779999999999998</c:v>
                </c:pt>
                <c:pt idx="23">
                  <c:v>0.31319999999999998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6AF-40FE-9677-21253A3301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5938992"/>
        <c:axId val="2045939408"/>
        <c:axId val="93550384"/>
      </c:area3DChart>
      <c:catAx>
        <c:axId val="2045938992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Strikes</a:t>
                </a:r>
              </a:p>
            </c:rich>
          </c:tx>
          <c:layout>
            <c:manualLayout>
              <c:xMode val="edge"/>
              <c:yMode val="edge"/>
              <c:x val="0.36373549434768387"/>
              <c:y val="0.7189460359960920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out"/>
        <c:tickLblPos val="nextTo"/>
        <c:crossAx val="2045939408"/>
        <c:crosses val="autoZero"/>
        <c:auto val="1"/>
        <c:lblAlgn val="ctr"/>
        <c:lblOffset val="100"/>
        <c:noMultiLvlLbl val="0"/>
      </c:catAx>
      <c:valAx>
        <c:axId val="2045939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implied volatility</a:t>
                </a:r>
              </a:p>
            </c:rich>
          </c:tx>
          <c:layout>
            <c:manualLayout>
              <c:xMode val="edge"/>
              <c:yMode val="edge"/>
              <c:x val="0.1350149840801331"/>
              <c:y val="0.264595976345705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5938992"/>
        <c:crosses val="autoZero"/>
        <c:crossBetween val="midCat"/>
      </c:valAx>
      <c:serAx>
        <c:axId val="93550384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maturity</a:t>
                </a:r>
              </a:p>
            </c:rich>
          </c:tx>
          <c:layout>
            <c:manualLayout>
              <c:xMode val="edge"/>
              <c:yMode val="edge"/>
              <c:x val="0.74706778609381486"/>
              <c:y val="0.8911327546560229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out"/>
        <c:minorTickMark val="out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5939408"/>
        <c:crosses val="autoZero"/>
      </c:ser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1.8734888548892381E-2"/>
          <c:y val="8.5690357358887109E-2"/>
          <c:w val="8.3325735766437259E-2"/>
          <c:h val="0.18140929306801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lt1">
          <a:lumMod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Comparison of Historical and</a:t>
            </a:r>
            <a:r>
              <a:rPr lang="en-US" baseline="0"/>
              <a:t> Implied Volatility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Historical Volatility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Third_part!$N$9:$N$13</c:f>
              <c:numCache>
                <c:formatCode>d\-mmm\-yy</c:formatCode>
                <c:ptCount val="5"/>
                <c:pt idx="0">
                  <c:v>44687</c:v>
                </c:pt>
                <c:pt idx="1">
                  <c:v>44792</c:v>
                </c:pt>
                <c:pt idx="2">
                  <c:v>44883</c:v>
                </c:pt>
                <c:pt idx="3">
                  <c:v>44946</c:v>
                </c:pt>
                <c:pt idx="4">
                  <c:v>45310</c:v>
                </c:pt>
              </c:numCache>
            </c:numRef>
          </c:xVal>
          <c:yVal>
            <c:numRef>
              <c:f>Third_part!$S$9:$S$13</c:f>
              <c:numCache>
                <c:formatCode>General</c:formatCode>
                <c:ptCount val="5"/>
                <c:pt idx="0">
                  <c:v>0.43106580138388567</c:v>
                </c:pt>
                <c:pt idx="1">
                  <c:v>0.36013095775697018</c:v>
                </c:pt>
                <c:pt idx="2">
                  <c:v>0.31616776299782096</c:v>
                </c:pt>
                <c:pt idx="3">
                  <c:v>0.29535286319026305</c:v>
                </c:pt>
                <c:pt idx="4">
                  <c:v>0.28211189258942626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D56-497C-B6ED-4B0234B44082}"/>
            </c:ext>
          </c:extLst>
        </c:ser>
        <c:ser>
          <c:idx val="2"/>
          <c:order val="2"/>
          <c:tx>
            <c:v>Implied Volatility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Third_part!$N$9:$N$13</c:f>
              <c:numCache>
                <c:formatCode>d\-mmm\-yy</c:formatCode>
                <c:ptCount val="5"/>
                <c:pt idx="0">
                  <c:v>44687</c:v>
                </c:pt>
                <c:pt idx="1">
                  <c:v>44792</c:v>
                </c:pt>
                <c:pt idx="2">
                  <c:v>44883</c:v>
                </c:pt>
                <c:pt idx="3">
                  <c:v>44946</c:v>
                </c:pt>
                <c:pt idx="4">
                  <c:v>45310</c:v>
                </c:pt>
              </c:numCache>
            </c:numRef>
          </c:xVal>
          <c:yVal>
            <c:numRef>
              <c:f>Third_part!$W$9:$W$13</c:f>
              <c:numCache>
                <c:formatCode>General</c:formatCode>
                <c:ptCount val="5"/>
                <c:pt idx="0">
                  <c:v>0.38650000000000001</c:v>
                </c:pt>
                <c:pt idx="1">
                  <c:v>0.34909999999999997</c:v>
                </c:pt>
                <c:pt idx="2">
                  <c:v>0.36009999999999998</c:v>
                </c:pt>
                <c:pt idx="3">
                  <c:v>0.3574</c:v>
                </c:pt>
                <c:pt idx="4">
                  <c:v>0.36609999999999998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D56-497C-B6ED-4B0234B440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8605231"/>
        <c:axId val="378604815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Third_part!$N$9:$N$13</c15:sqref>
                        </c15:formulaRef>
                      </c:ext>
                    </c:extLst>
                    <c:numCache>
                      <c:formatCode>d\-mmm\-yy</c:formatCode>
                      <c:ptCount val="5"/>
                      <c:pt idx="0">
                        <c:v>44687</c:v>
                      </c:pt>
                      <c:pt idx="1">
                        <c:v>44792</c:v>
                      </c:pt>
                      <c:pt idx="2">
                        <c:v>44883</c:v>
                      </c:pt>
                      <c:pt idx="3">
                        <c:v>44946</c:v>
                      </c:pt>
                      <c:pt idx="4">
                        <c:v>45310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Third_part!$T$9:$T$13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7D56-497C-B6ED-4B0234B44082}"/>
                  </c:ext>
                </c:extLst>
              </c15:ser>
            </c15:filteredScatterSeries>
          </c:ext>
        </c:extLst>
      </c:scatterChart>
      <c:valAx>
        <c:axId val="37860523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Maturity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604815"/>
        <c:crosses val="autoZero"/>
        <c:crossBetween val="midCat"/>
      </c:valAx>
      <c:valAx>
        <c:axId val="378604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Volatiliy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6052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313">
  <cs:axisTitle>
    <cs:lnRef idx="0"/>
    <cs:fillRef idx="0"/>
    <cs:effectRef idx="0"/>
    <cs:fontRef idx="minor">
      <a:schemeClr val="dk1">
        <a:lumMod val="50000"/>
        <a:lumOff val="50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cap="all" spc="12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lt1">
            <a:lumMod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/>
      </a:solidFill>
      <a:sp3d/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lt1">
            <a:lumMod val="85000"/>
          </a:schemeClr>
        </a:solidFill>
      </a:ln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50000"/>
        <a:lumOff val="50000"/>
      </a:schemeClr>
    </cs:fontRef>
    <cs:spPr>
      <a:ln w="6350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313">
  <cs:axisTitle>
    <cs:lnRef idx="0"/>
    <cs:fillRef idx="0"/>
    <cs:effectRef idx="0"/>
    <cs:fontRef idx="minor">
      <a:schemeClr val="dk1">
        <a:lumMod val="50000"/>
        <a:lumOff val="50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cap="all" spc="12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lt1">
            <a:lumMod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/>
      </a:solidFill>
      <a:sp3d/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lt1">
            <a:lumMod val="85000"/>
          </a:schemeClr>
        </a:solidFill>
      </a:ln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50000"/>
        <a:lumOff val="50000"/>
      </a:schemeClr>
    </cs:fontRef>
    <cs:spPr>
      <a:ln w="6350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313">
  <cs:axisTitle>
    <cs:lnRef idx="0"/>
    <cs:fillRef idx="0"/>
    <cs:effectRef idx="0"/>
    <cs:fontRef idx="minor">
      <a:schemeClr val="dk1">
        <a:lumMod val="50000"/>
        <a:lumOff val="50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cap="all" spc="12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lt1">
            <a:lumMod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/>
      </a:solidFill>
      <a:sp3d/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lt1">
            <a:lumMod val="85000"/>
          </a:schemeClr>
        </a:solidFill>
      </a:ln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50000"/>
        <a:lumOff val="50000"/>
      </a:schemeClr>
    </cs:fontRef>
    <cs:spPr>
      <a:ln w="6350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6" Type="http://schemas.openxmlformats.org/officeDocument/2006/relationships/chart" Target="../charts/chart28.xml"/><Relationship Id="rId5" Type="http://schemas.openxmlformats.org/officeDocument/2006/relationships/chart" Target="../charts/chart27.xml"/><Relationship Id="rId4" Type="http://schemas.openxmlformats.org/officeDocument/2006/relationships/chart" Target="../charts/chart26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8.xml"/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1.xml"/><Relationship Id="rId2" Type="http://schemas.openxmlformats.org/officeDocument/2006/relationships/chart" Target="../charts/chart40.xml"/><Relationship Id="rId1" Type="http://schemas.openxmlformats.org/officeDocument/2006/relationships/chart" Target="../charts/chart39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2.xml"/><Relationship Id="rId3" Type="http://schemas.openxmlformats.org/officeDocument/2006/relationships/chart" Target="../charts/chart47.xml"/><Relationship Id="rId7" Type="http://schemas.openxmlformats.org/officeDocument/2006/relationships/chart" Target="../charts/chart51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6" Type="http://schemas.openxmlformats.org/officeDocument/2006/relationships/chart" Target="../charts/chart50.xml"/><Relationship Id="rId5" Type="http://schemas.openxmlformats.org/officeDocument/2006/relationships/chart" Target="../charts/chart49.xml"/><Relationship Id="rId4" Type="http://schemas.openxmlformats.org/officeDocument/2006/relationships/chart" Target="../charts/chart48.xml"/><Relationship Id="rId9" Type="http://schemas.openxmlformats.org/officeDocument/2006/relationships/chart" Target="../charts/chart53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118783</xdr:colOff>
      <xdr:row>20</xdr:row>
      <xdr:rowOff>106828</xdr:rowOff>
    </xdr:from>
    <xdr:to>
      <xdr:col>12</xdr:col>
      <xdr:colOff>304800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4C1008E-3A48-4C44-AF75-47964D2EF1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153147</xdr:colOff>
      <xdr:row>40</xdr:row>
      <xdr:rowOff>115793</xdr:rowOff>
    </xdr:from>
    <xdr:to>
      <xdr:col>12</xdr:col>
      <xdr:colOff>228600</xdr:colOff>
      <xdr:row>59</xdr:row>
      <xdr:rowOff>25400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9F20C25-6DAA-410E-B0F7-B2F0E8075E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106083</xdr:colOff>
      <xdr:row>59</xdr:row>
      <xdr:rowOff>147169</xdr:rowOff>
    </xdr:from>
    <xdr:to>
      <xdr:col>12</xdr:col>
      <xdr:colOff>393700</xdr:colOff>
      <xdr:row>77</xdr:row>
      <xdr:rowOff>50800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49398AE-A794-4B1E-B21B-B4370309EE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152400</xdr:colOff>
      <xdr:row>82</xdr:row>
      <xdr:rowOff>38101</xdr:rowOff>
    </xdr:from>
    <xdr:to>
      <xdr:col>12</xdr:col>
      <xdr:colOff>482600</xdr:colOff>
      <xdr:row>101</xdr:row>
      <xdr:rowOff>127001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C77D9D8-725B-4D3D-A1EF-9E76DED428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101600</xdr:colOff>
      <xdr:row>103</xdr:row>
      <xdr:rowOff>52293</xdr:rowOff>
    </xdr:from>
    <xdr:to>
      <xdr:col>12</xdr:col>
      <xdr:colOff>457200</xdr:colOff>
      <xdr:row>121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2ECDE55-E2C1-4529-B980-DB30527880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127001</xdr:colOff>
      <xdr:row>122</xdr:row>
      <xdr:rowOff>76200</xdr:rowOff>
    </xdr:from>
    <xdr:to>
      <xdr:col>12</xdr:col>
      <xdr:colOff>419100</xdr:colOff>
      <xdr:row>141</xdr:row>
      <xdr:rowOff>114300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E1001369-B91F-4B89-A6CE-D403419141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161</xdr:row>
      <xdr:rowOff>0</xdr:rowOff>
    </xdr:from>
    <xdr:to>
      <xdr:col>13</xdr:col>
      <xdr:colOff>53788</xdr:colOff>
      <xdr:row>181</xdr:row>
      <xdr:rowOff>128868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BE313A61-2C70-4A8C-A458-F8C6EB8908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609599</xdr:colOff>
      <xdr:row>183</xdr:row>
      <xdr:rowOff>1493</xdr:rowOff>
    </xdr:from>
    <xdr:to>
      <xdr:col>13</xdr:col>
      <xdr:colOff>35858</xdr:colOff>
      <xdr:row>204</xdr:row>
      <xdr:rowOff>8963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5E459718-648B-423C-AD7E-CF9AD61AA8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205</xdr:row>
      <xdr:rowOff>152400</xdr:rowOff>
    </xdr:from>
    <xdr:to>
      <xdr:col>13</xdr:col>
      <xdr:colOff>44824</xdr:colOff>
      <xdr:row>227</xdr:row>
      <xdr:rowOff>73212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B6A5F714-2CB2-4504-A387-C6DD1FFFCE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0</xdr:colOff>
      <xdr:row>241</xdr:row>
      <xdr:rowOff>1493</xdr:rowOff>
    </xdr:from>
    <xdr:to>
      <xdr:col>13</xdr:col>
      <xdr:colOff>26894</xdr:colOff>
      <xdr:row>261</xdr:row>
      <xdr:rowOff>161364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F4DA3867-AE5E-4201-A0E6-B9DF5BCCF0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609599</xdr:colOff>
      <xdr:row>263</xdr:row>
      <xdr:rowOff>0</xdr:rowOff>
    </xdr:from>
    <xdr:to>
      <xdr:col>13</xdr:col>
      <xdr:colOff>35858</xdr:colOff>
      <xdr:row>283</xdr:row>
      <xdr:rowOff>89647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828FD359-2980-4324-A607-AC393CC039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609599</xdr:colOff>
      <xdr:row>285</xdr:row>
      <xdr:rowOff>0</xdr:rowOff>
    </xdr:from>
    <xdr:to>
      <xdr:col>13</xdr:col>
      <xdr:colOff>62752</xdr:colOff>
      <xdr:row>305</xdr:row>
      <xdr:rowOff>170330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74CD8E03-1A9A-4BB7-803D-CDE945486E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0</xdr:colOff>
      <xdr:row>320</xdr:row>
      <xdr:rowOff>0</xdr:rowOff>
    </xdr:from>
    <xdr:to>
      <xdr:col>13</xdr:col>
      <xdr:colOff>80682</xdr:colOff>
      <xdr:row>340</xdr:row>
      <xdr:rowOff>144108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5835F811-242F-401A-9875-1D4BDB54A7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</xdr:col>
      <xdr:colOff>0</xdr:colOff>
      <xdr:row>342</xdr:row>
      <xdr:rowOff>0</xdr:rowOff>
    </xdr:from>
    <xdr:to>
      <xdr:col>13</xdr:col>
      <xdr:colOff>107576</xdr:colOff>
      <xdr:row>363</xdr:row>
      <xdr:rowOff>35858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E030141A-043C-4865-B4A7-258F5E4E18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609599</xdr:colOff>
      <xdr:row>364</xdr:row>
      <xdr:rowOff>127000</xdr:rowOff>
    </xdr:from>
    <xdr:to>
      <xdr:col>13</xdr:col>
      <xdr:colOff>134470</xdr:colOff>
      <xdr:row>385</xdr:row>
      <xdr:rowOff>119530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29E87F35-9134-4096-9B99-730E889519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1</xdr:colOff>
      <xdr:row>403</xdr:row>
      <xdr:rowOff>161367</xdr:rowOff>
    </xdr:from>
    <xdr:to>
      <xdr:col>13</xdr:col>
      <xdr:colOff>177801</xdr:colOff>
      <xdr:row>423</xdr:row>
      <xdr:rowOff>139701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7D8A2670-424D-466B-9F7F-2F94D43150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542365</xdr:colOff>
      <xdr:row>431</xdr:row>
      <xdr:rowOff>50800</xdr:rowOff>
    </xdr:from>
    <xdr:to>
      <xdr:col>13</xdr:col>
      <xdr:colOff>127000</xdr:colOff>
      <xdr:row>451</xdr:row>
      <xdr:rowOff>1494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6F9ECA18-7664-4606-8A09-A1BD8E5E7F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457200</xdr:colOff>
      <xdr:row>452</xdr:row>
      <xdr:rowOff>165100</xdr:rowOff>
    </xdr:from>
    <xdr:to>
      <xdr:col>13</xdr:col>
      <xdr:colOff>50800</xdr:colOff>
      <xdr:row>472</xdr:row>
      <xdr:rowOff>44824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667FC1E5-29DD-4C45-8479-84436ED651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</xdr:col>
      <xdr:colOff>472141</xdr:colOff>
      <xdr:row>475</xdr:row>
      <xdr:rowOff>25400</xdr:rowOff>
    </xdr:from>
    <xdr:to>
      <xdr:col>12</xdr:col>
      <xdr:colOff>558800</xdr:colOff>
      <xdr:row>493</xdr:row>
      <xdr:rowOff>124012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3B7ACFDD-27F6-4DF4-81F7-2D9C2CBA3F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</xdr:col>
      <xdr:colOff>419101</xdr:colOff>
      <xdr:row>495</xdr:row>
      <xdr:rowOff>38099</xdr:rowOff>
    </xdr:from>
    <xdr:to>
      <xdr:col>12</xdr:col>
      <xdr:colOff>584201</xdr:colOff>
      <xdr:row>514</xdr:row>
      <xdr:rowOff>69476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7CB7954A-5DEC-47AD-A627-BEF8FAFED0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</xdr:col>
      <xdr:colOff>457200</xdr:colOff>
      <xdr:row>516</xdr:row>
      <xdr:rowOff>139699</xdr:rowOff>
    </xdr:from>
    <xdr:to>
      <xdr:col>13</xdr:col>
      <xdr:colOff>15688</xdr:colOff>
      <xdr:row>537</xdr:row>
      <xdr:rowOff>64246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42262F0E-8544-4283-93A6-7448F1BD70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</xdr:col>
      <xdr:colOff>59764</xdr:colOff>
      <xdr:row>558</xdr:row>
      <xdr:rowOff>170329</xdr:rowOff>
    </xdr:from>
    <xdr:to>
      <xdr:col>13</xdr:col>
      <xdr:colOff>68729</xdr:colOff>
      <xdr:row>583</xdr:row>
      <xdr:rowOff>44823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B6607CE1-F767-434B-972F-056FEFBDF6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246414</xdr:colOff>
      <xdr:row>2</xdr:row>
      <xdr:rowOff>55419</xdr:rowOff>
    </xdr:from>
    <xdr:to>
      <xdr:col>31</xdr:col>
      <xdr:colOff>484909</xdr:colOff>
      <xdr:row>33</xdr:row>
      <xdr:rowOff>27709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8399852-BAD0-BCCE-7CCE-60450EAD2C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36</xdr:col>
      <xdr:colOff>353291</xdr:colOff>
      <xdr:row>21</xdr:row>
      <xdr:rowOff>55419</xdr:rowOff>
    </xdr:from>
    <xdr:to>
      <xdr:col>48</xdr:col>
      <xdr:colOff>471055</xdr:colOff>
      <xdr:row>46</xdr:row>
      <xdr:rowOff>27710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65BB7D68-6522-A967-7D2E-699760C597A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38</xdr:col>
      <xdr:colOff>6927</xdr:colOff>
      <xdr:row>73</xdr:row>
      <xdr:rowOff>13853</xdr:rowOff>
    </xdr:from>
    <xdr:to>
      <xdr:col>52</xdr:col>
      <xdr:colOff>484909</xdr:colOff>
      <xdr:row>105</xdr:row>
      <xdr:rowOff>96981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F4EE05D1-9A84-56AF-32B6-9305D36360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38</xdr:col>
      <xdr:colOff>159326</xdr:colOff>
      <xdr:row>115</xdr:row>
      <xdr:rowOff>138546</xdr:rowOff>
    </xdr:from>
    <xdr:to>
      <xdr:col>52</xdr:col>
      <xdr:colOff>138545</xdr:colOff>
      <xdr:row>146</xdr:row>
      <xdr:rowOff>83128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2CFF7EC6-3431-6920-92FB-7636B7F4E8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37</xdr:col>
      <xdr:colOff>117764</xdr:colOff>
      <xdr:row>164</xdr:row>
      <xdr:rowOff>55418</xdr:rowOff>
    </xdr:from>
    <xdr:to>
      <xdr:col>51</xdr:col>
      <xdr:colOff>457200</xdr:colOff>
      <xdr:row>193</xdr:row>
      <xdr:rowOff>41563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E1F5C788-C0FA-03B0-3D41-5C3B3D7FD6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36</xdr:col>
      <xdr:colOff>214744</xdr:colOff>
      <xdr:row>208</xdr:row>
      <xdr:rowOff>69272</xdr:rowOff>
    </xdr:from>
    <xdr:to>
      <xdr:col>52</xdr:col>
      <xdr:colOff>263236</xdr:colOff>
      <xdr:row>242</xdr:row>
      <xdr:rowOff>152401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F0C0D00C-0FC8-5DB2-FA24-A239A8A9B0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367145</xdr:colOff>
      <xdr:row>34</xdr:row>
      <xdr:rowOff>152400</xdr:rowOff>
    </xdr:from>
    <xdr:to>
      <xdr:col>32</xdr:col>
      <xdr:colOff>193963</xdr:colOff>
      <xdr:row>70</xdr:row>
      <xdr:rowOff>110837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8C8C6F4-49D8-8A42-7899-374FDC8E03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457199</xdr:colOff>
      <xdr:row>6</xdr:row>
      <xdr:rowOff>171449</xdr:rowOff>
    </xdr:from>
    <xdr:to>
      <xdr:col>37</xdr:col>
      <xdr:colOff>211666</xdr:colOff>
      <xdr:row>31</xdr:row>
      <xdr:rowOff>135465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8A17BD1E-F9AF-956F-284C-9956A11ED4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807720</xdr:colOff>
      <xdr:row>8</xdr:row>
      <xdr:rowOff>179070</xdr:rowOff>
    </xdr:from>
    <xdr:to>
      <xdr:col>20</xdr:col>
      <xdr:colOff>15240</xdr:colOff>
      <xdr:row>33</xdr:row>
      <xdr:rowOff>45720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2963D06-EF65-CC73-57AF-1D3257127E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44</xdr:col>
      <xdr:colOff>795868</xdr:colOff>
      <xdr:row>9</xdr:row>
      <xdr:rowOff>42333</xdr:rowOff>
    </xdr:from>
    <xdr:to>
      <xdr:col>52</xdr:col>
      <xdr:colOff>719667</xdr:colOff>
      <xdr:row>32</xdr:row>
      <xdr:rowOff>143934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5D6F9BD-6207-3655-16BE-36B84C8544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312420</xdr:colOff>
      <xdr:row>2</xdr:row>
      <xdr:rowOff>3810</xdr:rowOff>
    </xdr:from>
    <xdr:to>
      <xdr:col>20</xdr:col>
      <xdr:colOff>38100</xdr:colOff>
      <xdr:row>24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34E09697-4B88-0E69-2DD8-4C80A28805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121920</xdr:colOff>
      <xdr:row>3</xdr:row>
      <xdr:rowOff>15240</xdr:rowOff>
    </xdr:from>
    <xdr:to>
      <xdr:col>37</xdr:col>
      <xdr:colOff>411480</xdr:colOff>
      <xdr:row>24</xdr:row>
      <xdr:rowOff>152400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F83A1308-0975-3470-C6B8-180BB729A9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541020</xdr:colOff>
      <xdr:row>29</xdr:row>
      <xdr:rowOff>15240</xdr:rowOff>
    </xdr:from>
    <xdr:to>
      <xdr:col>36</xdr:col>
      <xdr:colOff>480060</xdr:colOff>
      <xdr:row>52</xdr:row>
      <xdr:rowOff>137160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4B3E537-9A92-05DF-9801-8898AAF67A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388620</xdr:colOff>
      <xdr:row>3</xdr:row>
      <xdr:rowOff>87630</xdr:rowOff>
    </xdr:from>
    <xdr:to>
      <xdr:col>18</xdr:col>
      <xdr:colOff>91440</xdr:colOff>
      <xdr:row>22</xdr:row>
      <xdr:rowOff>106680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C790F2D-B2E3-9453-5652-1CE41297ED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320040</xdr:colOff>
      <xdr:row>2</xdr:row>
      <xdr:rowOff>133350</xdr:rowOff>
    </xdr:from>
    <xdr:to>
      <xdr:col>35</xdr:col>
      <xdr:colOff>594360</xdr:colOff>
      <xdr:row>23</xdr:row>
      <xdr:rowOff>144780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3839EE93-1CA3-1079-936A-238B2D8EDB7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47</xdr:col>
      <xdr:colOff>220980</xdr:colOff>
      <xdr:row>7</xdr:row>
      <xdr:rowOff>148590</xdr:rowOff>
    </xdr:from>
    <xdr:to>
      <xdr:col>53</xdr:col>
      <xdr:colOff>556260</xdr:colOff>
      <xdr:row>28</xdr:row>
      <xdr:rowOff>22860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7D28FC5-B6E3-7147-9362-156F928C91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144780</xdr:colOff>
      <xdr:row>6</xdr:row>
      <xdr:rowOff>3810</xdr:rowOff>
    </xdr:from>
    <xdr:to>
      <xdr:col>18</xdr:col>
      <xdr:colOff>114300</xdr:colOff>
      <xdr:row>24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4D96FCE-FBEB-8F15-E726-F1C6F8E22E0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441960</xdr:colOff>
      <xdr:row>3</xdr:row>
      <xdr:rowOff>38100</xdr:rowOff>
    </xdr:from>
    <xdr:to>
      <xdr:col>37</xdr:col>
      <xdr:colOff>594360</xdr:colOff>
      <xdr:row>24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7F15B4E-45F4-300F-D36D-618A12C962E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44</xdr:col>
      <xdr:colOff>327660</xdr:colOff>
      <xdr:row>2</xdr:row>
      <xdr:rowOff>3810</xdr:rowOff>
    </xdr:from>
    <xdr:to>
      <xdr:col>51</xdr:col>
      <xdr:colOff>167640</xdr:colOff>
      <xdr:row>21</xdr:row>
      <xdr:rowOff>15240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80B1DE5-1BFE-7E15-9831-6BF98EA8E0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586740</xdr:colOff>
      <xdr:row>1</xdr:row>
      <xdr:rowOff>110490</xdr:rowOff>
    </xdr:from>
    <xdr:to>
      <xdr:col>20</xdr:col>
      <xdr:colOff>106680</xdr:colOff>
      <xdr:row>24</xdr:row>
      <xdr:rowOff>121920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AA95943-1C48-1096-E072-D20897472E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228600</xdr:colOff>
      <xdr:row>2</xdr:row>
      <xdr:rowOff>137160</xdr:rowOff>
    </xdr:from>
    <xdr:to>
      <xdr:col>36</xdr:col>
      <xdr:colOff>45720</xdr:colOff>
      <xdr:row>25</xdr:row>
      <xdr:rowOff>7620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CFADEB4-1652-766B-DFD0-A59AA9B286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45</xdr:col>
      <xdr:colOff>312420</xdr:colOff>
      <xdr:row>5</xdr:row>
      <xdr:rowOff>110490</xdr:rowOff>
    </xdr:from>
    <xdr:to>
      <xdr:col>54</xdr:col>
      <xdr:colOff>480060</xdr:colOff>
      <xdr:row>26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4C943E1-A200-9001-9743-330FE2D1CC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566057</xdr:colOff>
      <xdr:row>107</xdr:row>
      <xdr:rowOff>0</xdr:rowOff>
    </xdr:from>
    <xdr:to>
      <xdr:col>32</xdr:col>
      <xdr:colOff>468086</xdr:colOff>
      <xdr:row>128</xdr:row>
      <xdr:rowOff>174172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BADF403-30B0-60B4-8415-1A38A991E0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500742</xdr:colOff>
      <xdr:row>74</xdr:row>
      <xdr:rowOff>130627</xdr:rowOff>
    </xdr:from>
    <xdr:to>
      <xdr:col>31</xdr:col>
      <xdr:colOff>195943</xdr:colOff>
      <xdr:row>93</xdr:row>
      <xdr:rowOff>43543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A8FAADA-03FC-EAA2-8C7E-FD05F9B182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228598</xdr:colOff>
      <xdr:row>49</xdr:row>
      <xdr:rowOff>108856</xdr:rowOff>
    </xdr:from>
    <xdr:to>
      <xdr:col>31</xdr:col>
      <xdr:colOff>402771</xdr:colOff>
      <xdr:row>71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4F76430-E07A-AA67-1787-CEBA549C00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315685</xdr:colOff>
      <xdr:row>7</xdr:row>
      <xdr:rowOff>97971</xdr:rowOff>
    </xdr:from>
    <xdr:to>
      <xdr:col>30</xdr:col>
      <xdr:colOff>359228</xdr:colOff>
      <xdr:row>24</xdr:row>
      <xdr:rowOff>43543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B47E5BD-313B-8EC9-B4F1-E1C9A6BC6A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65315</xdr:colOff>
      <xdr:row>27</xdr:row>
      <xdr:rowOff>65314</xdr:rowOff>
    </xdr:from>
    <xdr:to>
      <xdr:col>31</xdr:col>
      <xdr:colOff>119743</xdr:colOff>
      <xdr:row>47</xdr:row>
      <xdr:rowOff>119742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EEEFFE5B-C63B-3EAC-4740-7778E6A4DB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33</xdr:col>
      <xdr:colOff>445453</xdr:colOff>
      <xdr:row>83</xdr:row>
      <xdr:rowOff>53008</xdr:rowOff>
    </xdr:from>
    <xdr:to>
      <xdr:col>48</xdr:col>
      <xdr:colOff>438150</xdr:colOff>
      <xdr:row>115</xdr:row>
      <xdr:rowOff>38099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68766073-F988-2710-CB47-0802C4159A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33</xdr:col>
      <xdr:colOff>342900</xdr:colOff>
      <xdr:row>49</xdr:row>
      <xdr:rowOff>114300</xdr:rowOff>
    </xdr:from>
    <xdr:to>
      <xdr:col>48</xdr:col>
      <xdr:colOff>335597</xdr:colOff>
      <xdr:row>81</xdr:row>
      <xdr:rowOff>99391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5FF38224-4AF7-4122-A610-066ECB8738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33</xdr:col>
      <xdr:colOff>533400</xdr:colOff>
      <xdr:row>116</xdr:row>
      <xdr:rowOff>108856</xdr:rowOff>
    </xdr:from>
    <xdr:to>
      <xdr:col>48</xdr:col>
      <xdr:colOff>526097</xdr:colOff>
      <xdr:row>148</xdr:row>
      <xdr:rowOff>93947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189F489E-CC4F-4E58-96F9-59261FB090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0</xdr:colOff>
      <xdr:row>152</xdr:row>
      <xdr:rowOff>0</xdr:rowOff>
    </xdr:from>
    <xdr:to>
      <xdr:col>48</xdr:col>
      <xdr:colOff>602297</xdr:colOff>
      <xdr:row>183</xdr:row>
      <xdr:rowOff>170148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88AE391E-091A-40C9-A87C-6D5B44810D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644236</xdr:colOff>
      <xdr:row>33</xdr:row>
      <xdr:rowOff>110835</xdr:rowOff>
    </xdr:from>
    <xdr:to>
      <xdr:col>29</xdr:col>
      <xdr:colOff>374072</xdr:colOff>
      <xdr:row>54</xdr:row>
      <xdr:rowOff>55417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121F09A-41A3-2EF6-7D74-83655F07CF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21"/>
  <sheetViews>
    <sheetView workbookViewId="0">
      <selection activeCell="E13" sqref="E13"/>
    </sheetView>
  </sheetViews>
  <sheetFormatPr defaultRowHeight="14.4" x14ac:dyDescent="0.3"/>
  <sheetData>
    <row r="1" spans="1:2" x14ac:dyDescent="0.3">
      <c r="A1" t="s">
        <v>0</v>
      </c>
    </row>
    <row r="2" spans="1:2" x14ac:dyDescent="0.3">
      <c r="A2" t="s">
        <v>1</v>
      </c>
      <c r="B2" t="s">
        <v>2</v>
      </c>
    </row>
    <row r="3" spans="1:2" x14ac:dyDescent="0.3">
      <c r="A3" t="s">
        <v>3</v>
      </c>
      <c r="B3" t="s">
        <v>4</v>
      </c>
    </row>
    <row r="4" spans="1:2" x14ac:dyDescent="0.3">
      <c r="A4" t="s">
        <v>5</v>
      </c>
      <c r="B4" t="s">
        <v>6</v>
      </c>
    </row>
    <row r="5" spans="1:2" x14ac:dyDescent="0.3">
      <c r="A5" t="s">
        <v>7</v>
      </c>
      <c r="B5" t="s">
        <v>8</v>
      </c>
    </row>
    <row r="6" spans="1:2" x14ac:dyDescent="0.3">
      <c r="A6" t="s">
        <v>9</v>
      </c>
      <c r="B6" t="s">
        <v>10</v>
      </c>
    </row>
    <row r="8" spans="1:2" x14ac:dyDescent="0.3">
      <c r="A8" t="s">
        <v>11</v>
      </c>
      <c r="B8" t="s">
        <v>12</v>
      </c>
    </row>
    <row r="9" spans="1:2" x14ac:dyDescent="0.3">
      <c r="A9" t="s">
        <v>13</v>
      </c>
      <c r="B9" t="s">
        <v>14</v>
      </c>
    </row>
    <row r="10" spans="1:2" x14ac:dyDescent="0.3">
      <c r="A10" t="s">
        <v>15</v>
      </c>
      <c r="B10" t="s">
        <v>16</v>
      </c>
    </row>
    <row r="11" spans="1:2" x14ac:dyDescent="0.3">
      <c r="A11" t="s">
        <v>17</v>
      </c>
      <c r="B11" t="s">
        <v>18</v>
      </c>
    </row>
    <row r="12" spans="1:2" x14ac:dyDescent="0.3">
      <c r="A12" t="s">
        <v>19</v>
      </c>
      <c r="B12" t="s">
        <v>20</v>
      </c>
    </row>
    <row r="14" spans="1:2" x14ac:dyDescent="0.3">
      <c r="A14" t="s">
        <v>33</v>
      </c>
    </row>
    <row r="15" spans="1:2" x14ac:dyDescent="0.3">
      <c r="A15" t="s">
        <v>5</v>
      </c>
      <c r="B15" t="s">
        <v>34</v>
      </c>
    </row>
    <row r="16" spans="1:2" x14ac:dyDescent="0.3">
      <c r="A16" t="s">
        <v>7</v>
      </c>
      <c r="B16" t="s">
        <v>35</v>
      </c>
    </row>
    <row r="17" spans="1:2" x14ac:dyDescent="0.3">
      <c r="B17" t="s">
        <v>36</v>
      </c>
    </row>
    <row r="18" spans="1:2" x14ac:dyDescent="0.3">
      <c r="A18" t="s">
        <v>9</v>
      </c>
      <c r="B18" t="s">
        <v>37</v>
      </c>
    </row>
    <row r="19" spans="1:2" x14ac:dyDescent="0.3">
      <c r="A19" t="s">
        <v>19</v>
      </c>
      <c r="B19" t="s">
        <v>38</v>
      </c>
    </row>
    <row r="21" spans="1:2" x14ac:dyDescent="0.3">
      <c r="A21" t="s">
        <v>21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D15F5D-E418-47CA-857D-221FAC295EA7}">
  <sheetPr codeName="Sheet9"/>
  <dimension ref="B1:M610"/>
  <sheetViews>
    <sheetView tabSelected="1" zoomScale="85" zoomScaleNormal="85" workbookViewId="0">
      <selection activeCell="L11" sqref="L11"/>
    </sheetView>
  </sheetViews>
  <sheetFormatPr defaultRowHeight="14.4" x14ac:dyDescent="0.3"/>
  <cols>
    <col min="4" max="4" width="11.109375" customWidth="1"/>
  </cols>
  <sheetData>
    <row r="1" spans="2:11" ht="15" thickBot="1" x14ac:dyDescent="0.35"/>
    <row r="2" spans="2:11" x14ac:dyDescent="0.3">
      <c r="C2" s="18" t="s">
        <v>90</v>
      </c>
      <c r="D2" s="19"/>
      <c r="E2" s="19"/>
      <c r="F2" s="19"/>
      <c r="G2" s="19"/>
      <c r="H2" s="19"/>
      <c r="I2" s="19"/>
      <c r="J2" s="19"/>
      <c r="K2" s="20"/>
    </row>
    <row r="3" spans="2:11" x14ac:dyDescent="0.3">
      <c r="C3" s="30"/>
      <c r="D3" s="31"/>
      <c r="E3" s="31"/>
      <c r="F3" s="31"/>
      <c r="G3" s="31"/>
      <c r="H3" s="31"/>
      <c r="I3" s="31"/>
      <c r="J3" s="31"/>
      <c r="K3" s="32"/>
    </row>
    <row r="4" spans="2:11" ht="15" thickBot="1" x14ac:dyDescent="0.35">
      <c r="C4" s="30"/>
      <c r="D4" s="22"/>
      <c r="E4" s="22"/>
      <c r="F4" s="22"/>
      <c r="G4" s="22"/>
      <c r="H4" s="22"/>
      <c r="I4" s="22"/>
      <c r="J4" s="22"/>
      <c r="K4" s="23"/>
    </row>
    <row r="5" spans="2:11" ht="15" thickBot="1" x14ac:dyDescent="0.35">
      <c r="B5" s="73" t="s">
        <v>319</v>
      </c>
      <c r="C5" s="74"/>
    </row>
    <row r="6" spans="2:11" x14ac:dyDescent="0.3">
      <c r="B6" s="70" t="s">
        <v>318</v>
      </c>
      <c r="C6" s="71"/>
    </row>
    <row r="7" spans="2:11" ht="15" thickBot="1" x14ac:dyDescent="0.35">
      <c r="B7" s="41">
        <v>2041518</v>
      </c>
      <c r="C7" s="72"/>
    </row>
    <row r="9" spans="2:11" ht="15" thickBot="1" x14ac:dyDescent="0.35"/>
    <row r="10" spans="2:11" x14ac:dyDescent="0.3">
      <c r="D10" s="18" t="s">
        <v>91</v>
      </c>
      <c r="E10" s="19"/>
      <c r="F10" s="19"/>
      <c r="G10" s="19"/>
      <c r="H10" s="19"/>
      <c r="I10" s="19"/>
      <c r="J10" s="20"/>
    </row>
    <row r="11" spans="2:11" ht="15" thickBot="1" x14ac:dyDescent="0.35">
      <c r="D11" s="21"/>
      <c r="E11" s="22"/>
      <c r="F11" s="22"/>
      <c r="G11" s="22"/>
      <c r="H11" s="22"/>
      <c r="I11" s="22"/>
      <c r="J11" s="23"/>
    </row>
    <row r="13" spans="2:11" ht="15" thickBot="1" x14ac:dyDescent="0.35"/>
    <row r="14" spans="2:11" x14ac:dyDescent="0.3">
      <c r="D14" s="8" t="s">
        <v>94</v>
      </c>
      <c r="E14" s="9" t="s">
        <v>95</v>
      </c>
    </row>
    <row r="15" spans="2:11" x14ac:dyDescent="0.3">
      <c r="D15" s="10" t="s">
        <v>65</v>
      </c>
      <c r="E15" s="13">
        <v>0.01</v>
      </c>
    </row>
    <row r="16" spans="2:11" x14ac:dyDescent="0.3">
      <c r="D16" s="10" t="s">
        <v>92</v>
      </c>
      <c r="E16" s="11">
        <v>100</v>
      </c>
    </row>
    <row r="17" spans="3:6" ht="15" thickBot="1" x14ac:dyDescent="0.35">
      <c r="D17" s="12" t="s">
        <v>93</v>
      </c>
      <c r="E17" s="15">
        <v>0.2</v>
      </c>
    </row>
    <row r="18" spans="3:6" ht="15" thickBot="1" x14ac:dyDescent="0.35">
      <c r="C18" s="14"/>
      <c r="D18" s="14"/>
      <c r="E18" s="14"/>
      <c r="F18" s="14"/>
    </row>
    <row r="19" spans="3:6" x14ac:dyDescent="0.3">
      <c r="C19" s="24" t="s">
        <v>96</v>
      </c>
      <c r="D19" s="25"/>
      <c r="E19" s="26"/>
      <c r="F19" s="14"/>
    </row>
    <row r="20" spans="3:6" ht="15" thickBot="1" x14ac:dyDescent="0.35">
      <c r="C20" s="27"/>
      <c r="D20" s="28"/>
      <c r="E20" s="29"/>
      <c r="F20" s="14"/>
    </row>
    <row r="79" spans="3:5" ht="15" thickBot="1" x14ac:dyDescent="0.35"/>
    <row r="80" spans="3:5" x14ac:dyDescent="0.3">
      <c r="C80" s="24" t="s">
        <v>97</v>
      </c>
      <c r="D80" s="25"/>
      <c r="E80" s="26"/>
    </row>
    <row r="81" spans="3:5" ht="15" thickBot="1" x14ac:dyDescent="0.35">
      <c r="C81" s="27"/>
      <c r="D81" s="28"/>
      <c r="E81" s="29"/>
    </row>
    <row r="158" spans="3:5" ht="15" thickBot="1" x14ac:dyDescent="0.35"/>
    <row r="159" spans="3:5" x14ac:dyDescent="0.3">
      <c r="C159" s="24" t="s">
        <v>98</v>
      </c>
      <c r="D159" s="25"/>
      <c r="E159" s="26"/>
    </row>
    <row r="160" spans="3:5" ht="15" thickBot="1" x14ac:dyDescent="0.35">
      <c r="C160" s="27"/>
      <c r="D160" s="28"/>
      <c r="E160" s="29"/>
    </row>
    <row r="238" spans="3:5" ht="15" thickBot="1" x14ac:dyDescent="0.35"/>
    <row r="239" spans="3:5" x14ac:dyDescent="0.3">
      <c r="C239" s="24" t="s">
        <v>99</v>
      </c>
      <c r="D239" s="25"/>
      <c r="E239" s="26"/>
    </row>
    <row r="240" spans="3:5" ht="15" thickBot="1" x14ac:dyDescent="0.35">
      <c r="C240" s="27"/>
      <c r="D240" s="28"/>
      <c r="E240" s="29"/>
    </row>
    <row r="317" spans="3:5" ht="15" thickBot="1" x14ac:dyDescent="0.35"/>
    <row r="318" spans="3:5" x14ac:dyDescent="0.3">
      <c r="C318" s="24" t="s">
        <v>100</v>
      </c>
      <c r="D318" s="25"/>
      <c r="E318" s="26"/>
    </row>
    <row r="319" spans="3:5" ht="15" thickBot="1" x14ac:dyDescent="0.35">
      <c r="C319" s="27"/>
      <c r="D319" s="28"/>
      <c r="E319" s="29"/>
    </row>
    <row r="396" spans="3:10" ht="15" thickBot="1" x14ac:dyDescent="0.35"/>
    <row r="397" spans="3:10" x14ac:dyDescent="0.3">
      <c r="D397" s="18" t="s">
        <v>102</v>
      </c>
      <c r="E397" s="19"/>
      <c r="F397" s="19"/>
      <c r="G397" s="19"/>
      <c r="H397" s="19"/>
      <c r="I397" s="19"/>
      <c r="J397" s="20"/>
    </row>
    <row r="398" spans="3:10" ht="15" thickBot="1" x14ac:dyDescent="0.35">
      <c r="D398" s="21"/>
      <c r="E398" s="22"/>
      <c r="F398" s="22"/>
      <c r="G398" s="22"/>
      <c r="H398" s="22"/>
      <c r="I398" s="22"/>
      <c r="J398" s="23"/>
    </row>
    <row r="399" spans="3:10" ht="15" thickBot="1" x14ac:dyDescent="0.35"/>
    <row r="400" spans="3:10" x14ac:dyDescent="0.3">
      <c r="C400" s="38" t="s">
        <v>314</v>
      </c>
      <c r="D400" s="39"/>
      <c r="E400" s="40" t="s">
        <v>74</v>
      </c>
      <c r="F400" s="9" t="s">
        <v>316</v>
      </c>
    </row>
    <row r="401" spans="3:9" ht="15" thickBot="1" x14ac:dyDescent="0.35">
      <c r="C401" s="41" t="s">
        <v>315</v>
      </c>
      <c r="D401" s="42"/>
      <c r="E401" s="43">
        <v>44660</v>
      </c>
      <c r="F401" s="44">
        <v>170.09</v>
      </c>
    </row>
    <row r="403" spans="3:9" x14ac:dyDescent="0.3">
      <c r="C403" s="35"/>
      <c r="D403" s="35"/>
      <c r="E403" s="35"/>
      <c r="F403" s="35"/>
      <c r="G403" s="35"/>
      <c r="H403" s="35"/>
      <c r="I403" s="35"/>
    </row>
    <row r="404" spans="3:9" x14ac:dyDescent="0.3">
      <c r="C404" s="35"/>
      <c r="D404" s="35"/>
      <c r="E404" s="35"/>
      <c r="F404" s="35"/>
      <c r="G404" s="35"/>
      <c r="H404" s="35"/>
      <c r="I404" s="35"/>
    </row>
    <row r="405" spans="3:9" x14ac:dyDescent="0.3">
      <c r="C405" s="17"/>
      <c r="D405" s="17"/>
      <c r="E405" s="17"/>
      <c r="F405" s="17"/>
      <c r="G405" s="17"/>
      <c r="H405" s="17"/>
      <c r="I405" s="17"/>
    </row>
    <row r="406" spans="3:9" x14ac:dyDescent="0.3">
      <c r="C406" s="17"/>
      <c r="D406" s="17"/>
      <c r="E406" s="17"/>
      <c r="F406" s="17"/>
      <c r="G406" s="17"/>
      <c r="H406" s="17"/>
      <c r="I406" s="17"/>
    </row>
    <row r="407" spans="3:9" x14ac:dyDescent="0.3">
      <c r="C407" s="17"/>
      <c r="D407" s="17"/>
      <c r="E407" s="17"/>
      <c r="F407" s="17"/>
      <c r="G407" s="17"/>
      <c r="H407" s="17"/>
      <c r="I407" s="17"/>
    </row>
    <row r="408" spans="3:9" x14ac:dyDescent="0.3">
      <c r="C408" s="17"/>
      <c r="D408" s="17"/>
      <c r="E408" s="17"/>
      <c r="F408" s="17"/>
      <c r="G408" s="17"/>
      <c r="H408" s="17"/>
      <c r="I408" s="17"/>
    </row>
    <row r="425" spans="4:10" ht="15" thickBot="1" x14ac:dyDescent="0.35"/>
    <row r="426" spans="4:10" x14ac:dyDescent="0.3">
      <c r="D426" s="45" t="s">
        <v>317</v>
      </c>
      <c r="E426" s="46"/>
      <c r="F426" s="46"/>
      <c r="G426" s="46"/>
      <c r="H426" s="46"/>
      <c r="I426" s="46"/>
      <c r="J426" s="47"/>
    </row>
    <row r="427" spans="4:10" x14ac:dyDescent="0.3">
      <c r="D427" s="48"/>
      <c r="E427" s="49"/>
      <c r="F427" s="49"/>
      <c r="G427" s="49"/>
      <c r="H427" s="49"/>
      <c r="I427" s="49"/>
      <c r="J427" s="50"/>
    </row>
    <row r="428" spans="4:10" x14ac:dyDescent="0.3">
      <c r="D428" s="48"/>
      <c r="E428" s="49"/>
      <c r="F428" s="49"/>
      <c r="G428" s="49"/>
      <c r="H428" s="49"/>
      <c r="I428" s="49"/>
      <c r="J428" s="50"/>
    </row>
    <row r="429" spans="4:10" ht="15" thickBot="1" x14ac:dyDescent="0.35">
      <c r="D429" s="51"/>
      <c r="E429" s="52"/>
      <c r="F429" s="52"/>
      <c r="G429" s="52"/>
      <c r="H429" s="52"/>
      <c r="I429" s="52"/>
      <c r="J429" s="53"/>
    </row>
    <row r="463" spans="4:11" ht="14.4" customHeight="1" x14ac:dyDescent="0.3">
      <c r="D463" s="36"/>
      <c r="E463" s="36"/>
      <c r="F463" s="36"/>
      <c r="G463" s="36"/>
      <c r="H463" s="36"/>
      <c r="I463" s="36"/>
      <c r="J463" s="36"/>
      <c r="K463" s="14"/>
    </row>
    <row r="464" spans="4:11" x14ac:dyDescent="0.3">
      <c r="D464" s="36"/>
      <c r="E464" s="36"/>
      <c r="F464" s="36"/>
      <c r="G464" s="36"/>
      <c r="H464" s="36"/>
      <c r="I464" s="36"/>
      <c r="J464" s="36"/>
      <c r="K464" s="14"/>
    </row>
    <row r="465" spans="4:11" x14ac:dyDescent="0.3">
      <c r="D465" s="36"/>
      <c r="E465" s="36"/>
      <c r="F465" s="36"/>
      <c r="G465" s="36"/>
      <c r="H465" s="36"/>
      <c r="I465" s="36"/>
      <c r="J465" s="36"/>
      <c r="K465" s="14"/>
    </row>
    <row r="466" spans="4:11" x14ac:dyDescent="0.3">
      <c r="D466" s="14"/>
      <c r="E466" s="14"/>
      <c r="F466" s="14"/>
      <c r="G466" s="14"/>
      <c r="H466" s="14"/>
      <c r="K466" s="14"/>
    </row>
    <row r="553" spans="4:10" x14ac:dyDescent="0.3">
      <c r="D553" s="37"/>
      <c r="E553" s="37"/>
      <c r="F553" s="37"/>
      <c r="G553" s="37"/>
      <c r="H553" s="37"/>
      <c r="I553" s="37"/>
    </row>
    <row r="554" spans="4:10" x14ac:dyDescent="0.3">
      <c r="D554" s="37"/>
      <c r="E554" s="37"/>
      <c r="F554" s="37"/>
      <c r="G554" s="37"/>
      <c r="H554" s="37"/>
      <c r="I554" s="37"/>
    </row>
    <row r="555" spans="4:10" ht="15" thickBot="1" x14ac:dyDescent="0.35"/>
    <row r="556" spans="4:10" x14ac:dyDescent="0.3">
      <c r="D556" s="18" t="s">
        <v>313</v>
      </c>
      <c r="E556" s="19"/>
      <c r="F556" s="19"/>
      <c r="G556" s="19"/>
      <c r="H556" s="19"/>
      <c r="I556" s="19"/>
      <c r="J556" s="20"/>
    </row>
    <row r="557" spans="4:10" ht="15" thickBot="1" x14ac:dyDescent="0.35">
      <c r="D557" s="21"/>
      <c r="E557" s="22"/>
      <c r="F557" s="22"/>
      <c r="G557" s="22"/>
      <c r="H557" s="22"/>
      <c r="I557" s="22"/>
      <c r="J557" s="23"/>
    </row>
    <row r="585" spans="5:13" ht="15" thickBot="1" x14ac:dyDescent="0.35"/>
    <row r="586" spans="5:13" x14ac:dyDescent="0.3">
      <c r="E586" s="58" t="s">
        <v>42</v>
      </c>
      <c r="F586" s="59" t="s">
        <v>43</v>
      </c>
      <c r="G586" s="59" t="s">
        <v>44</v>
      </c>
      <c r="H586" s="59" t="s">
        <v>45</v>
      </c>
      <c r="I586" s="59"/>
      <c r="J586" s="59" t="s">
        <v>312</v>
      </c>
      <c r="K586" s="60" t="s">
        <v>49</v>
      </c>
      <c r="L586" s="60"/>
      <c r="M586" s="61" t="s">
        <v>311</v>
      </c>
    </row>
    <row r="587" spans="5:13" x14ac:dyDescent="0.3">
      <c r="E587" s="62" t="s">
        <v>66</v>
      </c>
      <c r="F587" s="54">
        <v>9.5890410958904104E-2</v>
      </c>
      <c r="G587" s="54"/>
      <c r="H587" s="54" t="s">
        <v>65</v>
      </c>
      <c r="I587" s="54">
        <v>9.6176000000000005E-3</v>
      </c>
      <c r="J587" s="54"/>
      <c r="K587" s="55"/>
      <c r="L587" s="55"/>
      <c r="M587" s="63"/>
    </row>
    <row r="588" spans="5:13" x14ac:dyDescent="0.3">
      <c r="E588" s="64">
        <v>170</v>
      </c>
      <c r="F588" s="56">
        <v>6.25</v>
      </c>
      <c r="G588" s="56">
        <v>6.2</v>
      </c>
      <c r="H588" s="56">
        <v>6.3</v>
      </c>
      <c r="I588" s="56"/>
      <c r="J588" s="56">
        <v>6.25</v>
      </c>
      <c r="K588" s="57">
        <v>0.28410000000000002</v>
      </c>
      <c r="L588" s="57"/>
      <c r="M588" s="65">
        <v>6.0875460616938994</v>
      </c>
    </row>
    <row r="589" spans="5:13" x14ac:dyDescent="0.3">
      <c r="E589" s="62" t="s">
        <v>66</v>
      </c>
      <c r="F589" s="54">
        <v>0.19178082191780821</v>
      </c>
      <c r="G589" s="54"/>
      <c r="H589" s="54" t="s">
        <v>65</v>
      </c>
      <c r="I589" s="54">
        <v>9.7769999999999992E-3</v>
      </c>
      <c r="J589" s="54"/>
      <c r="K589" s="54"/>
      <c r="L589" s="54"/>
      <c r="M589" s="63"/>
    </row>
    <row r="590" spans="5:13" x14ac:dyDescent="0.3">
      <c r="E590" s="64">
        <v>170</v>
      </c>
      <c r="F590" s="56">
        <v>8.75</v>
      </c>
      <c r="G590" s="56">
        <v>8.75</v>
      </c>
      <c r="H590" s="56">
        <v>8.8000000000000007</v>
      </c>
      <c r="I590" s="56"/>
      <c r="J590" s="56">
        <v>8.7750000000000004</v>
      </c>
      <c r="K590" s="57">
        <v>0.28689999999999999</v>
      </c>
      <c r="L590" s="57"/>
      <c r="M590" s="65">
        <v>8.7154926113427251</v>
      </c>
    </row>
    <row r="591" spans="5:13" x14ac:dyDescent="0.3">
      <c r="E591" s="62" t="s">
        <v>66</v>
      </c>
      <c r="F591" s="54">
        <v>0.26849315068493151</v>
      </c>
      <c r="G591" s="54"/>
      <c r="H591" s="54" t="s">
        <v>65</v>
      </c>
      <c r="I591" s="54">
        <v>9.7236000000000006E-3</v>
      </c>
      <c r="J591" s="54"/>
      <c r="K591" s="54"/>
      <c r="L591" s="54"/>
      <c r="M591" s="63"/>
    </row>
    <row r="592" spans="5:13" x14ac:dyDescent="0.3">
      <c r="E592" s="64">
        <v>170</v>
      </c>
      <c r="F592" s="56">
        <v>10.35</v>
      </c>
      <c r="G592" s="56">
        <v>10.35</v>
      </c>
      <c r="H592" s="56">
        <v>10.45</v>
      </c>
      <c r="I592" s="56"/>
      <c r="J592" s="56">
        <v>10.399999999999999</v>
      </c>
      <c r="K592" s="57">
        <v>0.28889999999999999</v>
      </c>
      <c r="L592" s="57"/>
      <c r="M592" s="65">
        <v>10.401339988846345</v>
      </c>
    </row>
    <row r="593" spans="5:13" x14ac:dyDescent="0.3">
      <c r="E593" s="62" t="s">
        <v>66</v>
      </c>
      <c r="F593" s="54">
        <v>0.36438356164383562</v>
      </c>
      <c r="G593" s="54"/>
      <c r="H593" s="54" t="s">
        <v>65</v>
      </c>
      <c r="I593" s="54">
        <v>1.1042533333333333E-2</v>
      </c>
      <c r="J593" s="54"/>
      <c r="K593" s="54"/>
      <c r="L593" s="54"/>
      <c r="M593" s="63"/>
    </row>
    <row r="594" spans="5:13" x14ac:dyDescent="0.3">
      <c r="E594" s="64">
        <v>170</v>
      </c>
      <c r="F594" s="56">
        <v>12.5</v>
      </c>
      <c r="G594" s="56">
        <v>12.6</v>
      </c>
      <c r="H594" s="56">
        <v>12.7</v>
      </c>
      <c r="I594" s="56"/>
      <c r="J594" s="56">
        <v>12.649999999999999</v>
      </c>
      <c r="K594" s="57">
        <v>0.30320000000000003</v>
      </c>
      <c r="L594" s="57"/>
      <c r="M594" s="65">
        <v>12.763974292073343</v>
      </c>
    </row>
    <row r="595" spans="5:13" x14ac:dyDescent="0.3">
      <c r="E595" s="62" t="s">
        <v>66</v>
      </c>
      <c r="F595" s="54">
        <v>0.44109589041095892</v>
      </c>
      <c r="G595" s="54"/>
      <c r="H595" s="54" t="s">
        <v>65</v>
      </c>
      <c r="I595" s="54">
        <v>1.2361466666666668E-2</v>
      </c>
      <c r="J595" s="54"/>
      <c r="K595" s="54"/>
      <c r="L595" s="54"/>
      <c r="M595" s="63"/>
    </row>
    <row r="596" spans="5:13" x14ac:dyDescent="0.3">
      <c r="E596" s="64">
        <v>170</v>
      </c>
      <c r="F596" s="56">
        <v>13.91</v>
      </c>
      <c r="G596" s="56">
        <v>14.05</v>
      </c>
      <c r="H596" s="56">
        <v>14.25</v>
      </c>
      <c r="I596" s="56"/>
      <c r="J596" s="56">
        <v>14.15</v>
      </c>
      <c r="K596" s="57">
        <v>0.31180000000000002</v>
      </c>
      <c r="L596" s="57"/>
      <c r="M596" s="65">
        <v>14.4979114273563</v>
      </c>
    </row>
    <row r="597" spans="5:13" x14ac:dyDescent="0.3">
      <c r="E597" s="62" t="s">
        <v>66</v>
      </c>
      <c r="F597" s="54">
        <v>0.53698630136986303</v>
      </c>
      <c r="G597" s="54"/>
      <c r="H597" s="54" t="s">
        <v>65</v>
      </c>
      <c r="I597" s="54">
        <v>1.3680400000000001E-2</v>
      </c>
      <c r="J597" s="54"/>
      <c r="K597" s="54"/>
      <c r="L597" s="54"/>
      <c r="M597" s="63"/>
    </row>
    <row r="598" spans="5:13" x14ac:dyDescent="0.3">
      <c r="E598" s="64">
        <v>170</v>
      </c>
      <c r="F598" s="56">
        <v>15.67</v>
      </c>
      <c r="G598" s="56">
        <v>15.6</v>
      </c>
      <c r="H598" s="56">
        <v>15.8</v>
      </c>
      <c r="I598" s="56"/>
      <c r="J598" s="56">
        <v>15.7</v>
      </c>
      <c r="K598" s="57">
        <v>0.31390000000000001</v>
      </c>
      <c r="L598" s="57"/>
      <c r="M598" s="65">
        <v>16.189281975261153</v>
      </c>
    </row>
    <row r="599" spans="5:13" x14ac:dyDescent="0.3">
      <c r="E599" s="62" t="s">
        <v>66</v>
      </c>
      <c r="F599" s="54">
        <v>0.61369863013698633</v>
      </c>
      <c r="G599" s="54"/>
      <c r="H599" s="54" t="s">
        <v>65</v>
      </c>
      <c r="I599" s="54">
        <v>1.4896666666666667E-2</v>
      </c>
      <c r="J599" s="54"/>
      <c r="K599" s="54"/>
      <c r="L599" s="54"/>
      <c r="M599" s="63"/>
    </row>
    <row r="600" spans="5:13" x14ac:dyDescent="0.3">
      <c r="E600" s="64">
        <v>170</v>
      </c>
      <c r="F600" s="56">
        <v>16.95</v>
      </c>
      <c r="G600" s="56">
        <v>16.850000000000001</v>
      </c>
      <c r="H600" s="56">
        <v>17.100000000000001</v>
      </c>
      <c r="I600" s="56"/>
      <c r="J600" s="56">
        <v>16.975000000000001</v>
      </c>
      <c r="K600" s="57">
        <v>0.318</v>
      </c>
      <c r="L600" s="57"/>
      <c r="M600" s="65">
        <v>17.610521430611499</v>
      </c>
    </row>
    <row r="601" spans="5:13" x14ac:dyDescent="0.3">
      <c r="E601" s="62" t="s">
        <v>66</v>
      </c>
      <c r="F601" s="54">
        <v>0.78630136986301369</v>
      </c>
      <c r="G601" s="54"/>
      <c r="H601" s="54" t="s">
        <v>65</v>
      </c>
      <c r="I601" s="54">
        <v>1.7329199999999999E-2</v>
      </c>
      <c r="J601" s="54"/>
      <c r="K601" s="54"/>
      <c r="L601" s="54"/>
      <c r="M601" s="63"/>
    </row>
    <row r="602" spans="5:13" x14ac:dyDescent="0.3">
      <c r="E602" s="64">
        <v>170</v>
      </c>
      <c r="F602" s="56">
        <v>19.05</v>
      </c>
      <c r="G602" s="56">
        <v>19.149999999999999</v>
      </c>
      <c r="H602" s="56">
        <v>19.45</v>
      </c>
      <c r="I602" s="56"/>
      <c r="J602" s="56">
        <v>19.299999999999997</v>
      </c>
      <c r="K602" s="57">
        <v>0.32069999999999999</v>
      </c>
      <c r="L602" s="57"/>
      <c r="M602" s="65">
        <v>20.315532257316818</v>
      </c>
    </row>
    <row r="603" spans="5:13" x14ac:dyDescent="0.3">
      <c r="E603" s="62" t="s">
        <v>66</v>
      </c>
      <c r="F603" s="54">
        <v>0.9397260273972603</v>
      </c>
      <c r="G603" s="54"/>
      <c r="H603" s="54" t="s">
        <v>65</v>
      </c>
      <c r="I603" s="54">
        <v>2.01817E-2</v>
      </c>
      <c r="J603" s="54"/>
      <c r="K603" s="54"/>
      <c r="L603" s="54"/>
      <c r="M603" s="63"/>
    </row>
    <row r="604" spans="5:13" x14ac:dyDescent="0.3">
      <c r="E604" s="64">
        <v>170</v>
      </c>
      <c r="F604" s="56">
        <v>21.05</v>
      </c>
      <c r="G604" s="56">
        <v>21.35</v>
      </c>
      <c r="H604" s="56">
        <v>21.65</v>
      </c>
      <c r="I604" s="56"/>
      <c r="J604" s="56">
        <v>21.5</v>
      </c>
      <c r="K604" s="57">
        <v>0.32719999999999999</v>
      </c>
      <c r="L604" s="57"/>
      <c r="M604" s="65">
        <v>22.907821916409574</v>
      </c>
    </row>
    <row r="605" spans="5:13" x14ac:dyDescent="0.3">
      <c r="E605" s="62" t="s">
        <v>66</v>
      </c>
      <c r="F605" s="54">
        <v>1.189041095890411</v>
      </c>
      <c r="G605" s="54"/>
      <c r="H605" s="54" t="s">
        <v>65</v>
      </c>
      <c r="I605" s="54">
        <v>2.1240666666666668E-2</v>
      </c>
      <c r="J605" s="54"/>
      <c r="K605" s="54"/>
      <c r="L605" s="54"/>
      <c r="M605" s="63"/>
    </row>
    <row r="606" spans="5:13" x14ac:dyDescent="0.3">
      <c r="E606" s="64">
        <v>170</v>
      </c>
      <c r="F606" s="56">
        <v>24.5</v>
      </c>
      <c r="G606" s="56">
        <v>24.45</v>
      </c>
      <c r="H606" s="56">
        <v>24.9</v>
      </c>
      <c r="I606" s="56"/>
      <c r="J606" s="56">
        <v>24.674999999999997</v>
      </c>
      <c r="K606" s="57">
        <v>0.33510000000000001</v>
      </c>
      <c r="L606" s="57"/>
      <c r="M606" s="65">
        <v>26.568561328152512</v>
      </c>
    </row>
    <row r="607" spans="5:13" x14ac:dyDescent="0.3">
      <c r="E607" s="62" t="s">
        <v>66</v>
      </c>
      <c r="F607" s="54">
        <v>1.4383561643835616</v>
      </c>
      <c r="G607" s="54"/>
      <c r="H607" s="54" t="s">
        <v>65</v>
      </c>
      <c r="I607" s="54">
        <v>2.33586E-2</v>
      </c>
      <c r="J607" s="54"/>
      <c r="K607" s="54"/>
      <c r="L607" s="54"/>
      <c r="M607" s="63"/>
    </row>
    <row r="608" spans="5:13" x14ac:dyDescent="0.3">
      <c r="E608" s="64">
        <v>170</v>
      </c>
      <c r="F608" s="56">
        <v>24.5</v>
      </c>
      <c r="G608" s="56">
        <v>24.45</v>
      </c>
      <c r="H608" s="56">
        <v>24.9</v>
      </c>
      <c r="I608" s="56"/>
      <c r="J608" s="56">
        <v>24.674999999999997</v>
      </c>
      <c r="K608" s="57">
        <v>0.33510000000000001</v>
      </c>
      <c r="L608" s="57"/>
      <c r="M608" s="65">
        <v>29.581925129323224</v>
      </c>
    </row>
    <row r="609" spans="5:13" x14ac:dyDescent="0.3">
      <c r="E609" s="62" t="s">
        <v>66</v>
      </c>
      <c r="F609" s="54">
        <v>1.7835616438356163</v>
      </c>
      <c r="G609" s="54"/>
      <c r="H609" s="54" t="s">
        <v>65</v>
      </c>
      <c r="I609" s="54">
        <v>2.5476533333333332E-2</v>
      </c>
      <c r="J609" s="54"/>
      <c r="K609" s="54"/>
      <c r="L609" s="54"/>
      <c r="M609" s="63"/>
    </row>
    <row r="610" spans="5:13" ht="15" thickBot="1" x14ac:dyDescent="0.35">
      <c r="E610" s="66">
        <v>170</v>
      </c>
      <c r="F610" s="67">
        <v>30.63</v>
      </c>
      <c r="G610" s="67">
        <v>30.65</v>
      </c>
      <c r="H610" s="67">
        <v>31.4</v>
      </c>
      <c r="I610" s="67"/>
      <c r="J610" s="67">
        <v>31.024999999999999</v>
      </c>
      <c r="K610" s="68">
        <v>0.3473</v>
      </c>
      <c r="L610" s="68"/>
      <c r="M610" s="69">
        <v>34.460210556467942</v>
      </c>
    </row>
  </sheetData>
  <mergeCells count="29">
    <mergeCell ref="K606:L606"/>
    <mergeCell ref="K608:L608"/>
    <mergeCell ref="K610:L610"/>
    <mergeCell ref="B5:C5"/>
    <mergeCell ref="B6:C6"/>
    <mergeCell ref="B7:C7"/>
    <mergeCell ref="K596:L596"/>
    <mergeCell ref="K598:L598"/>
    <mergeCell ref="K600:L600"/>
    <mergeCell ref="K602:L602"/>
    <mergeCell ref="K604:L604"/>
    <mergeCell ref="K588:L588"/>
    <mergeCell ref="K587:L587"/>
    <mergeCell ref="K590:L590"/>
    <mergeCell ref="K592:L592"/>
    <mergeCell ref="K594:L594"/>
    <mergeCell ref="D556:J557"/>
    <mergeCell ref="C400:D400"/>
    <mergeCell ref="C401:D401"/>
    <mergeCell ref="D426:J429"/>
    <mergeCell ref="K586:L586"/>
    <mergeCell ref="C2:K4"/>
    <mergeCell ref="D10:J11"/>
    <mergeCell ref="C19:E20"/>
    <mergeCell ref="C80:E81"/>
    <mergeCell ref="C159:E160"/>
    <mergeCell ref="D397:J398"/>
    <mergeCell ref="C239:E240"/>
    <mergeCell ref="C318:E319"/>
  </mergeCells>
  <pageMargins left="0.7" right="0.7" top="0.75" bottom="0.75" header="0.3" footer="0.3"/>
  <pageSetup paperSize="9" scale="64" fitToWidth="8" fitToHeight="8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3C2B35-2218-4893-85EC-8210C1A59EF5}">
  <sheetPr codeName="Sheet10"/>
  <dimension ref="B2:BF205"/>
  <sheetViews>
    <sheetView topLeftCell="Y1" zoomScale="55" zoomScaleNormal="55" workbookViewId="0">
      <selection activeCell="AL199" sqref="AL199"/>
    </sheetView>
  </sheetViews>
  <sheetFormatPr defaultRowHeight="14.4" x14ac:dyDescent="0.3"/>
  <cols>
    <col min="2" max="2" width="9.21875" customWidth="1"/>
    <col min="8" max="8" width="12.109375" customWidth="1"/>
    <col min="20" max="20" width="12.21875" customWidth="1"/>
    <col min="36" max="36" width="10.33203125" customWidth="1"/>
  </cols>
  <sheetData>
    <row r="2" spans="4:58" x14ac:dyDescent="0.3">
      <c r="E2">
        <v>9.5890410958904104E-2</v>
      </c>
      <c r="F2">
        <v>0.19178082191780821</v>
      </c>
      <c r="G2">
        <v>0.26849315068493151</v>
      </c>
      <c r="H2">
        <v>0.36438356164383562</v>
      </c>
      <c r="I2">
        <v>0.44109589041095892</v>
      </c>
      <c r="J2">
        <v>0.53698630136986303</v>
      </c>
      <c r="K2">
        <v>0.61369863013698633</v>
      </c>
      <c r="L2">
        <v>0.78630136986301369</v>
      </c>
      <c r="M2">
        <v>0.9397260273972603</v>
      </c>
      <c r="N2">
        <v>1.189041095890411</v>
      </c>
      <c r="O2">
        <v>1.4383561643835616</v>
      </c>
      <c r="P2">
        <v>1.7835616438356163</v>
      </c>
      <c r="AH2" t="s">
        <v>40</v>
      </c>
    </row>
    <row r="3" spans="4:58" x14ac:dyDescent="0.3">
      <c r="D3">
        <v>150</v>
      </c>
      <c r="E3" s="16">
        <v>0.34079999999999999</v>
      </c>
      <c r="F3" s="16">
        <v>0.33479999999999999</v>
      </c>
      <c r="G3" s="16">
        <v>0.33160000000000001</v>
      </c>
      <c r="H3" s="16">
        <v>0.34539999999999998</v>
      </c>
      <c r="I3" s="16">
        <v>0.3533</v>
      </c>
      <c r="J3" s="16">
        <v>0.35199999999999998</v>
      </c>
      <c r="K3" s="16">
        <v>0.35160000000000002</v>
      </c>
      <c r="L3" s="16">
        <v>0.3523</v>
      </c>
      <c r="M3" s="16">
        <v>0.35499999999999998</v>
      </c>
      <c r="N3" s="16">
        <v>0.35870000000000002</v>
      </c>
      <c r="O3" s="16">
        <v>0.35870000000000002</v>
      </c>
      <c r="P3" s="16">
        <v>0.36799999999999999</v>
      </c>
      <c r="Q3" s="16"/>
    </row>
    <row r="4" spans="4:58" x14ac:dyDescent="0.3">
      <c r="D4">
        <v>155</v>
      </c>
      <c r="E4" s="16">
        <v>0.3251</v>
      </c>
      <c r="F4" s="16">
        <v>0.32200000000000001</v>
      </c>
      <c r="G4" s="16">
        <v>0.32500000000000001</v>
      </c>
      <c r="H4" s="16">
        <v>0.33339999999999997</v>
      </c>
      <c r="I4" s="16">
        <v>0.34160000000000001</v>
      </c>
      <c r="J4" s="16">
        <v>0.3427</v>
      </c>
      <c r="K4" s="16">
        <v>0.34250000000000003</v>
      </c>
      <c r="L4" s="16">
        <v>0.34200000000000003</v>
      </c>
      <c r="M4" s="16">
        <v>0.34660000000000002</v>
      </c>
      <c r="N4" s="16">
        <v>0.35089999999999999</v>
      </c>
      <c r="O4" s="16">
        <v>0.35089999999999999</v>
      </c>
      <c r="P4" s="16">
        <v>0.36149999999999999</v>
      </c>
      <c r="Q4" s="16"/>
    </row>
    <row r="5" spans="4:58" x14ac:dyDescent="0.3">
      <c r="D5">
        <v>160</v>
      </c>
      <c r="E5" s="16">
        <v>0.31180000000000002</v>
      </c>
      <c r="F5" s="16">
        <v>0.30980000000000002</v>
      </c>
      <c r="G5" s="16">
        <v>0.31069999999999998</v>
      </c>
      <c r="H5" s="16">
        <v>0.32200000000000001</v>
      </c>
      <c r="I5" s="16">
        <v>0.32979999999999998</v>
      </c>
      <c r="J5" s="16">
        <v>0.33119999999999999</v>
      </c>
      <c r="K5" s="16">
        <v>0.33579999999999999</v>
      </c>
      <c r="L5" s="16">
        <v>0.33429999999999999</v>
      </c>
      <c r="M5" s="16">
        <v>0.33979999999999999</v>
      </c>
      <c r="N5" s="16">
        <v>0.3463</v>
      </c>
      <c r="O5" s="16">
        <v>0.3463</v>
      </c>
      <c r="P5" s="16">
        <v>0.35670000000000002</v>
      </c>
      <c r="Q5" s="16"/>
      <c r="AH5" t="s">
        <v>23</v>
      </c>
      <c r="AJ5" t="s">
        <v>30</v>
      </c>
    </row>
    <row r="6" spans="4:58" x14ac:dyDescent="0.3">
      <c r="D6">
        <v>165</v>
      </c>
      <c r="E6" s="16">
        <v>0.29649999999999999</v>
      </c>
      <c r="F6" s="16">
        <v>0.29930000000000001</v>
      </c>
      <c r="G6" s="16">
        <v>0.29820000000000002</v>
      </c>
      <c r="H6" s="16">
        <v>0.30930000000000002</v>
      </c>
      <c r="I6" s="16">
        <v>0.31969999999999998</v>
      </c>
      <c r="J6" s="16">
        <v>0.32179999999999997</v>
      </c>
      <c r="K6" s="16">
        <v>0.32500000000000001</v>
      </c>
      <c r="L6" s="16">
        <v>0.32690000000000002</v>
      </c>
      <c r="M6" s="16">
        <v>0.33279999999999998</v>
      </c>
      <c r="N6" s="16">
        <v>0.33960000000000001</v>
      </c>
      <c r="O6" s="16">
        <v>0.33960000000000001</v>
      </c>
      <c r="P6" s="16">
        <v>0.3518</v>
      </c>
      <c r="Q6" s="16"/>
      <c r="AH6" t="s">
        <v>24</v>
      </c>
      <c r="AJ6">
        <v>170.09</v>
      </c>
    </row>
    <row r="7" spans="4:58" x14ac:dyDescent="0.3">
      <c r="D7">
        <v>170</v>
      </c>
      <c r="E7" s="16">
        <v>0.28410000000000002</v>
      </c>
      <c r="F7" s="16">
        <v>0.28689999999999999</v>
      </c>
      <c r="G7" s="16">
        <v>0.28889999999999999</v>
      </c>
      <c r="H7" s="16">
        <v>0.30320000000000003</v>
      </c>
      <c r="I7" s="16">
        <v>0.31180000000000002</v>
      </c>
      <c r="J7" s="16">
        <v>0.31390000000000001</v>
      </c>
      <c r="K7" s="16">
        <v>0.318</v>
      </c>
      <c r="L7" s="16">
        <v>0.32069999999999999</v>
      </c>
      <c r="M7" s="16">
        <v>0.32719999999999999</v>
      </c>
      <c r="N7" s="16">
        <v>0.33510000000000001</v>
      </c>
      <c r="O7" s="16">
        <v>0.33510000000000001</v>
      </c>
      <c r="P7" s="16">
        <v>0.3473</v>
      </c>
      <c r="Q7" s="16"/>
      <c r="AH7" t="s">
        <v>25</v>
      </c>
    </row>
    <row r="8" spans="4:58" x14ac:dyDescent="0.3">
      <c r="D8">
        <v>175</v>
      </c>
      <c r="E8" s="16">
        <v>0.27200000000000002</v>
      </c>
      <c r="F8" s="16">
        <v>0.27800000000000002</v>
      </c>
      <c r="G8" s="16">
        <v>0.27879999999999999</v>
      </c>
      <c r="H8" s="16">
        <v>0.29449999999999998</v>
      </c>
      <c r="I8" s="16">
        <v>0.3024</v>
      </c>
      <c r="J8" s="16">
        <v>0.30620000000000003</v>
      </c>
      <c r="K8" s="16">
        <v>0.31059999999999999</v>
      </c>
      <c r="L8" s="16">
        <v>0.31459999999999999</v>
      </c>
      <c r="M8" s="16">
        <v>0.32119999999999999</v>
      </c>
      <c r="N8" s="16">
        <v>0.32929999999999998</v>
      </c>
      <c r="O8" s="16">
        <v>0.32929999999999998</v>
      </c>
      <c r="P8" s="16">
        <v>0.34320000000000001</v>
      </c>
      <c r="Q8" s="16"/>
      <c r="AH8" t="s">
        <v>26</v>
      </c>
    </row>
    <row r="9" spans="4:58" x14ac:dyDescent="0.3">
      <c r="D9">
        <v>180</v>
      </c>
      <c r="E9" s="16">
        <v>0.26140000000000002</v>
      </c>
      <c r="F9" s="16">
        <v>0.27029999999999998</v>
      </c>
      <c r="G9" s="16">
        <v>0.27189999999999998</v>
      </c>
      <c r="H9" s="16">
        <v>0.2853</v>
      </c>
      <c r="I9" s="16">
        <v>0.2969</v>
      </c>
      <c r="J9" s="16">
        <v>0.30049999999999999</v>
      </c>
      <c r="K9" s="16">
        <v>0.30459999999999998</v>
      </c>
      <c r="L9" s="16">
        <v>0.30940000000000001</v>
      </c>
      <c r="M9" s="16">
        <v>0.31640000000000001</v>
      </c>
      <c r="N9" s="16">
        <v>0.32419999999999999</v>
      </c>
      <c r="O9" s="16">
        <v>0.32419999999999999</v>
      </c>
      <c r="P9" s="16">
        <v>0.33910000000000001</v>
      </c>
      <c r="Q9" s="16"/>
      <c r="AH9" t="s">
        <v>27</v>
      </c>
    </row>
    <row r="10" spans="4:58" x14ac:dyDescent="0.3">
      <c r="D10">
        <v>185</v>
      </c>
      <c r="E10" s="16">
        <v>0.2581</v>
      </c>
      <c r="F10" s="16">
        <v>0.26369999999999999</v>
      </c>
      <c r="G10" s="16">
        <v>0.2656</v>
      </c>
      <c r="H10" s="16">
        <v>0.28079999999999999</v>
      </c>
      <c r="I10" s="16">
        <v>0.28839999999999999</v>
      </c>
      <c r="J10" s="16">
        <v>0.29389999999999999</v>
      </c>
      <c r="K10" s="16">
        <v>0.29899999999999999</v>
      </c>
      <c r="L10" s="16">
        <v>0.3034</v>
      </c>
      <c r="M10" s="16">
        <v>0.31130000000000002</v>
      </c>
      <c r="N10" s="16">
        <v>0.32050000000000001</v>
      </c>
      <c r="O10" s="16">
        <v>0.32050000000000001</v>
      </c>
      <c r="P10" s="16">
        <v>0.33479999999999999</v>
      </c>
      <c r="Q10" s="16"/>
      <c r="AH10" t="s">
        <v>28</v>
      </c>
      <c r="AJ10">
        <v>0.01</v>
      </c>
    </row>
    <row r="11" spans="4:58" x14ac:dyDescent="0.3">
      <c r="D11">
        <v>190</v>
      </c>
      <c r="E11" s="16">
        <v>0.26100000000000001</v>
      </c>
      <c r="F11" s="16">
        <v>0.26029999999999998</v>
      </c>
      <c r="G11" s="16">
        <v>0.26140000000000002</v>
      </c>
      <c r="H11" s="16">
        <v>0.27660000000000001</v>
      </c>
      <c r="I11" s="16">
        <v>0.28299999999999997</v>
      </c>
      <c r="J11" s="16">
        <v>0.28860000000000002</v>
      </c>
      <c r="K11" s="16">
        <v>0.29509999999999997</v>
      </c>
      <c r="L11" s="16">
        <v>0.29930000000000001</v>
      </c>
      <c r="M11" s="16">
        <v>0.30659999999999998</v>
      </c>
      <c r="N11" s="16">
        <v>0.31630000000000003</v>
      </c>
      <c r="O11" s="16">
        <v>0.31630000000000003</v>
      </c>
      <c r="P11" s="16">
        <v>0.32769999999999999</v>
      </c>
      <c r="Q11" s="16"/>
      <c r="AH11" t="s">
        <v>29</v>
      </c>
      <c r="AJ11">
        <v>0</v>
      </c>
    </row>
    <row r="12" spans="4:58" x14ac:dyDescent="0.3">
      <c r="D12">
        <v>195</v>
      </c>
      <c r="E12" s="16">
        <v>0.2681</v>
      </c>
      <c r="F12" s="16">
        <v>0.25979999999999998</v>
      </c>
      <c r="G12" s="16">
        <v>0.2581</v>
      </c>
      <c r="H12" s="16">
        <v>0.27179999999999999</v>
      </c>
      <c r="I12" s="16">
        <v>0.28010000000000002</v>
      </c>
      <c r="J12" s="16">
        <v>0.28360000000000002</v>
      </c>
      <c r="K12" s="16">
        <v>0.2898</v>
      </c>
      <c r="L12" s="16">
        <v>0.29449999999999998</v>
      </c>
      <c r="M12" s="16">
        <v>0.30249999999999999</v>
      </c>
      <c r="N12" s="16">
        <v>0.31280000000000002</v>
      </c>
      <c r="O12" s="16">
        <v>0.31280000000000002</v>
      </c>
      <c r="P12" s="16">
        <v>0.32819999999999999</v>
      </c>
      <c r="Q12" s="16"/>
    </row>
    <row r="13" spans="4:58" x14ac:dyDescent="0.3">
      <c r="D13">
        <v>200</v>
      </c>
      <c r="E13" s="16">
        <v>0.28170000000000001</v>
      </c>
      <c r="F13" s="16">
        <v>0.26050000000000001</v>
      </c>
      <c r="G13" s="16">
        <v>0.25619999999999998</v>
      </c>
      <c r="H13" s="16">
        <v>0.26979999999999998</v>
      </c>
      <c r="I13" s="16">
        <v>0.27689999999999998</v>
      </c>
      <c r="J13" s="16">
        <v>0.27960000000000002</v>
      </c>
      <c r="K13" s="16">
        <v>0.28570000000000001</v>
      </c>
      <c r="L13" s="16">
        <v>0.29020000000000001</v>
      </c>
      <c r="M13" s="16">
        <v>0.29899999999999999</v>
      </c>
      <c r="N13" s="16">
        <v>0.31019999999999998</v>
      </c>
      <c r="O13" s="16">
        <v>0.31019999999999998</v>
      </c>
      <c r="P13" s="16">
        <v>0.32540000000000002</v>
      </c>
      <c r="Q13" s="16"/>
      <c r="AI13">
        <v>9.5890410958904104E-2</v>
      </c>
      <c r="AJ13">
        <v>9.6176000000000005E-3</v>
      </c>
      <c r="AK13">
        <v>0.19178082191780821</v>
      </c>
      <c r="AL13">
        <v>9.7769999999999992E-3</v>
      </c>
      <c r="AM13">
        <v>0.26849315068493151</v>
      </c>
      <c r="AN13">
        <v>9.7236000000000006E-3</v>
      </c>
      <c r="AO13">
        <v>0.36438356164383562</v>
      </c>
      <c r="AP13">
        <v>1.1042533333333333E-2</v>
      </c>
      <c r="AQ13">
        <v>0.44109589041095892</v>
      </c>
      <c r="AR13">
        <v>1.2361466666666668E-2</v>
      </c>
      <c r="AS13">
        <v>0.53698630136986303</v>
      </c>
      <c r="AT13">
        <v>1.3680400000000001E-2</v>
      </c>
      <c r="AU13">
        <v>0.61369863013698633</v>
      </c>
      <c r="AV13">
        <v>1.4896666666666667E-2</v>
      </c>
      <c r="AW13">
        <v>0.78630136986301369</v>
      </c>
      <c r="AX13">
        <v>1.7329199999999999E-2</v>
      </c>
      <c r="AY13">
        <v>0.9397260273972603</v>
      </c>
      <c r="AZ13">
        <v>2.01817E-2</v>
      </c>
      <c r="BA13">
        <v>1.189041095890411</v>
      </c>
      <c r="BB13">
        <v>2.1240666666666668E-2</v>
      </c>
      <c r="BC13">
        <v>1.4383561643835616</v>
      </c>
      <c r="BD13">
        <v>2.33586E-2</v>
      </c>
      <c r="BE13">
        <v>1.7835616438356163</v>
      </c>
      <c r="BF13">
        <v>2.5476533333333332E-2</v>
      </c>
    </row>
    <row r="14" spans="4:58" x14ac:dyDescent="0.3"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</row>
    <row r="17" spans="2:58" x14ac:dyDescent="0.3">
      <c r="AI17">
        <v>9.5890410958904104E-2</v>
      </c>
      <c r="AJ17" t="s">
        <v>301</v>
      </c>
      <c r="AK17">
        <v>0.19178082191780821</v>
      </c>
      <c r="AM17">
        <v>0.26849315068493151</v>
      </c>
      <c r="AO17">
        <v>0.36438356164383562</v>
      </c>
      <c r="AQ17">
        <v>0.44109589041095892</v>
      </c>
      <c r="AS17">
        <v>0.53698630136986303</v>
      </c>
      <c r="AU17">
        <v>0.61369863013698633</v>
      </c>
      <c r="AW17">
        <v>0.78630136986301369</v>
      </c>
      <c r="AY17">
        <v>0.9397260273972603</v>
      </c>
      <c r="BA17">
        <v>1.189041095890411</v>
      </c>
      <c r="BC17">
        <v>1.4383561643835616</v>
      </c>
      <c r="BE17">
        <v>1.7835616438356163</v>
      </c>
    </row>
    <row r="18" spans="2:58" x14ac:dyDescent="0.3">
      <c r="AH18">
        <v>150</v>
      </c>
      <c r="AI18" s="16">
        <v>0.34079999999999999</v>
      </c>
      <c r="AJ18" s="16">
        <f>OptionVega($AJ$6,$AH18,$AI$17,$AJ$13,AI18,$AJ$11)</f>
        <v>9.5897522967533386E-2</v>
      </c>
      <c r="AK18" s="16">
        <v>0.33479999999999999</v>
      </c>
      <c r="AL18" s="16">
        <f>OptionVega($AJ$6,$AH18,$AK$17,$AL$13,AK18,$AJ$11)</f>
        <v>0.19043207006123472</v>
      </c>
      <c r="AM18" s="16">
        <v>0.33160000000000001</v>
      </c>
      <c r="AN18" s="16">
        <f>OptionVega($AJ$6,$AH18,$AM$17,$AN$13,AM18,$AJ$11)</f>
        <v>0.24860719117886843</v>
      </c>
      <c r="AO18" s="16">
        <v>0.34539999999999998</v>
      </c>
      <c r="AP18" s="16">
        <f>OptionVega($AJ$6,$AH18,$AO$17,$AP$13,AO18,$AJ$11)</f>
        <v>0.31462309023344154</v>
      </c>
      <c r="AQ18" s="16">
        <v>0.3533</v>
      </c>
      <c r="AR18" s="16">
        <f>OptionVega($AJ$6,$AH18,$AQ$17,$AR$13,AQ18,$AJ$11)</f>
        <v>0.35855534179393306</v>
      </c>
      <c r="AS18" s="16">
        <v>0.35199999999999998</v>
      </c>
      <c r="AT18" s="16">
        <f>OptionVega($AJ$6,$AH18,$AS$17,$AT$13,AS18,$AJ$11)</f>
        <v>0.40392897846605913</v>
      </c>
      <c r="AU18" s="16">
        <v>0.35160000000000002</v>
      </c>
      <c r="AV18" s="16">
        <f>OptionVega($AJ$6,$AH18,$AU$17,$AV$13,AU18,$AJ$11)</f>
        <v>0.43664951120988987</v>
      </c>
      <c r="AW18" s="16">
        <v>0.3523</v>
      </c>
      <c r="AX18" s="16">
        <f>OptionVega($AJ$6,$AH18,$AW$17,$AX$13,AW18,$AJ$11)</f>
        <v>0.50193261622784768</v>
      </c>
      <c r="AY18" s="16">
        <v>0.35499999999999998</v>
      </c>
      <c r="AZ18" s="16">
        <f>OptionVega($AJ$6,$AH18,$AY$17,$AZ$13,AY18,$AJ$11)</f>
        <v>0.55192418530440068</v>
      </c>
      <c r="BA18" s="16">
        <v>0.35870000000000002</v>
      </c>
      <c r="BB18" s="16">
        <f>OptionVega($AJ$6,$AH18,$BA$17,$BB$13,BA18,$AJ$11)</f>
        <v>0.62483173542070258</v>
      </c>
      <c r="BC18" s="16">
        <v>0.35870000000000002</v>
      </c>
      <c r="BD18" s="16">
        <f>OptionVega($AJ$6,$AH18,$BC$17,$BD$13,BC18,$AJ$11)</f>
        <v>0.68566841677779988</v>
      </c>
      <c r="BE18" s="16">
        <v>0.36799999999999999</v>
      </c>
      <c r="BF18" s="16">
        <f>OptionVega($AJ$6,$AH18,$BE$17,$BF$13,BE18,$AJ$11)</f>
        <v>0.75968088317181848</v>
      </c>
    </row>
    <row r="19" spans="2:58" x14ac:dyDescent="0.3">
      <c r="H19" s="7">
        <v>44694</v>
      </c>
      <c r="J19" t="s">
        <v>66</v>
      </c>
      <c r="K19">
        <f>(H19-$B$21)/365</f>
        <v>9.5890410958904104E-2</v>
      </c>
      <c r="T19" s="34">
        <v>44729</v>
      </c>
      <c r="V19" t="s">
        <v>66</v>
      </c>
      <c r="W19">
        <f>(T19-$B$21)/365</f>
        <v>0.19178082191780821</v>
      </c>
      <c r="AH19">
        <v>155</v>
      </c>
      <c r="AI19" s="16">
        <v>0.3251</v>
      </c>
      <c r="AJ19" s="16">
        <f t="shared" ref="AJ19:AJ28" si="0">OptionVega($AJ$6,$AH19,$AI$17,$AJ$13,AI19,$AJ$11)</f>
        <v>0.12969866155086354</v>
      </c>
      <c r="AK19" s="16">
        <v>0.32200000000000001</v>
      </c>
      <c r="AL19" s="16">
        <f t="shared" ref="AL19:AL28" si="1">OptionVega($AJ$6,$AH19,$AK$17,$AL$13,AK19,$AJ$11)</f>
        <v>0.22554632512640241</v>
      </c>
      <c r="AM19" s="16">
        <v>0.32500000000000001</v>
      </c>
      <c r="AN19" s="16">
        <f t="shared" ref="AN19:AN28" si="2">OptionVega($AJ$6,$AH19,$AM$17,$AN$13,AM19,$AJ$11)</f>
        <v>0.2843956247828171</v>
      </c>
      <c r="AO19" s="16">
        <v>0.33339999999999997</v>
      </c>
      <c r="AP19" s="16">
        <f t="shared" ref="AP19:AP28" si="3">OptionVega($AJ$6,$AH19,$AO$17,$AP$13,AO19,$AJ$11)</f>
        <v>0.34574425636694961</v>
      </c>
      <c r="AQ19" s="16">
        <v>0.34160000000000001</v>
      </c>
      <c r="AR19" s="16">
        <f t="shared" ref="AR19:AR28" si="4">OptionVega($AJ$6,$AH19,$AQ$17,$AR$13,AQ19,$AJ$11)</f>
        <v>0.38805411392429839</v>
      </c>
      <c r="AS19" s="16">
        <v>0.3427</v>
      </c>
      <c r="AT19" s="16">
        <f t="shared" ref="AT19:AT28" si="5">OptionVega($AJ$6,$AH19,$AS$17,$AT$13,AS19,$AJ$11)</f>
        <v>0.43328584261126846</v>
      </c>
      <c r="AU19" s="16">
        <v>0.34250000000000003</v>
      </c>
      <c r="AV19" s="16">
        <f t="shared" ref="AV19:AV28" si="6">OptionVega($AJ$6,$AH19,$AU$17,$AV$13,AU19,$AJ$11)</f>
        <v>0.46568284915904895</v>
      </c>
      <c r="AW19" s="16">
        <v>0.34200000000000003</v>
      </c>
      <c r="AX19" s="16">
        <f t="shared" ref="AX19:AX28" si="7">OptionVega($AJ$6,$AH19,$AW$17,$AX$13,AW19,$AJ$11)</f>
        <v>0.53022939954178716</v>
      </c>
      <c r="AY19" s="16">
        <v>0.34660000000000002</v>
      </c>
      <c r="AZ19" s="16">
        <f t="shared" ref="AZ19:AZ28" si="8">OptionVega($AJ$6,$AH19,$AY$17,$AZ$13,AY19,$AJ$11)</f>
        <v>0.58022642941043767</v>
      </c>
      <c r="BA19" s="16">
        <v>0.35089999999999999</v>
      </c>
      <c r="BB19" s="16">
        <f t="shared" ref="BB19:BB28" si="9">OptionVega($AJ$6,$AH19,$BA$17,$BB$13,BA19,$AJ$11)</f>
        <v>0.65294147199822905</v>
      </c>
      <c r="BC19" s="16">
        <v>0.35089999999999999</v>
      </c>
      <c r="BD19" s="16">
        <f t="shared" ref="BD19:BD28" si="10">OptionVega($AJ$6,$AH19,$BC$17,$BD$13,BC19,$AJ$11)</f>
        <v>0.71419692163256532</v>
      </c>
      <c r="BE19" s="16">
        <v>0.36149999999999999</v>
      </c>
      <c r="BF19" s="16">
        <f t="shared" ref="BF19:BF28" si="11">OptionVega($AJ$6,$AH19,$BE$17,$BF$13,BE19,$AJ$11)</f>
        <v>0.7883319215848098</v>
      </c>
    </row>
    <row r="20" spans="2:58" x14ac:dyDescent="0.3">
      <c r="H20" t="s">
        <v>103</v>
      </c>
      <c r="I20" t="s">
        <v>104</v>
      </c>
      <c r="J20">
        <v>150</v>
      </c>
      <c r="K20">
        <v>21.56</v>
      </c>
      <c r="L20">
        <v>21.2</v>
      </c>
      <c r="M20">
        <v>21.45</v>
      </c>
      <c r="N20">
        <v>-0.51</v>
      </c>
      <c r="O20" s="1">
        <v>-2.3099999999999999E-2</v>
      </c>
      <c r="P20">
        <v>2</v>
      </c>
      <c r="Q20">
        <v>5</v>
      </c>
      <c r="R20" s="1">
        <v>0.34079999999999999</v>
      </c>
      <c r="T20" t="s">
        <v>125</v>
      </c>
      <c r="U20" t="s">
        <v>126</v>
      </c>
      <c r="V20">
        <v>150</v>
      </c>
      <c r="W20">
        <v>23.95</v>
      </c>
      <c r="X20">
        <v>22.8</v>
      </c>
      <c r="Y20">
        <v>22.95</v>
      </c>
      <c r="Z20">
        <v>-1.6</v>
      </c>
      <c r="AA20" s="1">
        <v>-6.2600000000000003E-2</v>
      </c>
      <c r="AB20">
        <v>137</v>
      </c>
      <c r="AC20" s="2">
        <v>20153</v>
      </c>
      <c r="AD20" s="1">
        <v>0.33479999999999999</v>
      </c>
      <c r="AH20">
        <v>160</v>
      </c>
      <c r="AI20" s="16">
        <v>0.31180000000000002</v>
      </c>
      <c r="AJ20" s="16">
        <f t="shared" si="0"/>
        <v>0.16547487939842292</v>
      </c>
      <c r="AK20" s="16">
        <v>0.30980000000000002</v>
      </c>
      <c r="AL20" s="16">
        <f t="shared" si="1"/>
        <v>0.25789252294649667</v>
      </c>
      <c r="AM20" s="16">
        <v>0.31069999999999998</v>
      </c>
      <c r="AN20" s="16">
        <f t="shared" si="2"/>
        <v>0.31386139555542836</v>
      </c>
      <c r="AO20" s="16">
        <v>0.32200000000000001</v>
      </c>
      <c r="AP20" s="16">
        <f t="shared" si="3"/>
        <v>0.37303343081380103</v>
      </c>
      <c r="AQ20" s="16">
        <v>0.32979999999999998</v>
      </c>
      <c r="AR20" s="16">
        <f t="shared" si="4"/>
        <v>0.41372132390756666</v>
      </c>
      <c r="AS20" s="16">
        <v>0.33119999999999999</v>
      </c>
      <c r="AT20" s="16">
        <f t="shared" si="5"/>
        <v>0.45835320629002479</v>
      </c>
      <c r="AU20" s="16">
        <v>0.33579999999999999</v>
      </c>
      <c r="AV20" s="16">
        <f t="shared" si="6"/>
        <v>0.49095214242083207</v>
      </c>
      <c r="AW20" s="16">
        <v>0.33429999999999999</v>
      </c>
      <c r="AX20" s="16">
        <f t="shared" si="7"/>
        <v>0.55533644374598135</v>
      </c>
      <c r="AY20" s="16">
        <v>0.33979999999999999</v>
      </c>
      <c r="AZ20" s="16">
        <f t="shared" si="8"/>
        <v>0.60527832484598099</v>
      </c>
      <c r="BA20" s="16">
        <v>0.3463</v>
      </c>
      <c r="BB20" s="16">
        <f t="shared" si="9"/>
        <v>0.6781286877309135</v>
      </c>
      <c r="BC20" s="16">
        <v>0.3463</v>
      </c>
      <c r="BD20" s="16">
        <f t="shared" si="10"/>
        <v>0.74008359697493609</v>
      </c>
      <c r="BE20" s="16">
        <v>0.35670000000000002</v>
      </c>
      <c r="BF20" s="16">
        <f t="shared" si="11"/>
        <v>0.81450737144060081</v>
      </c>
    </row>
    <row r="21" spans="2:58" x14ac:dyDescent="0.3">
      <c r="B21" s="3">
        <v>44659</v>
      </c>
      <c r="D21" s="3"/>
      <c r="H21" t="s">
        <v>105</v>
      </c>
      <c r="I21" t="s">
        <v>106</v>
      </c>
      <c r="J21">
        <v>155</v>
      </c>
      <c r="K21">
        <v>17.47</v>
      </c>
      <c r="L21">
        <v>16.850000000000001</v>
      </c>
      <c r="M21">
        <v>17.05</v>
      </c>
      <c r="N21">
        <v>-0.03</v>
      </c>
      <c r="O21" s="1">
        <v>-1.6999999999999999E-3</v>
      </c>
      <c r="P21">
        <v>3</v>
      </c>
      <c r="Q21">
        <v>32</v>
      </c>
      <c r="R21" s="1">
        <v>0.3251</v>
      </c>
      <c r="T21" t="s">
        <v>127</v>
      </c>
      <c r="U21" t="s">
        <v>128</v>
      </c>
      <c r="V21">
        <v>155</v>
      </c>
      <c r="W21">
        <v>20</v>
      </c>
      <c r="X21">
        <v>18.7</v>
      </c>
      <c r="Y21">
        <v>18.899999999999999</v>
      </c>
      <c r="Z21">
        <v>-1.3</v>
      </c>
      <c r="AA21" s="1">
        <v>-6.0999999999999999E-2</v>
      </c>
      <c r="AB21">
        <v>37</v>
      </c>
      <c r="AC21" s="2">
        <v>12312</v>
      </c>
      <c r="AD21" s="1">
        <v>0.32200000000000001</v>
      </c>
      <c r="AH21">
        <v>165</v>
      </c>
      <c r="AI21" s="16">
        <v>0.29649999999999999</v>
      </c>
      <c r="AJ21" s="16">
        <f t="shared" si="0"/>
        <v>0.19497459905035025</v>
      </c>
      <c r="AK21" s="16">
        <v>0.29930000000000001</v>
      </c>
      <c r="AL21" s="16">
        <f t="shared" si="1"/>
        <v>0.28307547212602818</v>
      </c>
      <c r="AM21" s="16">
        <v>0.29820000000000002</v>
      </c>
      <c r="AN21" s="16">
        <f t="shared" si="2"/>
        <v>0.33705029609677983</v>
      </c>
      <c r="AO21" s="16">
        <v>0.30930000000000002</v>
      </c>
      <c r="AP21" s="16">
        <f t="shared" si="3"/>
        <v>0.39412200370216849</v>
      </c>
      <c r="AQ21" s="16">
        <v>0.31969999999999998</v>
      </c>
      <c r="AR21" s="16">
        <f t="shared" si="4"/>
        <v>0.43395168278974627</v>
      </c>
      <c r="AS21" s="16">
        <v>0.32179999999999997</v>
      </c>
      <c r="AT21" s="16">
        <f t="shared" si="5"/>
        <v>0.47841036144580762</v>
      </c>
      <c r="AU21" s="16">
        <v>0.32500000000000001</v>
      </c>
      <c r="AV21" s="16">
        <f t="shared" si="6"/>
        <v>0.51077747304827459</v>
      </c>
      <c r="AW21" s="16">
        <v>0.32690000000000002</v>
      </c>
      <c r="AX21" s="16">
        <f t="shared" si="7"/>
        <v>0.57578528092328607</v>
      </c>
      <c r="AY21" s="16">
        <v>0.33279999999999998</v>
      </c>
      <c r="AZ21" s="16">
        <f t="shared" si="8"/>
        <v>0.62609898595455926</v>
      </c>
      <c r="BA21" s="16">
        <v>0.33960000000000001</v>
      </c>
      <c r="BB21" s="16">
        <f t="shared" si="9"/>
        <v>0.69945420493149191</v>
      </c>
      <c r="BC21" s="16">
        <v>0.33960000000000001</v>
      </c>
      <c r="BD21" s="16">
        <f t="shared" si="10"/>
        <v>0.76254446202850834</v>
      </c>
      <c r="BE21" s="16">
        <v>0.3518</v>
      </c>
      <c r="BF21" s="16">
        <f t="shared" si="11"/>
        <v>0.8377800324089828</v>
      </c>
    </row>
    <row r="22" spans="2:58" x14ac:dyDescent="0.3">
      <c r="H22" t="s">
        <v>107</v>
      </c>
      <c r="I22" t="s">
        <v>108</v>
      </c>
      <c r="J22">
        <v>160</v>
      </c>
      <c r="K22">
        <v>13.1</v>
      </c>
      <c r="L22">
        <v>12.8</v>
      </c>
      <c r="M22">
        <v>13</v>
      </c>
      <c r="N22">
        <v>-2.0499999999999998</v>
      </c>
      <c r="O22" s="1">
        <v>-0.1353</v>
      </c>
      <c r="P22">
        <v>16</v>
      </c>
      <c r="Q22">
        <v>103</v>
      </c>
      <c r="R22" s="1">
        <v>0.31180000000000002</v>
      </c>
      <c r="T22" t="s">
        <v>129</v>
      </c>
      <c r="U22" t="s">
        <v>130</v>
      </c>
      <c r="V22">
        <v>160</v>
      </c>
      <c r="W22">
        <v>14.95</v>
      </c>
      <c r="X22">
        <v>15</v>
      </c>
      <c r="Y22">
        <v>15.15</v>
      </c>
      <c r="Z22">
        <v>-1.8</v>
      </c>
      <c r="AA22" s="1">
        <v>-0.1075</v>
      </c>
      <c r="AB22">
        <v>158</v>
      </c>
      <c r="AC22" s="2">
        <v>20661</v>
      </c>
      <c r="AD22" s="1">
        <v>0.30980000000000002</v>
      </c>
      <c r="AH22">
        <v>170</v>
      </c>
      <c r="AI22" s="16">
        <v>0.28410000000000002</v>
      </c>
      <c r="AJ22" s="16">
        <f t="shared" si="0"/>
        <v>0.2097403444166496</v>
      </c>
      <c r="AK22" s="16">
        <v>0.28689999999999999</v>
      </c>
      <c r="AL22" s="16">
        <f t="shared" si="1"/>
        <v>0.29616440841661373</v>
      </c>
      <c r="AM22" s="16">
        <v>0.28889999999999999</v>
      </c>
      <c r="AN22" s="16">
        <f t="shared" si="2"/>
        <v>0.34999476066410329</v>
      </c>
      <c r="AO22" s="16">
        <v>0.30320000000000003</v>
      </c>
      <c r="AP22" s="16">
        <f t="shared" si="3"/>
        <v>0.40684285664645969</v>
      </c>
      <c r="AQ22" s="16">
        <v>0.31180000000000002</v>
      </c>
      <c r="AR22" s="16">
        <f t="shared" si="4"/>
        <v>0.44673217475284327</v>
      </c>
      <c r="AS22" s="16">
        <v>0.31390000000000001</v>
      </c>
      <c r="AT22" s="16">
        <f t="shared" si="5"/>
        <v>0.49173758635194925</v>
      </c>
      <c r="AU22" s="16">
        <v>0.318</v>
      </c>
      <c r="AV22" s="16">
        <f t="shared" si="6"/>
        <v>0.52452962316506058</v>
      </c>
      <c r="AW22" s="16">
        <v>0.32069999999999999</v>
      </c>
      <c r="AX22" s="16">
        <f t="shared" si="7"/>
        <v>0.59071962131840439</v>
      </c>
      <c r="AY22" s="16">
        <v>0.32719999999999999</v>
      </c>
      <c r="AZ22" s="16">
        <f t="shared" si="8"/>
        <v>0.64205820256569923</v>
      </c>
      <c r="BA22" s="16">
        <v>0.33510000000000001</v>
      </c>
      <c r="BB22" s="16">
        <f t="shared" si="9"/>
        <v>0.7165696203260854</v>
      </c>
      <c r="BC22" s="16">
        <v>0.33510000000000001</v>
      </c>
      <c r="BD22" s="16">
        <f t="shared" si="10"/>
        <v>0.7812273216503608</v>
      </c>
      <c r="BE22" s="16">
        <v>0.3473</v>
      </c>
      <c r="BF22" s="16">
        <f t="shared" si="11"/>
        <v>0.85790557566026993</v>
      </c>
    </row>
    <row r="23" spans="2:58" x14ac:dyDescent="0.3">
      <c r="H23" t="s">
        <v>109</v>
      </c>
      <c r="I23" t="s">
        <v>110</v>
      </c>
      <c r="J23">
        <v>165</v>
      </c>
      <c r="K23">
        <v>9.86</v>
      </c>
      <c r="L23">
        <v>9.1999999999999993</v>
      </c>
      <c r="M23">
        <v>9.35</v>
      </c>
      <c r="N23">
        <v>-0.53</v>
      </c>
      <c r="O23" s="1">
        <v>-5.0999999999999997E-2</v>
      </c>
      <c r="P23">
        <v>15</v>
      </c>
      <c r="Q23">
        <v>721</v>
      </c>
      <c r="R23" s="1">
        <v>0.29649999999999999</v>
      </c>
      <c r="T23" t="s">
        <v>131</v>
      </c>
      <c r="U23" t="s">
        <v>132</v>
      </c>
      <c r="V23">
        <v>165</v>
      </c>
      <c r="W23">
        <v>11.65</v>
      </c>
      <c r="X23">
        <v>11.7</v>
      </c>
      <c r="Y23">
        <v>11.8</v>
      </c>
      <c r="Z23">
        <v>-1.55</v>
      </c>
      <c r="AA23" s="1">
        <v>-0.1174</v>
      </c>
      <c r="AB23">
        <v>194</v>
      </c>
      <c r="AC23" s="2">
        <v>28790</v>
      </c>
      <c r="AD23" s="1">
        <v>0.29930000000000001</v>
      </c>
      <c r="AH23">
        <v>175</v>
      </c>
      <c r="AI23" s="16">
        <v>0.27200000000000002</v>
      </c>
      <c r="AJ23" s="16">
        <f t="shared" si="0"/>
        <v>0.20177267224180997</v>
      </c>
      <c r="AK23" s="16">
        <v>0.27800000000000002</v>
      </c>
      <c r="AL23" s="16">
        <f t="shared" si="1"/>
        <v>0.29349863499901091</v>
      </c>
      <c r="AM23" s="16">
        <v>0.27879999999999999</v>
      </c>
      <c r="AN23" s="16">
        <f t="shared" si="2"/>
        <v>0.34960995406458145</v>
      </c>
      <c r="AO23" s="16">
        <v>0.29449999999999998</v>
      </c>
      <c r="AP23" s="16">
        <f t="shared" si="3"/>
        <v>0.40912511619679154</v>
      </c>
      <c r="AQ23" s="16">
        <v>0.3024</v>
      </c>
      <c r="AR23" s="16">
        <f t="shared" si="4"/>
        <v>0.4506216036149287</v>
      </c>
      <c r="AS23" s="16">
        <v>0.30620000000000003</v>
      </c>
      <c r="AT23" s="16">
        <f t="shared" si="5"/>
        <v>0.49716358001728833</v>
      </c>
      <c r="AU23" s="16">
        <v>0.31059999999999999</v>
      </c>
      <c r="AV23" s="16">
        <f t="shared" si="6"/>
        <v>0.53110250719951657</v>
      </c>
      <c r="AW23" s="16">
        <v>0.31459999999999999</v>
      </c>
      <c r="AX23" s="16">
        <f t="shared" si="7"/>
        <v>0.59946737658388749</v>
      </c>
      <c r="AY23" s="16">
        <v>0.32119999999999999</v>
      </c>
      <c r="AZ23" s="16">
        <f t="shared" si="8"/>
        <v>0.65265827854623948</v>
      </c>
      <c r="BA23" s="16">
        <v>0.32929999999999998</v>
      </c>
      <c r="BB23" s="16">
        <f t="shared" si="9"/>
        <v>0.7292320443002297</v>
      </c>
      <c r="BC23" s="16">
        <v>0.32929999999999998</v>
      </c>
      <c r="BD23" s="16">
        <f t="shared" si="10"/>
        <v>0.7959795802548868</v>
      </c>
      <c r="BE23" s="16">
        <v>0.34320000000000001</v>
      </c>
      <c r="BF23" s="16">
        <f t="shared" si="11"/>
        <v>0.87466758244960885</v>
      </c>
    </row>
    <row r="24" spans="2:58" x14ac:dyDescent="0.3">
      <c r="H24" t="s">
        <v>111</v>
      </c>
      <c r="I24" t="s">
        <v>112</v>
      </c>
      <c r="J24">
        <v>170</v>
      </c>
      <c r="K24">
        <v>6.25</v>
      </c>
      <c r="L24">
        <v>6.2</v>
      </c>
      <c r="M24">
        <v>6.3</v>
      </c>
      <c r="N24">
        <v>-1.25</v>
      </c>
      <c r="O24" s="1">
        <v>-0.16669999999999999</v>
      </c>
      <c r="P24">
        <v>267</v>
      </c>
      <c r="Q24" s="2">
        <v>1044</v>
      </c>
      <c r="R24" s="1">
        <v>0.28410000000000002</v>
      </c>
      <c r="T24" t="s">
        <v>133</v>
      </c>
      <c r="U24" t="s">
        <v>114</v>
      </c>
      <c r="V24">
        <v>170</v>
      </c>
      <c r="W24">
        <v>8.75</v>
      </c>
      <c r="X24">
        <v>8.75</v>
      </c>
      <c r="Y24">
        <v>8.8000000000000007</v>
      </c>
      <c r="Z24">
        <v>-1.25</v>
      </c>
      <c r="AA24" s="1">
        <v>-0.125</v>
      </c>
      <c r="AB24">
        <v>730</v>
      </c>
      <c r="AC24" s="2">
        <v>29245</v>
      </c>
      <c r="AD24" s="1">
        <v>0.28689999999999999</v>
      </c>
      <c r="AH24">
        <v>180</v>
      </c>
      <c r="AI24" s="16">
        <v>0.26140000000000002</v>
      </c>
      <c r="AJ24" s="16">
        <f t="shared" si="0"/>
        <v>0.17036158052942071</v>
      </c>
      <c r="AK24" s="16">
        <v>0.27029999999999998</v>
      </c>
      <c r="AL24" s="16">
        <f t="shared" si="1"/>
        <v>0.27394241632059241</v>
      </c>
      <c r="AM24" s="16">
        <v>0.27189999999999998</v>
      </c>
      <c r="AN24" s="16">
        <f t="shared" si="2"/>
        <v>0.33480050043733389</v>
      </c>
      <c r="AO24" s="16">
        <v>0.2853</v>
      </c>
      <c r="AP24" s="16">
        <f t="shared" si="3"/>
        <v>0.39987164457023783</v>
      </c>
      <c r="AQ24" s="16">
        <v>0.2969</v>
      </c>
      <c r="AR24" s="16">
        <f t="shared" si="4"/>
        <v>0.44486763582895161</v>
      </c>
      <c r="AS24" s="16">
        <v>0.30049999999999999</v>
      </c>
      <c r="AT24" s="16">
        <f t="shared" si="5"/>
        <v>0.49404109861619594</v>
      </c>
      <c r="AU24" s="16">
        <v>0.30459999999999998</v>
      </c>
      <c r="AV24" s="16">
        <f t="shared" si="6"/>
        <v>0.52989180250972268</v>
      </c>
      <c r="AW24" s="16">
        <v>0.30940000000000001</v>
      </c>
      <c r="AX24" s="16">
        <f t="shared" si="7"/>
        <v>0.60158950363173225</v>
      </c>
      <c r="AY24" s="16">
        <v>0.31640000000000001</v>
      </c>
      <c r="AZ24" s="16">
        <f t="shared" si="8"/>
        <v>0.65748623058712585</v>
      </c>
      <c r="BA24" s="16">
        <v>0.32419999999999999</v>
      </c>
      <c r="BB24" s="16">
        <f t="shared" si="9"/>
        <v>0.73706395926982016</v>
      </c>
      <c r="BC24" s="16">
        <v>0.32419999999999999</v>
      </c>
      <c r="BD24" s="16">
        <f t="shared" si="10"/>
        <v>0.80640698722915605</v>
      </c>
      <c r="BE24" s="16">
        <v>0.33910000000000001</v>
      </c>
      <c r="BF24" s="16">
        <f t="shared" si="11"/>
        <v>0.88796649820262019</v>
      </c>
    </row>
    <row r="25" spans="2:58" x14ac:dyDescent="0.3">
      <c r="H25" t="s">
        <v>113</v>
      </c>
      <c r="I25" t="s">
        <v>114</v>
      </c>
      <c r="J25">
        <v>175</v>
      </c>
      <c r="K25">
        <v>3.81</v>
      </c>
      <c r="L25">
        <v>3.8</v>
      </c>
      <c r="M25">
        <v>3.9</v>
      </c>
      <c r="N25">
        <v>-0.93</v>
      </c>
      <c r="O25" s="1">
        <v>-0.19620000000000001</v>
      </c>
      <c r="P25">
        <v>688</v>
      </c>
      <c r="Q25" s="2">
        <v>10216</v>
      </c>
      <c r="R25" s="1">
        <v>0.27200000000000002</v>
      </c>
      <c r="T25" t="s">
        <v>134</v>
      </c>
      <c r="U25" t="s">
        <v>135</v>
      </c>
      <c r="V25">
        <v>175</v>
      </c>
      <c r="W25">
        <v>6.29</v>
      </c>
      <c r="X25">
        <v>6.3</v>
      </c>
      <c r="Y25">
        <v>6.35</v>
      </c>
      <c r="Z25">
        <v>-1.06</v>
      </c>
      <c r="AA25" s="1">
        <v>-0.14419999999999999</v>
      </c>
      <c r="AB25" s="2">
        <v>2458</v>
      </c>
      <c r="AC25" s="2">
        <v>33093</v>
      </c>
      <c r="AD25" s="1">
        <v>0.27800000000000002</v>
      </c>
      <c r="AH25">
        <v>185</v>
      </c>
      <c r="AI25" s="16">
        <v>0.2581</v>
      </c>
      <c r="AJ25" s="16">
        <f t="shared" si="0"/>
        <v>0.12746556661172917</v>
      </c>
      <c r="AK25" s="16">
        <v>0.26369999999999999</v>
      </c>
      <c r="AL25" s="16">
        <f t="shared" si="1"/>
        <v>0.24000049345295951</v>
      </c>
      <c r="AM25" s="16">
        <v>0.2656</v>
      </c>
      <c r="AN25" s="16">
        <f t="shared" si="2"/>
        <v>0.30669683039738338</v>
      </c>
      <c r="AO25" s="16">
        <v>0.28079999999999999</v>
      </c>
      <c r="AP25" s="16">
        <f t="shared" si="3"/>
        <v>0.38001903137318788</v>
      </c>
      <c r="AQ25" s="16">
        <v>0.28839999999999999</v>
      </c>
      <c r="AR25" s="16">
        <f t="shared" si="4"/>
        <v>0.42892665989991718</v>
      </c>
      <c r="AS25" s="16">
        <v>0.29389999999999999</v>
      </c>
      <c r="AT25" s="16">
        <f t="shared" si="5"/>
        <v>0.48214259679799637</v>
      </c>
      <c r="AU25" s="16">
        <v>0.29899999999999999</v>
      </c>
      <c r="AV25" s="16">
        <f t="shared" si="6"/>
        <v>0.52077974375810787</v>
      </c>
      <c r="AW25" s="16">
        <v>0.3034</v>
      </c>
      <c r="AX25" s="16">
        <f t="shared" si="7"/>
        <v>0.5968591751065303</v>
      </c>
      <c r="AY25" s="16">
        <v>0.31130000000000002</v>
      </c>
      <c r="AZ25" s="16">
        <f t="shared" si="8"/>
        <v>0.65641731394705349</v>
      </c>
      <c r="BA25" s="16">
        <v>0.32050000000000001</v>
      </c>
      <c r="BB25" s="16">
        <f t="shared" si="9"/>
        <v>0.73990829702721095</v>
      </c>
      <c r="BC25" s="16">
        <v>0.32050000000000001</v>
      </c>
      <c r="BD25" s="16">
        <f t="shared" si="10"/>
        <v>0.81229593694508784</v>
      </c>
      <c r="BE25" s="16">
        <v>0.33479999999999999</v>
      </c>
      <c r="BF25" s="16">
        <f t="shared" si="11"/>
        <v>0.89772210038002165</v>
      </c>
    </row>
    <row r="26" spans="2:58" x14ac:dyDescent="0.3">
      <c r="H26" t="s">
        <v>115</v>
      </c>
      <c r="I26" t="s">
        <v>116</v>
      </c>
      <c r="J26">
        <v>180</v>
      </c>
      <c r="K26">
        <v>2.15</v>
      </c>
      <c r="L26">
        <v>2.12</v>
      </c>
      <c r="M26">
        <v>2.19</v>
      </c>
      <c r="N26">
        <v>-0.64</v>
      </c>
      <c r="O26" s="1">
        <v>-0.22939999999999999</v>
      </c>
      <c r="P26">
        <v>545</v>
      </c>
      <c r="Q26" s="2">
        <v>11302</v>
      </c>
      <c r="R26" s="1">
        <v>0.26140000000000002</v>
      </c>
      <c r="T26" t="s">
        <v>136</v>
      </c>
      <c r="U26" t="s">
        <v>116</v>
      </c>
      <c r="V26">
        <v>180</v>
      </c>
      <c r="W26">
        <v>4.3600000000000003</v>
      </c>
      <c r="X26">
        <v>4.3</v>
      </c>
      <c r="Y26">
        <v>4.4000000000000004</v>
      </c>
      <c r="Z26">
        <v>-0.79</v>
      </c>
      <c r="AA26" s="1">
        <v>-0.15340000000000001</v>
      </c>
      <c r="AB26" s="2">
        <v>1122</v>
      </c>
      <c r="AC26" s="2">
        <v>30984</v>
      </c>
      <c r="AD26" s="1">
        <v>0.27029999999999998</v>
      </c>
      <c r="AH26">
        <v>190</v>
      </c>
      <c r="AI26" s="16">
        <v>0.26100000000000001</v>
      </c>
      <c r="AJ26" s="16">
        <f t="shared" si="0"/>
        <v>8.8180146066814957E-2</v>
      </c>
      <c r="AK26" s="16">
        <v>0.26029999999999998</v>
      </c>
      <c r="AL26" s="16">
        <f t="shared" si="1"/>
        <v>0.19862047106401229</v>
      </c>
      <c r="AM26" s="16">
        <v>0.26140000000000002</v>
      </c>
      <c r="AN26" s="16">
        <f t="shared" si="2"/>
        <v>0.26931110904793371</v>
      </c>
      <c r="AO26" s="16">
        <v>0.27660000000000001</v>
      </c>
      <c r="AP26" s="16">
        <f t="shared" si="3"/>
        <v>0.35106304129217947</v>
      </c>
      <c r="AQ26" s="16">
        <v>0.28299999999999997</v>
      </c>
      <c r="AR26" s="16">
        <f t="shared" si="4"/>
        <v>0.40430355569036941</v>
      </c>
      <c r="AS26" s="16">
        <v>0.28860000000000002</v>
      </c>
      <c r="AT26" s="16">
        <f t="shared" si="5"/>
        <v>0.46208943023615723</v>
      </c>
      <c r="AU26" s="16">
        <v>0.29509999999999997</v>
      </c>
      <c r="AV26" s="16">
        <f t="shared" si="6"/>
        <v>0.5044442883419914</v>
      </c>
      <c r="AW26" s="16">
        <v>0.29930000000000001</v>
      </c>
      <c r="AX26" s="16">
        <f t="shared" si="7"/>
        <v>0.58558440655212718</v>
      </c>
      <c r="AY26" s="16">
        <v>0.30659999999999998</v>
      </c>
      <c r="AZ26" s="16">
        <f t="shared" si="8"/>
        <v>0.649424563585699</v>
      </c>
      <c r="BA26" s="16">
        <v>0.31630000000000003</v>
      </c>
      <c r="BB26" s="16">
        <f t="shared" si="9"/>
        <v>0.73783116283358974</v>
      </c>
      <c r="BC26" s="16">
        <v>0.31630000000000003</v>
      </c>
      <c r="BD26" s="16">
        <f t="shared" si="10"/>
        <v>0.8137332827277739</v>
      </c>
      <c r="BE26" s="16">
        <v>0.32769999999999999</v>
      </c>
      <c r="BF26" s="16">
        <f t="shared" si="11"/>
        <v>0.90401920717710915</v>
      </c>
    </row>
    <row r="27" spans="2:58" x14ac:dyDescent="0.3">
      <c r="H27" t="s">
        <v>117</v>
      </c>
      <c r="I27" t="s">
        <v>118</v>
      </c>
      <c r="J27">
        <v>185</v>
      </c>
      <c r="K27">
        <v>1.1599999999999999</v>
      </c>
      <c r="L27">
        <v>1.1399999999999999</v>
      </c>
      <c r="M27">
        <v>1.18</v>
      </c>
      <c r="N27">
        <v>-0.39</v>
      </c>
      <c r="O27" s="1">
        <v>-0.25159999999999999</v>
      </c>
      <c r="P27">
        <v>885</v>
      </c>
      <c r="Q27" s="2">
        <v>20465</v>
      </c>
      <c r="R27" s="1">
        <v>0.2581</v>
      </c>
      <c r="T27" t="s">
        <v>137</v>
      </c>
      <c r="U27" t="s">
        <v>138</v>
      </c>
      <c r="V27">
        <v>185</v>
      </c>
      <c r="W27">
        <v>2.89</v>
      </c>
      <c r="X27">
        <v>2.89</v>
      </c>
      <c r="Y27">
        <v>2.92</v>
      </c>
      <c r="Z27">
        <v>-0.59</v>
      </c>
      <c r="AA27" s="1">
        <v>-0.16950000000000001</v>
      </c>
      <c r="AB27">
        <v>612</v>
      </c>
      <c r="AC27" s="2">
        <v>34930</v>
      </c>
      <c r="AD27" s="1">
        <v>0.26369999999999999</v>
      </c>
      <c r="AH27">
        <v>195</v>
      </c>
      <c r="AI27" s="16">
        <v>0.2681</v>
      </c>
      <c r="AJ27" s="16">
        <f t="shared" si="0"/>
        <v>5.9019980821863438E-2</v>
      </c>
      <c r="AK27" s="16">
        <v>0.25979999999999998</v>
      </c>
      <c r="AL27" s="16">
        <f t="shared" si="1"/>
        <v>0.15730729958369433</v>
      </c>
      <c r="AM27" s="16">
        <v>0.2581</v>
      </c>
      <c r="AN27" s="16">
        <f t="shared" si="2"/>
        <v>0.22698515337237929</v>
      </c>
      <c r="AO27" s="16">
        <v>0.27179999999999999</v>
      </c>
      <c r="AP27" s="16">
        <f t="shared" si="3"/>
        <v>0.31461034075919669</v>
      </c>
      <c r="AQ27" s="16">
        <v>0.28010000000000002</v>
      </c>
      <c r="AR27" s="16">
        <f t="shared" si="4"/>
        <v>0.37361917766945735</v>
      </c>
      <c r="AS27" s="16">
        <v>0.28360000000000002</v>
      </c>
      <c r="AT27" s="16">
        <f t="shared" si="5"/>
        <v>0.43472822009039153</v>
      </c>
      <c r="AU27" s="16">
        <v>0.2898</v>
      </c>
      <c r="AV27" s="16">
        <f t="shared" si="6"/>
        <v>0.48077277205020225</v>
      </c>
      <c r="AW27" s="16">
        <v>0.29449999999999998</v>
      </c>
      <c r="AX27" s="16">
        <f t="shared" si="7"/>
        <v>0.56779453706214977</v>
      </c>
      <c r="AY27" s="16">
        <v>0.30249999999999999</v>
      </c>
      <c r="AZ27" s="16">
        <f t="shared" si="8"/>
        <v>0.63678701979250019</v>
      </c>
      <c r="BA27" s="16">
        <v>0.31280000000000002</v>
      </c>
      <c r="BB27" s="16">
        <f t="shared" si="9"/>
        <v>0.73096337261281563</v>
      </c>
      <c r="BC27" s="16">
        <v>0.31280000000000002</v>
      </c>
      <c r="BD27" s="16">
        <f t="shared" si="10"/>
        <v>0.81072117763380136</v>
      </c>
      <c r="BE27" s="16">
        <v>0.32819999999999999</v>
      </c>
      <c r="BF27" s="16">
        <f t="shared" si="11"/>
        <v>0.90616355172101926</v>
      </c>
    </row>
    <row r="28" spans="2:58" x14ac:dyDescent="0.3">
      <c r="H28" t="s">
        <v>119</v>
      </c>
      <c r="I28" t="s">
        <v>120</v>
      </c>
      <c r="J28">
        <v>190</v>
      </c>
      <c r="K28">
        <v>0.65</v>
      </c>
      <c r="L28">
        <v>0.6</v>
      </c>
      <c r="M28">
        <v>0.64</v>
      </c>
      <c r="N28">
        <v>-0.23</v>
      </c>
      <c r="O28" s="1">
        <v>-0.26140000000000002</v>
      </c>
      <c r="P28">
        <v>42</v>
      </c>
      <c r="Q28" s="2">
        <v>2395</v>
      </c>
      <c r="R28" s="1">
        <v>0.26100000000000001</v>
      </c>
      <c r="T28" t="s">
        <v>139</v>
      </c>
      <c r="U28" t="s">
        <v>118</v>
      </c>
      <c r="V28">
        <v>190</v>
      </c>
      <c r="W28">
        <v>1.88</v>
      </c>
      <c r="X28">
        <v>1.87</v>
      </c>
      <c r="Y28">
        <v>1.9</v>
      </c>
      <c r="Z28">
        <v>-0.38</v>
      </c>
      <c r="AA28" s="1">
        <v>-0.1681</v>
      </c>
      <c r="AB28">
        <v>627</v>
      </c>
      <c r="AC28" s="2">
        <v>23683</v>
      </c>
      <c r="AD28" s="1">
        <v>0.26029999999999998</v>
      </c>
      <c r="AH28">
        <v>200</v>
      </c>
      <c r="AI28" s="16">
        <v>0.28170000000000001</v>
      </c>
      <c r="AJ28" s="16">
        <f t="shared" si="0"/>
        <v>4.1372936763000481E-2</v>
      </c>
      <c r="AK28" s="16">
        <v>0.26050000000000001</v>
      </c>
      <c r="AL28" s="16">
        <f t="shared" si="1"/>
        <v>0.12003221916088741</v>
      </c>
      <c r="AM28" s="16">
        <v>0.25619999999999998</v>
      </c>
      <c r="AN28" s="16">
        <f t="shared" si="2"/>
        <v>0.18480834279237821</v>
      </c>
      <c r="AO28" s="16">
        <v>0.26979999999999998</v>
      </c>
      <c r="AP28" s="16">
        <f t="shared" si="3"/>
        <v>0.2760223239543641</v>
      </c>
      <c r="AQ28" s="16">
        <v>0.27689999999999998</v>
      </c>
      <c r="AR28" s="16">
        <f t="shared" si="4"/>
        <v>0.3378170650916672</v>
      </c>
      <c r="AS28" s="16">
        <v>0.27960000000000002</v>
      </c>
      <c r="AT28" s="16">
        <f t="shared" si="5"/>
        <v>0.40194719225133996</v>
      </c>
      <c r="AU28" s="16">
        <v>0.28570000000000001</v>
      </c>
      <c r="AV28" s="16">
        <f t="shared" si="6"/>
        <v>0.4516104258167849</v>
      </c>
      <c r="AW28" s="16">
        <v>0.29020000000000001</v>
      </c>
      <c r="AX28" s="16">
        <f t="shared" si="7"/>
        <v>0.54428182893128751</v>
      </c>
      <c r="AY28" s="16">
        <v>0.29899999999999999</v>
      </c>
      <c r="AZ28" s="16">
        <f t="shared" si="8"/>
        <v>0.61903247323580879</v>
      </c>
      <c r="BA28" s="16">
        <v>0.31019999999999998</v>
      </c>
      <c r="BB28" s="16">
        <f t="shared" si="9"/>
        <v>0.71975398008231539</v>
      </c>
      <c r="BC28" s="16">
        <v>0.31019999999999998</v>
      </c>
      <c r="BD28" s="16">
        <f t="shared" si="10"/>
        <v>0.80357326983912758</v>
      </c>
      <c r="BE28" s="16">
        <v>0.32540000000000002</v>
      </c>
      <c r="BF28" s="16">
        <f t="shared" si="11"/>
        <v>0.90504481863781272</v>
      </c>
    </row>
    <row r="29" spans="2:58" x14ac:dyDescent="0.3">
      <c r="H29" t="s">
        <v>121</v>
      </c>
      <c r="I29" t="s">
        <v>122</v>
      </c>
      <c r="J29">
        <v>195</v>
      </c>
      <c r="K29">
        <v>0.39</v>
      </c>
      <c r="L29">
        <v>0.34</v>
      </c>
      <c r="M29">
        <v>0.36</v>
      </c>
      <c r="N29">
        <v>-0.09</v>
      </c>
      <c r="O29" s="1">
        <v>-0.1875</v>
      </c>
      <c r="P29">
        <v>62</v>
      </c>
      <c r="Q29" s="2">
        <v>2736</v>
      </c>
      <c r="R29" s="1">
        <v>0.2681</v>
      </c>
      <c r="T29" t="s">
        <v>140</v>
      </c>
      <c r="U29" t="s">
        <v>141</v>
      </c>
      <c r="V29">
        <v>195</v>
      </c>
      <c r="W29">
        <v>1.21</v>
      </c>
      <c r="X29">
        <v>1.21</v>
      </c>
      <c r="Y29">
        <v>1.23</v>
      </c>
      <c r="Z29">
        <v>-0.26</v>
      </c>
      <c r="AA29" s="1">
        <v>-0.1769</v>
      </c>
      <c r="AB29">
        <v>271</v>
      </c>
      <c r="AC29" s="2">
        <v>13816</v>
      </c>
      <c r="AD29" s="1">
        <v>0.25979999999999998</v>
      </c>
    </row>
    <row r="30" spans="2:58" x14ac:dyDescent="0.3">
      <c r="H30" t="s">
        <v>123</v>
      </c>
      <c r="I30" t="s">
        <v>124</v>
      </c>
      <c r="J30">
        <v>200</v>
      </c>
      <c r="K30">
        <v>0.24</v>
      </c>
      <c r="L30">
        <v>0.21</v>
      </c>
      <c r="M30">
        <v>0.23</v>
      </c>
      <c r="N30">
        <v>0</v>
      </c>
      <c r="O30" t="s">
        <v>50</v>
      </c>
      <c r="P30">
        <v>68</v>
      </c>
      <c r="Q30">
        <v>630</v>
      </c>
      <c r="R30" s="1">
        <v>0.28170000000000001</v>
      </c>
      <c r="T30" t="s">
        <v>142</v>
      </c>
      <c r="U30" t="s">
        <v>116</v>
      </c>
      <c r="V30">
        <v>200</v>
      </c>
      <c r="W30">
        <v>0.78</v>
      </c>
      <c r="X30">
        <v>0.78</v>
      </c>
      <c r="Y30">
        <v>0.79</v>
      </c>
      <c r="Z30">
        <v>-0.17</v>
      </c>
      <c r="AA30" s="1">
        <v>-0.1789</v>
      </c>
      <c r="AB30">
        <v>572</v>
      </c>
      <c r="AC30" s="2">
        <v>23352</v>
      </c>
      <c r="AD30" s="1">
        <v>0.26050000000000001</v>
      </c>
    </row>
    <row r="32" spans="2:58" x14ac:dyDescent="0.3">
      <c r="H32" s="7">
        <v>44757</v>
      </c>
      <c r="J32" t="s">
        <v>66</v>
      </c>
      <c r="K32">
        <f>(H32-$B$21)/365</f>
        <v>0.26849315068493151</v>
      </c>
      <c r="T32" s="7">
        <v>44792</v>
      </c>
      <c r="V32" t="s">
        <v>66</v>
      </c>
      <c r="W32">
        <f>(T32-$B$21)/365</f>
        <v>0.36438356164383562</v>
      </c>
    </row>
    <row r="33" spans="8:30" x14ac:dyDescent="0.3">
      <c r="H33" t="s">
        <v>143</v>
      </c>
      <c r="I33" t="s">
        <v>144</v>
      </c>
      <c r="J33">
        <v>150</v>
      </c>
      <c r="K33">
        <v>25.08</v>
      </c>
      <c r="L33">
        <v>23.95</v>
      </c>
      <c r="M33">
        <v>24.15</v>
      </c>
      <c r="N33">
        <v>-1.62</v>
      </c>
      <c r="O33" s="1">
        <v>-6.0699999999999997E-2</v>
      </c>
      <c r="P33">
        <v>16</v>
      </c>
      <c r="Q33" s="2">
        <v>3283</v>
      </c>
      <c r="R33" s="1">
        <v>0.33160000000000001</v>
      </c>
      <c r="T33" t="s">
        <v>160</v>
      </c>
      <c r="U33" t="s">
        <v>161</v>
      </c>
      <c r="V33">
        <v>150</v>
      </c>
      <c r="W33">
        <v>26.75</v>
      </c>
      <c r="X33">
        <v>25.75</v>
      </c>
      <c r="Y33">
        <v>26</v>
      </c>
      <c r="Z33">
        <v>-0.4</v>
      </c>
      <c r="AA33" s="1">
        <v>-1.47E-2</v>
      </c>
      <c r="AB33">
        <v>10</v>
      </c>
      <c r="AC33" s="2">
        <v>1068</v>
      </c>
      <c r="AD33" s="1">
        <v>0.34539999999999998</v>
      </c>
    </row>
    <row r="34" spans="8:30" x14ac:dyDescent="0.3">
      <c r="H34" t="s">
        <v>145</v>
      </c>
      <c r="I34" t="s">
        <v>146</v>
      </c>
      <c r="J34">
        <v>155</v>
      </c>
      <c r="K34">
        <v>20.25</v>
      </c>
      <c r="L34">
        <v>20.149999999999999</v>
      </c>
      <c r="M34">
        <v>20.399999999999999</v>
      </c>
      <c r="N34">
        <v>-1.55</v>
      </c>
      <c r="O34" s="1">
        <v>-7.1099999999999997E-2</v>
      </c>
      <c r="P34">
        <v>71</v>
      </c>
      <c r="Q34" s="2">
        <v>2337</v>
      </c>
      <c r="R34" s="1">
        <v>0.32500000000000001</v>
      </c>
      <c r="T34" t="s">
        <v>162</v>
      </c>
      <c r="U34" t="s">
        <v>163</v>
      </c>
      <c r="V34">
        <v>155</v>
      </c>
      <c r="W34">
        <v>23.05</v>
      </c>
      <c r="X34">
        <v>22</v>
      </c>
      <c r="Y34">
        <v>22.25</v>
      </c>
      <c r="Z34">
        <v>0.77</v>
      </c>
      <c r="AA34" s="1">
        <v>3.4599999999999999E-2</v>
      </c>
      <c r="AB34">
        <v>3</v>
      </c>
      <c r="AC34">
        <v>783</v>
      </c>
      <c r="AD34" s="1">
        <v>0.33339999999999997</v>
      </c>
    </row>
    <row r="35" spans="8:30" x14ac:dyDescent="0.3">
      <c r="H35" t="s">
        <v>147</v>
      </c>
      <c r="I35" t="s">
        <v>148</v>
      </c>
      <c r="J35">
        <v>160</v>
      </c>
      <c r="K35">
        <v>16.440000000000001</v>
      </c>
      <c r="L35">
        <v>16.55</v>
      </c>
      <c r="M35">
        <v>16.7</v>
      </c>
      <c r="N35">
        <v>-2.2599999999999998</v>
      </c>
      <c r="O35" s="1">
        <v>-0.12089999999999999</v>
      </c>
      <c r="P35">
        <v>104</v>
      </c>
      <c r="Q35" s="2">
        <v>2637</v>
      </c>
      <c r="R35" s="1">
        <v>0.31069999999999998</v>
      </c>
      <c r="T35" t="s">
        <v>164</v>
      </c>
      <c r="U35" t="s">
        <v>165</v>
      </c>
      <c r="V35">
        <v>160</v>
      </c>
      <c r="W35">
        <v>18.5</v>
      </c>
      <c r="X35">
        <v>18.5</v>
      </c>
      <c r="Y35">
        <v>18.75</v>
      </c>
      <c r="Z35">
        <v>-2.4</v>
      </c>
      <c r="AA35" s="1">
        <v>-0.1148</v>
      </c>
      <c r="AB35">
        <v>12</v>
      </c>
      <c r="AC35" s="2">
        <v>3227</v>
      </c>
      <c r="AD35" s="1">
        <v>0.32200000000000001</v>
      </c>
    </row>
    <row r="36" spans="8:30" x14ac:dyDescent="0.3">
      <c r="H36" t="s">
        <v>149</v>
      </c>
      <c r="I36" t="s">
        <v>114</v>
      </c>
      <c r="J36">
        <v>165</v>
      </c>
      <c r="K36">
        <v>13.2</v>
      </c>
      <c r="L36">
        <v>13.2</v>
      </c>
      <c r="M36">
        <v>13.35</v>
      </c>
      <c r="N36">
        <v>-2.27</v>
      </c>
      <c r="O36" s="1">
        <v>-0.1467</v>
      </c>
      <c r="P36">
        <v>220</v>
      </c>
      <c r="Q36" s="2">
        <v>6000</v>
      </c>
      <c r="R36" s="1">
        <v>0.29820000000000002</v>
      </c>
      <c r="T36" t="s">
        <v>166</v>
      </c>
      <c r="U36" t="s">
        <v>167</v>
      </c>
      <c r="V36">
        <v>165</v>
      </c>
      <c r="W36">
        <v>15.21</v>
      </c>
      <c r="X36">
        <v>15.3</v>
      </c>
      <c r="Y36">
        <v>15.45</v>
      </c>
      <c r="Z36">
        <v>-2.1800000000000002</v>
      </c>
      <c r="AA36" s="1">
        <v>-0.12540000000000001</v>
      </c>
      <c r="AB36">
        <v>464</v>
      </c>
      <c r="AC36" s="2">
        <v>1834</v>
      </c>
      <c r="AD36" s="1">
        <v>0.30930000000000002</v>
      </c>
    </row>
    <row r="37" spans="8:30" x14ac:dyDescent="0.3">
      <c r="H37" t="s">
        <v>150</v>
      </c>
      <c r="I37" t="s">
        <v>141</v>
      </c>
      <c r="J37">
        <v>170</v>
      </c>
      <c r="K37">
        <v>10.35</v>
      </c>
      <c r="L37">
        <v>10.35</v>
      </c>
      <c r="M37">
        <v>10.45</v>
      </c>
      <c r="N37">
        <v>-1.55</v>
      </c>
      <c r="O37" s="1">
        <v>-0.1303</v>
      </c>
      <c r="P37">
        <v>463</v>
      </c>
      <c r="Q37" s="2">
        <v>5195</v>
      </c>
      <c r="R37" s="1">
        <v>0.28889999999999999</v>
      </c>
      <c r="T37" t="s">
        <v>168</v>
      </c>
      <c r="U37" t="s">
        <v>135</v>
      </c>
      <c r="V37">
        <v>170</v>
      </c>
      <c r="W37">
        <v>12.5</v>
      </c>
      <c r="X37">
        <v>12.6</v>
      </c>
      <c r="Y37">
        <v>12.7</v>
      </c>
      <c r="Z37">
        <v>-1.5</v>
      </c>
      <c r="AA37" s="1">
        <v>-0.1071</v>
      </c>
      <c r="AB37">
        <v>225</v>
      </c>
      <c r="AC37" s="2">
        <v>5059</v>
      </c>
      <c r="AD37" s="1">
        <v>0.30320000000000003</v>
      </c>
    </row>
    <row r="38" spans="8:30" x14ac:dyDescent="0.3">
      <c r="H38" t="s">
        <v>151</v>
      </c>
      <c r="I38" t="s">
        <v>152</v>
      </c>
      <c r="J38">
        <v>175</v>
      </c>
      <c r="K38">
        <v>7.76</v>
      </c>
      <c r="L38">
        <v>7.8</v>
      </c>
      <c r="M38">
        <v>7.9</v>
      </c>
      <c r="N38">
        <v>-1.22</v>
      </c>
      <c r="O38" s="1">
        <v>-0.13589999999999999</v>
      </c>
      <c r="P38">
        <v>443</v>
      </c>
      <c r="Q38" s="2">
        <v>7827</v>
      </c>
      <c r="R38" s="1">
        <v>0.27879999999999999</v>
      </c>
      <c r="T38" t="s">
        <v>169</v>
      </c>
      <c r="U38" t="s">
        <v>155</v>
      </c>
      <c r="V38">
        <v>175</v>
      </c>
      <c r="W38">
        <v>9.9499999999999993</v>
      </c>
      <c r="X38">
        <v>10</v>
      </c>
      <c r="Y38">
        <v>10.15</v>
      </c>
      <c r="Z38">
        <v>-1.33</v>
      </c>
      <c r="AA38" s="1">
        <v>-0.1179</v>
      </c>
      <c r="AB38">
        <v>82</v>
      </c>
      <c r="AC38" s="2">
        <v>6482</v>
      </c>
      <c r="AD38" s="1">
        <v>0.29449999999999998</v>
      </c>
    </row>
    <row r="39" spans="8:30" x14ac:dyDescent="0.3">
      <c r="H39" t="s">
        <v>153</v>
      </c>
      <c r="I39" t="s">
        <v>114</v>
      </c>
      <c r="J39">
        <v>180</v>
      </c>
      <c r="K39">
        <v>5.75</v>
      </c>
      <c r="L39">
        <v>5.8</v>
      </c>
      <c r="M39">
        <v>5.85</v>
      </c>
      <c r="N39">
        <v>-0.95</v>
      </c>
      <c r="O39" s="1">
        <v>-0.14180000000000001</v>
      </c>
      <c r="P39">
        <v>596</v>
      </c>
      <c r="Q39" s="2">
        <v>23367</v>
      </c>
      <c r="R39" s="1">
        <v>0.27189999999999998</v>
      </c>
      <c r="T39" t="s">
        <v>170</v>
      </c>
      <c r="U39" t="s">
        <v>171</v>
      </c>
      <c r="V39">
        <v>180</v>
      </c>
      <c r="W39">
        <v>7.8</v>
      </c>
      <c r="X39">
        <v>7.85</v>
      </c>
      <c r="Y39">
        <v>7.9</v>
      </c>
      <c r="Z39">
        <v>-1.25</v>
      </c>
      <c r="AA39" s="1">
        <v>-0.1381</v>
      </c>
      <c r="AB39" s="2">
        <v>1564</v>
      </c>
      <c r="AC39" s="2">
        <v>3969</v>
      </c>
      <c r="AD39" s="1">
        <v>0.2853</v>
      </c>
    </row>
    <row r="40" spans="8:30" x14ac:dyDescent="0.3">
      <c r="H40" t="s">
        <v>154</v>
      </c>
      <c r="I40" t="s">
        <v>155</v>
      </c>
      <c r="J40">
        <v>185</v>
      </c>
      <c r="K40">
        <v>4.05</v>
      </c>
      <c r="L40">
        <v>4.0999999999999996</v>
      </c>
      <c r="M40">
        <v>4.2</v>
      </c>
      <c r="N40">
        <v>-0.85</v>
      </c>
      <c r="O40" s="1">
        <v>-0.17349999999999999</v>
      </c>
      <c r="P40">
        <v>266</v>
      </c>
      <c r="Q40" s="2">
        <v>10002</v>
      </c>
      <c r="R40" s="1">
        <v>0.2656</v>
      </c>
      <c r="T40" t="s">
        <v>172</v>
      </c>
      <c r="U40" t="s">
        <v>173</v>
      </c>
      <c r="V40">
        <v>185</v>
      </c>
      <c r="W40">
        <v>5.99</v>
      </c>
      <c r="X40">
        <v>6.05</v>
      </c>
      <c r="Y40">
        <v>6.15</v>
      </c>
      <c r="Z40">
        <v>-1.31</v>
      </c>
      <c r="AA40" s="1">
        <v>-0.17949999999999999</v>
      </c>
      <c r="AB40">
        <v>290</v>
      </c>
      <c r="AC40" s="2">
        <v>9333</v>
      </c>
      <c r="AD40" s="1">
        <v>0.28079999999999999</v>
      </c>
    </row>
    <row r="41" spans="8:30" x14ac:dyDescent="0.3">
      <c r="H41" t="s">
        <v>156</v>
      </c>
      <c r="I41" t="s">
        <v>157</v>
      </c>
      <c r="J41">
        <v>190</v>
      </c>
      <c r="K41">
        <v>2.84</v>
      </c>
      <c r="L41">
        <v>2.93</v>
      </c>
      <c r="M41">
        <v>2.96</v>
      </c>
      <c r="N41">
        <v>-0.66</v>
      </c>
      <c r="O41" s="1">
        <v>-0.18859999999999999</v>
      </c>
      <c r="P41">
        <v>403</v>
      </c>
      <c r="Q41" s="2">
        <v>8955</v>
      </c>
      <c r="R41" s="1">
        <v>0.26140000000000002</v>
      </c>
      <c r="T41" t="s">
        <v>174</v>
      </c>
      <c r="U41" t="s">
        <v>167</v>
      </c>
      <c r="V41">
        <v>190</v>
      </c>
      <c r="W41">
        <v>4.55</v>
      </c>
      <c r="X41">
        <v>4.55</v>
      </c>
      <c r="Y41">
        <v>4.7</v>
      </c>
      <c r="Z41">
        <v>-0.9</v>
      </c>
      <c r="AA41" s="1">
        <v>-0.1651</v>
      </c>
      <c r="AB41">
        <v>136</v>
      </c>
      <c r="AC41" s="2">
        <v>7639</v>
      </c>
      <c r="AD41" s="1">
        <v>0.27660000000000001</v>
      </c>
    </row>
    <row r="42" spans="8:30" x14ac:dyDescent="0.3">
      <c r="H42" t="s">
        <v>158</v>
      </c>
      <c r="I42" t="s">
        <v>114</v>
      </c>
      <c r="J42">
        <v>195</v>
      </c>
      <c r="K42">
        <v>1.99</v>
      </c>
      <c r="L42">
        <v>2.02</v>
      </c>
      <c r="M42">
        <v>2.04</v>
      </c>
      <c r="N42">
        <v>-0.21</v>
      </c>
      <c r="O42" s="1">
        <v>-9.5500000000000002E-2</v>
      </c>
      <c r="P42" s="2">
        <v>7203</v>
      </c>
      <c r="Q42" s="2">
        <v>3153</v>
      </c>
      <c r="R42" s="1">
        <v>0.2581</v>
      </c>
      <c r="T42" t="s">
        <v>175</v>
      </c>
      <c r="U42" t="s">
        <v>118</v>
      </c>
      <c r="V42">
        <v>195</v>
      </c>
      <c r="W42">
        <v>3.45</v>
      </c>
      <c r="X42">
        <v>3.4</v>
      </c>
      <c r="Y42">
        <v>3.5</v>
      </c>
      <c r="Z42">
        <v>-0.65</v>
      </c>
      <c r="AA42" s="1">
        <v>-0.1585</v>
      </c>
      <c r="AB42">
        <v>164</v>
      </c>
      <c r="AC42" s="2">
        <v>2826</v>
      </c>
      <c r="AD42" s="1">
        <v>0.27179999999999999</v>
      </c>
    </row>
    <row r="43" spans="8:30" x14ac:dyDescent="0.3">
      <c r="H43" t="s">
        <v>159</v>
      </c>
      <c r="I43" t="s">
        <v>152</v>
      </c>
      <c r="J43">
        <v>200</v>
      </c>
      <c r="K43">
        <v>1.36</v>
      </c>
      <c r="L43">
        <v>1.38</v>
      </c>
      <c r="M43">
        <v>1.39</v>
      </c>
      <c r="N43">
        <v>-0.31</v>
      </c>
      <c r="O43" s="1">
        <v>-0.18559999999999999</v>
      </c>
      <c r="P43">
        <v>262</v>
      </c>
      <c r="Q43" s="2">
        <v>6086</v>
      </c>
      <c r="R43" s="1">
        <v>0.25619999999999998</v>
      </c>
      <c r="T43" t="s">
        <v>176</v>
      </c>
      <c r="U43" t="s">
        <v>177</v>
      </c>
      <c r="V43">
        <v>200</v>
      </c>
      <c r="W43">
        <v>2.8</v>
      </c>
      <c r="X43">
        <v>2.58</v>
      </c>
      <c r="Y43">
        <v>2.62</v>
      </c>
      <c r="Z43">
        <v>-0.45</v>
      </c>
      <c r="AA43" s="1">
        <v>-0.13850000000000001</v>
      </c>
      <c r="AB43">
        <v>75</v>
      </c>
      <c r="AC43" s="2">
        <v>4376</v>
      </c>
      <c r="AD43" s="1">
        <v>0.26979999999999998</v>
      </c>
    </row>
    <row r="46" spans="8:30" x14ac:dyDescent="0.3">
      <c r="H46" s="7">
        <v>44820</v>
      </c>
      <c r="J46" t="s">
        <v>66</v>
      </c>
      <c r="K46">
        <f>(H46-$B$21)/365</f>
        <v>0.44109589041095892</v>
      </c>
      <c r="T46" s="7">
        <v>44855</v>
      </c>
      <c r="V46" t="s">
        <v>66</v>
      </c>
      <c r="W46">
        <f>(T46-$B$21)/365</f>
        <v>0.53698630136986303</v>
      </c>
    </row>
    <row r="47" spans="8:30" x14ac:dyDescent="0.3">
      <c r="H47" t="s">
        <v>178</v>
      </c>
      <c r="I47" t="s">
        <v>179</v>
      </c>
      <c r="J47">
        <v>150</v>
      </c>
      <c r="K47">
        <v>27</v>
      </c>
      <c r="L47">
        <v>27.1</v>
      </c>
      <c r="M47">
        <v>27.3</v>
      </c>
      <c r="N47">
        <v>-2.2000000000000002</v>
      </c>
      <c r="O47" s="1">
        <v>-7.5300000000000006E-2</v>
      </c>
      <c r="P47">
        <v>9</v>
      </c>
      <c r="Q47" s="2">
        <v>16589</v>
      </c>
      <c r="R47" s="1">
        <v>0.3533</v>
      </c>
      <c r="T47" t="s">
        <v>198</v>
      </c>
      <c r="U47" t="s">
        <v>173</v>
      </c>
      <c r="V47">
        <v>150</v>
      </c>
      <c r="W47">
        <v>27.8</v>
      </c>
      <c r="X47">
        <v>28.35</v>
      </c>
      <c r="Y47">
        <v>28.6</v>
      </c>
      <c r="Z47">
        <v>-1</v>
      </c>
      <c r="AA47" s="1">
        <v>-3.4700000000000002E-2</v>
      </c>
      <c r="AB47">
        <v>10</v>
      </c>
      <c r="AC47">
        <v>879</v>
      </c>
      <c r="AD47" s="1">
        <v>0.35199999999999998</v>
      </c>
    </row>
    <row r="48" spans="8:30" x14ac:dyDescent="0.3">
      <c r="H48" t="s">
        <v>180</v>
      </c>
      <c r="I48" t="s">
        <v>181</v>
      </c>
      <c r="J48">
        <v>155</v>
      </c>
      <c r="K48">
        <v>25.32</v>
      </c>
      <c r="L48">
        <v>23.45</v>
      </c>
      <c r="M48">
        <v>23.65</v>
      </c>
      <c r="N48">
        <v>0</v>
      </c>
      <c r="O48" t="s">
        <v>50</v>
      </c>
      <c r="P48">
        <v>14</v>
      </c>
      <c r="Q48" s="2">
        <v>7516</v>
      </c>
      <c r="R48" s="1">
        <v>0.34160000000000001</v>
      </c>
      <c r="T48" t="s">
        <v>199</v>
      </c>
      <c r="U48" t="s">
        <v>200</v>
      </c>
      <c r="V48">
        <v>155</v>
      </c>
      <c r="W48">
        <v>25.45</v>
      </c>
      <c r="X48">
        <v>24.9</v>
      </c>
      <c r="Y48">
        <v>25.1</v>
      </c>
      <c r="Z48">
        <v>-1.35</v>
      </c>
      <c r="AA48" s="1">
        <v>-5.04E-2</v>
      </c>
      <c r="AB48">
        <v>1</v>
      </c>
      <c r="AC48">
        <v>441</v>
      </c>
      <c r="AD48" s="1">
        <v>0.3427</v>
      </c>
    </row>
    <row r="49" spans="8:58" x14ac:dyDescent="0.3">
      <c r="H49" t="s">
        <v>182</v>
      </c>
      <c r="I49" t="s">
        <v>167</v>
      </c>
      <c r="J49">
        <v>160</v>
      </c>
      <c r="K49">
        <v>19.55</v>
      </c>
      <c r="L49">
        <v>20</v>
      </c>
      <c r="M49">
        <v>20.2</v>
      </c>
      <c r="N49">
        <v>-1.63</v>
      </c>
      <c r="O49" s="1">
        <v>-7.6999999999999999E-2</v>
      </c>
      <c r="P49">
        <v>33</v>
      </c>
      <c r="Q49" s="2">
        <v>19081</v>
      </c>
      <c r="R49" s="1">
        <v>0.32979999999999998</v>
      </c>
      <c r="T49" t="s">
        <v>201</v>
      </c>
      <c r="U49" t="s">
        <v>202</v>
      </c>
      <c r="V49">
        <v>160</v>
      </c>
      <c r="W49">
        <v>22.1</v>
      </c>
      <c r="X49">
        <v>21.55</v>
      </c>
      <c r="Y49">
        <v>21.7</v>
      </c>
      <c r="Z49">
        <v>-0.18</v>
      </c>
      <c r="AA49" s="1">
        <v>-8.0999999999999996E-3</v>
      </c>
      <c r="AB49">
        <v>24</v>
      </c>
      <c r="AC49" s="2">
        <v>3054</v>
      </c>
      <c r="AD49" s="1">
        <v>0.33119999999999999</v>
      </c>
    </row>
    <row r="50" spans="8:58" x14ac:dyDescent="0.3">
      <c r="H50" t="s">
        <v>183</v>
      </c>
      <c r="I50" t="s">
        <v>184</v>
      </c>
      <c r="J50">
        <v>165</v>
      </c>
      <c r="K50">
        <v>16.8</v>
      </c>
      <c r="L50">
        <v>16.95</v>
      </c>
      <c r="M50">
        <v>17.05</v>
      </c>
      <c r="N50">
        <v>-1.87</v>
      </c>
      <c r="O50" s="1">
        <v>-0.1002</v>
      </c>
      <c r="P50">
        <v>85</v>
      </c>
      <c r="Q50" s="2">
        <v>8237</v>
      </c>
      <c r="R50" s="1">
        <v>0.31969999999999998</v>
      </c>
      <c r="T50" t="s">
        <v>203</v>
      </c>
      <c r="U50" t="s">
        <v>152</v>
      </c>
      <c r="V50">
        <v>165</v>
      </c>
      <c r="W50">
        <v>18.010000000000002</v>
      </c>
      <c r="X50">
        <v>18.399999999999999</v>
      </c>
      <c r="Y50">
        <v>18.600000000000001</v>
      </c>
      <c r="Z50">
        <v>-2.19</v>
      </c>
      <c r="AA50" s="1">
        <v>-0.1084</v>
      </c>
      <c r="AB50">
        <v>5</v>
      </c>
      <c r="AC50" s="2">
        <v>2463</v>
      </c>
      <c r="AD50" s="1">
        <v>0.32179999999999997</v>
      </c>
    </row>
    <row r="51" spans="8:58" x14ac:dyDescent="0.3">
      <c r="H51" t="s">
        <v>185</v>
      </c>
      <c r="I51" t="s">
        <v>186</v>
      </c>
      <c r="J51">
        <v>170</v>
      </c>
      <c r="K51">
        <v>13.91</v>
      </c>
      <c r="L51">
        <v>14.05</v>
      </c>
      <c r="M51">
        <v>14.25</v>
      </c>
      <c r="N51">
        <v>-1.29</v>
      </c>
      <c r="O51" s="1">
        <v>-8.4900000000000003E-2</v>
      </c>
      <c r="P51">
        <v>136</v>
      </c>
      <c r="Q51" s="2">
        <v>14213</v>
      </c>
      <c r="R51" s="1">
        <v>0.31180000000000002</v>
      </c>
      <c r="T51" t="s">
        <v>204</v>
      </c>
      <c r="U51" t="s">
        <v>205</v>
      </c>
      <c r="V51">
        <v>170</v>
      </c>
      <c r="W51">
        <v>15.67</v>
      </c>
      <c r="X51">
        <v>15.6</v>
      </c>
      <c r="Y51">
        <v>15.8</v>
      </c>
      <c r="Z51">
        <v>-1.71</v>
      </c>
      <c r="AA51" s="1">
        <v>-9.8400000000000001E-2</v>
      </c>
      <c r="AB51">
        <v>220</v>
      </c>
      <c r="AC51" s="2">
        <v>2217</v>
      </c>
      <c r="AD51" s="1">
        <v>0.31390000000000001</v>
      </c>
    </row>
    <row r="52" spans="8:58" x14ac:dyDescent="0.3">
      <c r="H52" t="s">
        <v>187</v>
      </c>
      <c r="I52" t="s">
        <v>188</v>
      </c>
      <c r="J52">
        <v>175</v>
      </c>
      <c r="K52">
        <v>11.45</v>
      </c>
      <c r="L52">
        <v>11.6</v>
      </c>
      <c r="M52">
        <v>11.65</v>
      </c>
      <c r="N52">
        <v>-1.6</v>
      </c>
      <c r="O52" s="1">
        <v>-0.1226</v>
      </c>
      <c r="P52">
        <v>109</v>
      </c>
      <c r="Q52" s="2">
        <v>13345</v>
      </c>
      <c r="R52" s="1">
        <v>0.3024</v>
      </c>
      <c r="T52" t="s">
        <v>206</v>
      </c>
      <c r="U52" t="s">
        <v>207</v>
      </c>
      <c r="V52">
        <v>175</v>
      </c>
      <c r="W52">
        <v>13</v>
      </c>
      <c r="X52">
        <v>13.1</v>
      </c>
      <c r="Y52">
        <v>13.25</v>
      </c>
      <c r="Z52">
        <v>-1.25</v>
      </c>
      <c r="AA52" s="1">
        <v>-8.77E-2</v>
      </c>
      <c r="AB52">
        <v>308</v>
      </c>
      <c r="AC52" s="2">
        <v>2154</v>
      </c>
      <c r="AD52" s="1">
        <v>0.30620000000000003</v>
      </c>
    </row>
    <row r="53" spans="8:58" x14ac:dyDescent="0.3">
      <c r="H53" t="s">
        <v>189</v>
      </c>
      <c r="I53" t="s">
        <v>190</v>
      </c>
      <c r="J53">
        <v>180</v>
      </c>
      <c r="K53">
        <v>9.4</v>
      </c>
      <c r="L53">
        <v>9.35</v>
      </c>
      <c r="M53">
        <v>9.5</v>
      </c>
      <c r="N53">
        <v>-0.85</v>
      </c>
      <c r="O53" s="1">
        <v>-8.2900000000000001E-2</v>
      </c>
      <c r="P53">
        <v>163</v>
      </c>
      <c r="Q53" s="2">
        <v>21185</v>
      </c>
      <c r="R53" s="1">
        <v>0.2969</v>
      </c>
      <c r="T53" t="s">
        <v>208</v>
      </c>
      <c r="U53" t="s">
        <v>209</v>
      </c>
      <c r="V53">
        <v>180</v>
      </c>
      <c r="W53">
        <v>10.82</v>
      </c>
      <c r="X53">
        <v>10.85</v>
      </c>
      <c r="Y53">
        <v>11.05</v>
      </c>
      <c r="Z53">
        <v>-1.54</v>
      </c>
      <c r="AA53" s="1">
        <v>-0.1246</v>
      </c>
      <c r="AB53">
        <v>82</v>
      </c>
      <c r="AC53" s="2">
        <v>2679</v>
      </c>
      <c r="AD53" s="1">
        <v>0.30049999999999999</v>
      </c>
    </row>
    <row r="54" spans="8:58" x14ac:dyDescent="0.3">
      <c r="H54" t="s">
        <v>191</v>
      </c>
      <c r="I54" t="s">
        <v>192</v>
      </c>
      <c r="J54">
        <v>185</v>
      </c>
      <c r="K54">
        <v>7.3</v>
      </c>
      <c r="L54">
        <v>7.4</v>
      </c>
      <c r="M54">
        <v>7.5</v>
      </c>
      <c r="N54">
        <v>-1.35</v>
      </c>
      <c r="O54" s="1">
        <v>-0.15609999999999999</v>
      </c>
      <c r="P54">
        <v>127</v>
      </c>
      <c r="Q54" s="2">
        <v>14521</v>
      </c>
      <c r="R54" s="1">
        <v>0.28839999999999999</v>
      </c>
      <c r="T54" t="s">
        <v>210</v>
      </c>
      <c r="U54" t="s">
        <v>157</v>
      </c>
      <c r="V54">
        <v>185</v>
      </c>
      <c r="W54">
        <v>8.65</v>
      </c>
      <c r="X54">
        <v>8.85</v>
      </c>
      <c r="Y54">
        <v>9.0500000000000007</v>
      </c>
      <c r="Z54">
        <v>-1.35</v>
      </c>
      <c r="AA54" s="1">
        <v>-0.13500000000000001</v>
      </c>
      <c r="AB54">
        <v>49</v>
      </c>
      <c r="AC54" s="2">
        <v>1408</v>
      </c>
      <c r="AD54" s="1">
        <v>0.29389999999999999</v>
      </c>
    </row>
    <row r="55" spans="8:58" x14ac:dyDescent="0.3">
      <c r="H55" t="s">
        <v>193</v>
      </c>
      <c r="I55" t="s">
        <v>194</v>
      </c>
      <c r="J55">
        <v>190</v>
      </c>
      <c r="K55">
        <v>5.85</v>
      </c>
      <c r="L55">
        <v>5.8</v>
      </c>
      <c r="M55">
        <v>5.9</v>
      </c>
      <c r="N55">
        <v>-0.7</v>
      </c>
      <c r="O55" s="1">
        <v>-0.1069</v>
      </c>
      <c r="P55">
        <v>151</v>
      </c>
      <c r="Q55" s="2">
        <v>15677</v>
      </c>
      <c r="R55" s="1">
        <v>0.28299999999999997</v>
      </c>
      <c r="T55" t="s">
        <v>211</v>
      </c>
      <c r="U55" t="s">
        <v>212</v>
      </c>
      <c r="V55">
        <v>190</v>
      </c>
      <c r="W55">
        <v>7.2</v>
      </c>
      <c r="X55">
        <v>7.2</v>
      </c>
      <c r="Y55">
        <v>7.35</v>
      </c>
      <c r="Z55">
        <v>-1.1499999999999999</v>
      </c>
      <c r="AA55" s="1">
        <v>-0.13769999999999999</v>
      </c>
      <c r="AB55">
        <v>684</v>
      </c>
      <c r="AC55" s="2">
        <v>4349</v>
      </c>
      <c r="AD55" s="1">
        <v>0.28860000000000002</v>
      </c>
    </row>
    <row r="56" spans="8:58" x14ac:dyDescent="0.3">
      <c r="H56" t="s">
        <v>195</v>
      </c>
      <c r="I56" t="s">
        <v>196</v>
      </c>
      <c r="J56">
        <v>195</v>
      </c>
      <c r="K56">
        <v>4.46</v>
      </c>
      <c r="L56">
        <v>4.5</v>
      </c>
      <c r="M56">
        <v>4.6500000000000004</v>
      </c>
      <c r="N56">
        <v>-0.69</v>
      </c>
      <c r="O56" s="1">
        <v>-0.13400000000000001</v>
      </c>
      <c r="P56">
        <v>213</v>
      </c>
      <c r="Q56" s="2">
        <v>4883</v>
      </c>
      <c r="R56" s="1">
        <v>0.28010000000000002</v>
      </c>
      <c r="T56" t="s">
        <v>213</v>
      </c>
      <c r="U56" t="s">
        <v>214</v>
      </c>
      <c r="V56">
        <v>195</v>
      </c>
      <c r="W56">
        <v>5.65</v>
      </c>
      <c r="X56">
        <v>5.75</v>
      </c>
      <c r="Y56">
        <v>5.9</v>
      </c>
      <c r="Z56">
        <v>-1.1200000000000001</v>
      </c>
      <c r="AA56" s="1">
        <v>-0.16539999999999999</v>
      </c>
      <c r="AB56">
        <v>31</v>
      </c>
      <c r="AC56">
        <v>930</v>
      </c>
      <c r="AD56" s="1">
        <v>0.28360000000000002</v>
      </c>
      <c r="AI56">
        <v>9.5890410958904104E-2</v>
      </c>
      <c r="AJ56">
        <v>9.6176000000000005E-3</v>
      </c>
      <c r="AK56">
        <v>0.19178082191780821</v>
      </c>
      <c r="AL56">
        <v>9.7769999999999992E-3</v>
      </c>
      <c r="AM56">
        <v>0.26849315068493151</v>
      </c>
      <c r="AN56">
        <v>9.7236000000000006E-3</v>
      </c>
      <c r="AO56">
        <v>0.36438356164383562</v>
      </c>
      <c r="AP56">
        <v>1.1042533333333333E-2</v>
      </c>
      <c r="AQ56">
        <v>0.44109589041095892</v>
      </c>
      <c r="AR56">
        <v>1.2361466666666668E-2</v>
      </c>
      <c r="AS56">
        <v>0.53698630136986303</v>
      </c>
      <c r="AT56">
        <v>1.3680400000000001E-2</v>
      </c>
      <c r="AU56">
        <v>0.61369863013698633</v>
      </c>
      <c r="AV56">
        <v>1.4896666666666667E-2</v>
      </c>
      <c r="AW56">
        <v>0.78630136986301369</v>
      </c>
      <c r="AX56">
        <v>1.7329199999999999E-2</v>
      </c>
      <c r="AY56">
        <v>0.9397260273972603</v>
      </c>
      <c r="AZ56">
        <v>2.01817E-2</v>
      </c>
      <c r="BA56">
        <v>1.189041095890411</v>
      </c>
      <c r="BB56">
        <v>2.1240666666666668E-2</v>
      </c>
      <c r="BC56">
        <v>1.4383561643835616</v>
      </c>
      <c r="BD56">
        <v>2.33586E-2</v>
      </c>
      <c r="BE56">
        <v>1.7835616438356163</v>
      </c>
      <c r="BF56">
        <v>2.5476533333333332E-2</v>
      </c>
    </row>
    <row r="57" spans="8:58" x14ac:dyDescent="0.3">
      <c r="H57" t="s">
        <v>197</v>
      </c>
      <c r="I57" t="s">
        <v>190</v>
      </c>
      <c r="J57">
        <v>200</v>
      </c>
      <c r="K57">
        <v>3.5</v>
      </c>
      <c r="L57">
        <v>3.45</v>
      </c>
      <c r="M57">
        <v>3.6</v>
      </c>
      <c r="N57">
        <v>-0.5</v>
      </c>
      <c r="O57" s="1">
        <v>-0.125</v>
      </c>
      <c r="P57" s="2">
        <v>1776</v>
      </c>
      <c r="Q57" s="2">
        <v>18748</v>
      </c>
      <c r="R57" s="1">
        <v>0.27689999999999998</v>
      </c>
      <c r="T57" t="s">
        <v>215</v>
      </c>
      <c r="U57" t="s">
        <v>216</v>
      </c>
      <c r="V57">
        <v>200</v>
      </c>
      <c r="W57">
        <v>4.55</v>
      </c>
      <c r="X57">
        <v>4.5999999999999996</v>
      </c>
      <c r="Y57">
        <v>4.7</v>
      </c>
      <c r="Z57">
        <v>-0.5</v>
      </c>
      <c r="AA57" s="1">
        <v>-9.9000000000000005E-2</v>
      </c>
      <c r="AB57">
        <v>167</v>
      </c>
      <c r="AC57" s="2">
        <v>2037</v>
      </c>
      <c r="AD57" s="1">
        <v>0.27960000000000002</v>
      </c>
    </row>
    <row r="59" spans="8:58" x14ac:dyDescent="0.3">
      <c r="H59" s="7">
        <v>44883</v>
      </c>
      <c r="J59" t="s">
        <v>66</v>
      </c>
      <c r="K59">
        <f>(H59-$B$21)/365</f>
        <v>0.61369863013698633</v>
      </c>
      <c r="T59" s="7">
        <v>44946</v>
      </c>
      <c r="V59" t="s">
        <v>66</v>
      </c>
      <c r="W59">
        <f>(T59-$B$21)/365</f>
        <v>0.78630136986301369</v>
      </c>
    </row>
    <row r="60" spans="8:58" x14ac:dyDescent="0.3">
      <c r="H60" t="s">
        <v>217</v>
      </c>
      <c r="I60" t="s">
        <v>218</v>
      </c>
      <c r="J60">
        <v>150</v>
      </c>
      <c r="K60">
        <v>28.95</v>
      </c>
      <c r="L60">
        <v>29.35</v>
      </c>
      <c r="M60">
        <v>29.6</v>
      </c>
      <c r="N60">
        <v>-2.6</v>
      </c>
      <c r="O60" s="1">
        <v>-8.2400000000000001E-2</v>
      </c>
      <c r="P60">
        <v>2</v>
      </c>
      <c r="Q60">
        <v>369</v>
      </c>
      <c r="R60" s="1">
        <v>0.35160000000000002</v>
      </c>
      <c r="T60" t="s">
        <v>235</v>
      </c>
      <c r="U60" t="s">
        <v>236</v>
      </c>
      <c r="V60">
        <v>150</v>
      </c>
      <c r="W60">
        <v>30.8</v>
      </c>
      <c r="X60">
        <v>31.35</v>
      </c>
      <c r="Y60">
        <v>31.7</v>
      </c>
      <c r="Z60">
        <v>-2.78</v>
      </c>
      <c r="AA60" s="1">
        <v>-8.2799999999999999E-2</v>
      </c>
      <c r="AB60">
        <v>122</v>
      </c>
      <c r="AC60" s="2">
        <v>32118</v>
      </c>
      <c r="AD60" s="1">
        <v>0.3523</v>
      </c>
      <c r="AI60">
        <v>9.5890410958904104E-2</v>
      </c>
      <c r="AJ60" t="s">
        <v>302</v>
      </c>
      <c r="AK60">
        <v>0.19178082191780821</v>
      </c>
      <c r="AM60">
        <v>0.26849315068493151</v>
      </c>
      <c r="AO60">
        <v>0.36438356164383562</v>
      </c>
      <c r="AQ60">
        <v>0.44109589041095892</v>
      </c>
      <c r="AS60">
        <v>0.53698630136986303</v>
      </c>
      <c r="AU60">
        <v>0.61369863013698633</v>
      </c>
      <c r="AW60">
        <v>0.78630136986301369</v>
      </c>
      <c r="AY60">
        <v>0.9397260273972603</v>
      </c>
      <c r="BA60">
        <v>1.189041095890411</v>
      </c>
      <c r="BC60">
        <v>1.4383561643835616</v>
      </c>
      <c r="BE60">
        <v>1.7835616438356163</v>
      </c>
    </row>
    <row r="61" spans="8:58" x14ac:dyDescent="0.3">
      <c r="H61" t="s">
        <v>219</v>
      </c>
      <c r="I61" t="s">
        <v>220</v>
      </c>
      <c r="J61">
        <v>155</v>
      </c>
      <c r="K61">
        <v>26.3</v>
      </c>
      <c r="L61">
        <v>25.85</v>
      </c>
      <c r="M61">
        <v>26.15</v>
      </c>
      <c r="N61">
        <v>-0.8</v>
      </c>
      <c r="O61" s="1">
        <v>-2.9499999999999998E-2</v>
      </c>
      <c r="P61">
        <v>20</v>
      </c>
      <c r="Q61">
        <v>407</v>
      </c>
      <c r="R61" s="1">
        <v>0.34250000000000003</v>
      </c>
      <c r="T61" t="s">
        <v>237</v>
      </c>
      <c r="U61" t="s">
        <v>148</v>
      </c>
      <c r="V61">
        <v>155</v>
      </c>
      <c r="W61">
        <v>27.25</v>
      </c>
      <c r="X61">
        <v>27.9</v>
      </c>
      <c r="Y61">
        <v>28.25</v>
      </c>
      <c r="Z61">
        <v>-2.5499999999999998</v>
      </c>
      <c r="AA61" s="1">
        <v>-8.5599999999999996E-2</v>
      </c>
      <c r="AB61">
        <v>69</v>
      </c>
      <c r="AC61" s="2">
        <v>17376</v>
      </c>
      <c r="AD61" s="1">
        <v>0.34200000000000003</v>
      </c>
      <c r="AH61">
        <v>150</v>
      </c>
      <c r="AI61" s="16">
        <v>0.34079999999999999</v>
      </c>
      <c r="AJ61" s="16">
        <f>OptionRho($AJ$5,$AJ$6,$AH61,$AI$17,$AJ$13,AI61,$AJ$11)</f>
        <v>0.12564088558139205</v>
      </c>
      <c r="AK61" s="16">
        <v>0.33479999999999999</v>
      </c>
      <c r="AL61" s="16">
        <f>OptionRho($AJ$5,$AJ$6,$AH61,$AK$17,$AL$13,AK61,$AJ$11)</f>
        <v>0.22603163653919367</v>
      </c>
      <c r="AM61" s="16">
        <v>0.33160000000000001</v>
      </c>
      <c r="AN61" s="16">
        <f>OptionRho($AJ$5,$AJ$6,$AH61,$AM$17,$AN$13,AM61,$AJ$11)</f>
        <v>0.29951247680306298</v>
      </c>
      <c r="AO61" s="16">
        <v>0.34539999999999998</v>
      </c>
      <c r="AP61" s="16">
        <f>OptionRho($AJ$5,$AJ$6,$AH61,$AO$17,$AP$13,AO61,$AJ$11)</f>
        <v>0.3798332846733084</v>
      </c>
      <c r="AQ61" s="16">
        <v>0.3533</v>
      </c>
      <c r="AR61" s="16">
        <f>OptionRho($AJ$5,$AJ$6,$AH61,$AQ$17,$AR$13,AQ61,$AJ$11)</f>
        <v>0.44128966451405227</v>
      </c>
      <c r="AS61" s="16">
        <v>0.35199999999999998</v>
      </c>
      <c r="AT61" s="16">
        <f>OptionRho($AJ$5,$AJ$6,$AH61,$AS$17,$AT$13,AS61,$AJ$11)</f>
        <v>0.52016618694146888</v>
      </c>
      <c r="AU61" s="16">
        <v>0.35160000000000002</v>
      </c>
      <c r="AV61" s="16">
        <f>OptionRho($AJ$5,$AJ$6,$AH61,$AU$17,$AV$13,AU61,$AJ$11)</f>
        <v>0.58151573846390514</v>
      </c>
      <c r="AW61" s="16">
        <v>0.3523</v>
      </c>
      <c r="AX61" s="16">
        <f>OptionRho($AJ$5,$AJ$6,$AH61,$AW$17,$AX$13,AW61,$AJ$11)</f>
        <v>0.71438594215661855</v>
      </c>
      <c r="AY61" s="16">
        <v>0.35499999999999998</v>
      </c>
      <c r="AZ61" s="16">
        <f>OptionRho($AJ$5,$AJ$6,$AH61,$AY$17,$AZ$13,AY61,$AJ$11)</f>
        <v>0.82715734859084999</v>
      </c>
      <c r="BA61" s="16">
        <v>0.35870000000000002</v>
      </c>
      <c r="BB61" s="16">
        <f>OptionRho($AJ$5,$AJ$6,$AH61,$BA$17,$BB$13,BA61,$AJ$11)</f>
        <v>1.0008119118316698</v>
      </c>
      <c r="BC61" s="16">
        <v>0.35870000000000002</v>
      </c>
      <c r="BD61" s="16">
        <f>OptionRho($AJ$5,$AJ$6,$AH61,$BC$17,$BD$13,BC61,$AJ$11)</f>
        <v>1.1717622800656284</v>
      </c>
      <c r="BE61" s="16">
        <v>0.36799999999999999</v>
      </c>
      <c r="BF61" s="16">
        <f>OptionRho($AJ$5,$AJ$6,$AH61,$BE$17,$BF$13,BE61,$AJ$11)</f>
        <v>1.3825803590800825</v>
      </c>
    </row>
    <row r="62" spans="8:58" x14ac:dyDescent="0.3">
      <c r="H62" t="s">
        <v>221</v>
      </c>
      <c r="I62" t="s">
        <v>222</v>
      </c>
      <c r="J62">
        <v>160</v>
      </c>
      <c r="K62">
        <v>22.84</v>
      </c>
      <c r="L62">
        <v>22.65</v>
      </c>
      <c r="M62">
        <v>23</v>
      </c>
      <c r="N62">
        <v>-1.76</v>
      </c>
      <c r="O62" s="1">
        <v>-7.1499999999999994E-2</v>
      </c>
      <c r="P62">
        <v>10</v>
      </c>
      <c r="Q62">
        <v>873</v>
      </c>
      <c r="R62" s="1">
        <v>0.33579999999999999</v>
      </c>
      <c r="T62" t="s">
        <v>238</v>
      </c>
      <c r="U62" t="s">
        <v>222</v>
      </c>
      <c r="V62">
        <v>160</v>
      </c>
      <c r="W62">
        <v>25</v>
      </c>
      <c r="X62">
        <v>24.75</v>
      </c>
      <c r="Y62">
        <v>25.1</v>
      </c>
      <c r="Z62">
        <v>-1.3</v>
      </c>
      <c r="AA62" s="1">
        <v>-4.9399999999999999E-2</v>
      </c>
      <c r="AB62">
        <v>248</v>
      </c>
      <c r="AC62" s="2">
        <v>26760</v>
      </c>
      <c r="AD62" s="1">
        <v>0.33429999999999999</v>
      </c>
      <c r="AH62">
        <v>155</v>
      </c>
      <c r="AI62" s="16">
        <v>0.3251</v>
      </c>
      <c r="AJ62" s="16">
        <f t="shared" ref="AJ62:AJ71" si="12">OptionRho($AJ$5,$AJ$6,$AH62,$AI$17,$AJ$13,AI62,$AJ$11)</f>
        <v>0.12043079238661053</v>
      </c>
      <c r="AK62" s="16">
        <v>0.32200000000000001</v>
      </c>
      <c r="AL62" s="16">
        <f t="shared" ref="AL62:AL71" si="13">OptionRho($AJ$5,$AJ$6,$AH62,$AK$17,$AL$13,AK62,$AJ$11)</f>
        <v>0.21549113011401386</v>
      </c>
      <c r="AM62" s="16">
        <v>0.32500000000000001</v>
      </c>
      <c r="AN62" s="16">
        <f t="shared" ref="AN62:AN71" si="14">OptionRho($AJ$5,$AJ$6,$AH62,$AM$17,$AN$13,AM62,$AJ$11)</f>
        <v>0.28451248532711787</v>
      </c>
      <c r="AO62" s="16">
        <v>0.33339999999999997</v>
      </c>
      <c r="AP62" s="16">
        <f t="shared" ref="AP62:AP71" si="15">OptionRho($AJ$5,$AJ$6,$AH62,$AO$17,$AP$13,AO62,$AJ$11)</f>
        <v>0.36473798395470131</v>
      </c>
      <c r="AQ62" s="16">
        <v>0.34160000000000001</v>
      </c>
      <c r="AR62" s="16">
        <f t="shared" ref="AR62:AR71" si="16">OptionRho($AJ$5,$AJ$6,$AH62,$AQ$17,$AR$13,AQ62,$AJ$11)</f>
        <v>0.42536116646868799</v>
      </c>
      <c r="AS62" s="16">
        <v>0.3427</v>
      </c>
      <c r="AT62" s="16">
        <f t="shared" ref="AT62:AT71" si="17">OptionRho($AJ$5,$AJ$6,$AH62,$AS$17,$AT$13,AS62,$AJ$11)</f>
        <v>0.50219926615325783</v>
      </c>
      <c r="AU62" s="16">
        <v>0.34250000000000003</v>
      </c>
      <c r="AV62" s="16">
        <f t="shared" ref="AV62:AV71" si="18">OptionRho($AJ$5,$AJ$6,$AH62,$AU$17,$AV$13,AU62,$AJ$11)</f>
        <v>0.56292878712944627</v>
      </c>
      <c r="AW62" s="16">
        <v>0.34200000000000003</v>
      </c>
      <c r="AX62" s="16">
        <f t="shared" ref="AX62:AX71" si="19">OptionRho($AJ$5,$AJ$6,$AH62,$AW$17,$AX$13,AW62,$AJ$11)</f>
        <v>0.69625974417196046</v>
      </c>
      <c r="AY62" s="16">
        <v>0.34660000000000002</v>
      </c>
      <c r="AZ62" s="16">
        <f t="shared" ref="AZ62:AZ71" si="20">OptionRho($AJ$5,$AJ$6,$AH62,$AY$17,$AZ$13,AY62,$AJ$11)</f>
        <v>0.80823185606166914</v>
      </c>
      <c r="BA62" s="16">
        <v>0.35089999999999999</v>
      </c>
      <c r="BB62" s="16">
        <f t="shared" ref="BB62:BB71" si="21">OptionRho($AJ$5,$AJ$6,$AH62,$BA$17,$BB$13,BA62,$AJ$11)</f>
        <v>0.98256087567334127</v>
      </c>
      <c r="BC62" s="16">
        <v>0.35089999999999999</v>
      </c>
      <c r="BD62" s="16">
        <f t="shared" ref="BD62:BD71" si="22">OptionRho($AJ$5,$AJ$6,$AH62,$BC$17,$BD$13,BC62,$AJ$11)</f>
        <v>1.1553411715382014</v>
      </c>
      <c r="BE62" s="16">
        <v>0.36149999999999999</v>
      </c>
      <c r="BF62" s="16">
        <f t="shared" ref="BF62:BF71" si="23">OptionRho($AJ$5,$AJ$6,$AH62,$BE$17,$BF$13,BE62,$AJ$11)</f>
        <v>1.3684330920177401</v>
      </c>
    </row>
    <row r="63" spans="8:58" x14ac:dyDescent="0.3">
      <c r="H63" t="s">
        <v>223</v>
      </c>
      <c r="I63" t="s">
        <v>224</v>
      </c>
      <c r="J63">
        <v>165</v>
      </c>
      <c r="K63">
        <v>19.45</v>
      </c>
      <c r="L63">
        <v>19.649999999999999</v>
      </c>
      <c r="M63">
        <v>19.850000000000001</v>
      </c>
      <c r="N63">
        <v>-1.87</v>
      </c>
      <c r="O63" s="1">
        <v>-8.77E-2</v>
      </c>
      <c r="P63">
        <v>57</v>
      </c>
      <c r="Q63" s="2">
        <v>1741</v>
      </c>
      <c r="R63" s="1">
        <v>0.32500000000000001</v>
      </c>
      <c r="T63" t="s">
        <v>239</v>
      </c>
      <c r="U63" t="s">
        <v>173</v>
      </c>
      <c r="V63">
        <v>165</v>
      </c>
      <c r="W63">
        <v>21.39</v>
      </c>
      <c r="X63">
        <v>21.8</v>
      </c>
      <c r="Y63">
        <v>22.15</v>
      </c>
      <c r="Z63">
        <v>-2.4300000000000002</v>
      </c>
      <c r="AA63" s="1">
        <v>-0.10199999999999999</v>
      </c>
      <c r="AB63">
        <v>152</v>
      </c>
      <c r="AC63" s="2">
        <v>18118</v>
      </c>
      <c r="AD63" s="1">
        <v>0.32690000000000002</v>
      </c>
      <c r="AH63">
        <v>160</v>
      </c>
      <c r="AI63" s="16">
        <v>0.31180000000000002</v>
      </c>
      <c r="AJ63" s="16">
        <f t="shared" si="12"/>
        <v>0.11097110338942393</v>
      </c>
      <c r="AK63" s="16">
        <v>0.30980000000000002</v>
      </c>
      <c r="AL63" s="16">
        <f t="shared" si="13"/>
        <v>0.20037103779262597</v>
      </c>
      <c r="AM63" s="16">
        <v>0.31069999999999998</v>
      </c>
      <c r="AN63" s="16">
        <f t="shared" si="14"/>
        <v>0.26729470320914334</v>
      </c>
      <c r="AO63" s="16">
        <v>0.32200000000000001</v>
      </c>
      <c r="AP63" s="16">
        <f t="shared" si="15"/>
        <v>0.34498474811109681</v>
      </c>
      <c r="AQ63" s="16">
        <v>0.32979999999999998</v>
      </c>
      <c r="AR63" s="16">
        <f t="shared" si="16"/>
        <v>0.40510016830660389</v>
      </c>
      <c r="AS63" s="16">
        <v>0.33119999999999999</v>
      </c>
      <c r="AT63" s="16">
        <f t="shared" si="17"/>
        <v>0.48095284238657232</v>
      </c>
      <c r="AU63" s="16">
        <v>0.33579999999999999</v>
      </c>
      <c r="AV63" s="16">
        <f t="shared" si="18"/>
        <v>0.53900006269926426</v>
      </c>
      <c r="AW63" s="16">
        <v>0.33429999999999999</v>
      </c>
      <c r="AX63" s="16">
        <f t="shared" si="19"/>
        <v>0.67194890017609077</v>
      </c>
      <c r="AY63" s="16">
        <v>0.33979999999999999</v>
      </c>
      <c r="AZ63" s="16">
        <f t="shared" si="20"/>
        <v>0.78382838303222879</v>
      </c>
      <c r="BA63" s="16">
        <v>0.3463</v>
      </c>
      <c r="BB63" s="16">
        <f t="shared" si="21"/>
        <v>0.95711926463192476</v>
      </c>
      <c r="BC63" s="16">
        <v>0.3463</v>
      </c>
      <c r="BD63" s="16">
        <f t="shared" si="22"/>
        <v>1.1308460381145098</v>
      </c>
      <c r="BE63" s="16">
        <v>0.35670000000000002</v>
      </c>
      <c r="BF63" s="16">
        <f t="shared" si="23"/>
        <v>1.3477709650141978</v>
      </c>
    </row>
    <row r="64" spans="8:58" x14ac:dyDescent="0.3">
      <c r="H64" t="s">
        <v>225</v>
      </c>
      <c r="I64" t="s">
        <v>184</v>
      </c>
      <c r="J64">
        <v>170</v>
      </c>
      <c r="K64">
        <v>16.95</v>
      </c>
      <c r="L64">
        <v>16.850000000000001</v>
      </c>
      <c r="M64">
        <v>17.100000000000001</v>
      </c>
      <c r="N64">
        <v>-1.8</v>
      </c>
      <c r="O64" s="1">
        <v>-9.6000000000000002E-2</v>
      </c>
      <c r="P64">
        <v>369</v>
      </c>
      <c r="Q64" s="2">
        <v>4051</v>
      </c>
      <c r="R64" s="1">
        <v>0.318</v>
      </c>
      <c r="T64" t="s">
        <v>240</v>
      </c>
      <c r="U64" t="s">
        <v>188</v>
      </c>
      <c r="V64">
        <v>170</v>
      </c>
      <c r="W64">
        <v>19.05</v>
      </c>
      <c r="X64">
        <v>19.149999999999999</v>
      </c>
      <c r="Y64">
        <v>19.45</v>
      </c>
      <c r="Z64">
        <v>-1.35</v>
      </c>
      <c r="AA64" s="1">
        <v>-6.6199999999999995E-2</v>
      </c>
      <c r="AB64">
        <v>551</v>
      </c>
      <c r="AC64" s="2">
        <v>25805</v>
      </c>
      <c r="AD64" s="1">
        <v>0.32069999999999999</v>
      </c>
      <c r="AH64">
        <v>165</v>
      </c>
      <c r="AI64" s="16">
        <v>0.29649999999999999</v>
      </c>
      <c r="AJ64" s="16">
        <f t="shared" si="12"/>
        <v>9.7376389791577214E-2</v>
      </c>
      <c r="AK64" s="16">
        <v>0.29930000000000001</v>
      </c>
      <c r="AL64" s="16">
        <f t="shared" si="13"/>
        <v>0.180552061405202</v>
      </c>
      <c r="AM64" s="16">
        <v>0.29820000000000002</v>
      </c>
      <c r="AN64" s="16">
        <f t="shared" si="14"/>
        <v>0.24487561681819267</v>
      </c>
      <c r="AO64" s="16">
        <v>0.30930000000000002</v>
      </c>
      <c r="AP64" s="16">
        <f t="shared" si="15"/>
        <v>0.32110084701649189</v>
      </c>
      <c r="AQ64" s="16">
        <v>0.31969999999999998</v>
      </c>
      <c r="AR64" s="16">
        <f t="shared" si="16"/>
        <v>0.37999247904988853</v>
      </c>
      <c r="AS64" s="16">
        <v>0.32179999999999997</v>
      </c>
      <c r="AT64" s="16">
        <f t="shared" si="17"/>
        <v>0.454534404968783</v>
      </c>
      <c r="AU64" s="16">
        <v>0.32500000000000001</v>
      </c>
      <c r="AV64" s="16">
        <f t="shared" si="18"/>
        <v>0.51287622150922563</v>
      </c>
      <c r="AW64" s="16">
        <v>0.32690000000000002</v>
      </c>
      <c r="AX64" s="16">
        <f t="shared" si="19"/>
        <v>0.64343286061122784</v>
      </c>
      <c r="AY64" s="16">
        <v>0.33279999999999998</v>
      </c>
      <c r="AZ64" s="16">
        <f t="shared" si="20"/>
        <v>0.75564357492547096</v>
      </c>
      <c r="BA64" s="16">
        <v>0.33960000000000001</v>
      </c>
      <c r="BB64" s="16">
        <f t="shared" si="21"/>
        <v>0.9298588402629997</v>
      </c>
      <c r="BC64" s="16">
        <v>0.33960000000000001</v>
      </c>
      <c r="BD64" s="16">
        <f t="shared" si="22"/>
        <v>1.1048305463612265</v>
      </c>
      <c r="BE64" s="16">
        <v>0.3518</v>
      </c>
      <c r="BF64" s="16">
        <f t="shared" si="23"/>
        <v>1.3236514548405636</v>
      </c>
    </row>
    <row r="65" spans="8:58" x14ac:dyDescent="0.3">
      <c r="H65" t="s">
        <v>226</v>
      </c>
      <c r="I65" t="s">
        <v>190</v>
      </c>
      <c r="J65">
        <v>175</v>
      </c>
      <c r="K65">
        <v>14.6</v>
      </c>
      <c r="L65">
        <v>14.35</v>
      </c>
      <c r="M65">
        <v>14.55</v>
      </c>
      <c r="N65">
        <v>-0.95</v>
      </c>
      <c r="O65" s="1">
        <v>-6.1100000000000002E-2</v>
      </c>
      <c r="P65">
        <v>38</v>
      </c>
      <c r="Q65" s="2">
        <v>5672</v>
      </c>
      <c r="R65" s="1">
        <v>0.31059999999999999</v>
      </c>
      <c r="T65" t="s">
        <v>241</v>
      </c>
      <c r="U65" t="s">
        <v>184</v>
      </c>
      <c r="V65">
        <v>175</v>
      </c>
      <c r="W65">
        <v>16.600000000000001</v>
      </c>
      <c r="X65">
        <v>16.649999999999999</v>
      </c>
      <c r="Y65">
        <v>16.95</v>
      </c>
      <c r="Z65">
        <v>-1.59</v>
      </c>
      <c r="AA65" s="1">
        <v>-8.7400000000000005E-2</v>
      </c>
      <c r="AB65">
        <v>285</v>
      </c>
      <c r="AC65" s="2">
        <v>18572</v>
      </c>
      <c r="AD65" s="1">
        <v>0.31459999999999999</v>
      </c>
      <c r="AH65">
        <v>170</v>
      </c>
      <c r="AI65" s="16">
        <v>0.28410000000000002</v>
      </c>
      <c r="AJ65" s="16">
        <f t="shared" si="12"/>
        <v>7.9645936872914408E-2</v>
      </c>
      <c r="AK65" s="16">
        <v>0.28689999999999999</v>
      </c>
      <c r="AL65" s="16">
        <f t="shared" si="13"/>
        <v>0.1570389067419706</v>
      </c>
      <c r="AM65" s="16">
        <v>0.28889999999999999</v>
      </c>
      <c r="AN65" s="16">
        <f t="shared" si="14"/>
        <v>0.21784455949223969</v>
      </c>
      <c r="AO65" s="16">
        <v>0.30320000000000003</v>
      </c>
      <c r="AP65" s="16">
        <f t="shared" si="15"/>
        <v>0.29209315328754137</v>
      </c>
      <c r="AQ65" s="16">
        <v>0.31180000000000002</v>
      </c>
      <c r="AR65" s="16">
        <f t="shared" si="16"/>
        <v>0.35070169156069197</v>
      </c>
      <c r="AS65" s="16">
        <v>0.31390000000000001</v>
      </c>
      <c r="AT65" s="16">
        <f t="shared" si="17"/>
        <v>0.42392777124977565</v>
      </c>
      <c r="AU65" s="16">
        <v>0.318</v>
      </c>
      <c r="AV65" s="16">
        <f t="shared" si="18"/>
        <v>0.48158014466737858</v>
      </c>
      <c r="AW65" s="16">
        <v>0.32069999999999999</v>
      </c>
      <c r="AX65" s="16">
        <f t="shared" si="19"/>
        <v>0.61076647199213641</v>
      </c>
      <c r="AY65" s="16">
        <v>0.32719999999999999</v>
      </c>
      <c r="AZ65" s="16">
        <f t="shared" si="20"/>
        <v>0.72311480953939244</v>
      </c>
      <c r="BA65" s="16">
        <v>0.33510000000000001</v>
      </c>
      <c r="BB65" s="16">
        <f t="shared" si="21"/>
        <v>0.89749141552075629</v>
      </c>
      <c r="BC65" s="16">
        <v>0.33510000000000001</v>
      </c>
      <c r="BD65" s="16">
        <f t="shared" si="22"/>
        <v>1.0730076293462163</v>
      </c>
      <c r="BE65" s="16">
        <v>0.3473</v>
      </c>
      <c r="BF65" s="16">
        <f t="shared" si="23"/>
        <v>1.2956294489390723</v>
      </c>
    </row>
    <row r="66" spans="8:58" x14ac:dyDescent="0.3">
      <c r="H66" t="s">
        <v>227</v>
      </c>
      <c r="I66" t="s">
        <v>228</v>
      </c>
      <c r="J66">
        <v>180</v>
      </c>
      <c r="K66">
        <v>11.98</v>
      </c>
      <c r="L66">
        <v>12.1</v>
      </c>
      <c r="M66">
        <v>12.3</v>
      </c>
      <c r="N66">
        <v>-1.62</v>
      </c>
      <c r="O66" s="1">
        <v>-0.1191</v>
      </c>
      <c r="P66">
        <v>82</v>
      </c>
      <c r="Q66" s="2">
        <v>5822</v>
      </c>
      <c r="R66" s="1">
        <v>0.30459999999999998</v>
      </c>
      <c r="T66" t="s">
        <v>242</v>
      </c>
      <c r="U66" t="s">
        <v>188</v>
      </c>
      <c r="V66">
        <v>180</v>
      </c>
      <c r="W66">
        <v>14.31</v>
      </c>
      <c r="X66">
        <v>14.4</v>
      </c>
      <c r="Y66">
        <v>14.7</v>
      </c>
      <c r="Z66">
        <v>-1.64</v>
      </c>
      <c r="AA66" s="1">
        <v>-0.1028</v>
      </c>
      <c r="AB66">
        <v>116</v>
      </c>
      <c r="AC66" s="2">
        <v>32866</v>
      </c>
      <c r="AD66" s="1">
        <v>0.30940000000000001</v>
      </c>
      <c r="AH66">
        <v>175</v>
      </c>
      <c r="AI66" s="16">
        <v>0.27200000000000002</v>
      </c>
      <c r="AJ66" s="16">
        <f t="shared" si="12"/>
        <v>5.9693082792060946E-2</v>
      </c>
      <c r="AK66" s="16">
        <v>0.27800000000000002</v>
      </c>
      <c r="AL66" s="16">
        <f t="shared" si="13"/>
        <v>0.13065723406328877</v>
      </c>
      <c r="AM66" s="16">
        <v>0.27879999999999999</v>
      </c>
      <c r="AN66" s="16">
        <f t="shared" si="14"/>
        <v>0.18785264753682865</v>
      </c>
      <c r="AO66" s="16">
        <v>0.29449999999999998</v>
      </c>
      <c r="AP66" s="16">
        <f t="shared" si="15"/>
        <v>0.26069420514425506</v>
      </c>
      <c r="AQ66" s="16">
        <v>0.3024</v>
      </c>
      <c r="AR66" s="16">
        <f t="shared" si="16"/>
        <v>0.3185243889131581</v>
      </c>
      <c r="AS66" s="16">
        <v>0.30620000000000003</v>
      </c>
      <c r="AT66" s="16">
        <f t="shared" si="17"/>
        <v>0.39019701214926356</v>
      </c>
      <c r="AU66" s="16">
        <v>0.31059999999999999</v>
      </c>
      <c r="AV66" s="16">
        <f t="shared" si="18"/>
        <v>0.44731611145852418</v>
      </c>
      <c r="AW66" s="16">
        <v>0.31459999999999999</v>
      </c>
      <c r="AX66" s="16">
        <f t="shared" si="19"/>
        <v>0.57501797607445659</v>
      </c>
      <c r="AY66" s="16">
        <v>0.32119999999999999</v>
      </c>
      <c r="AZ66" s="16">
        <f t="shared" si="20"/>
        <v>0.68765413207166159</v>
      </c>
      <c r="BA66" s="16">
        <v>0.32929999999999998</v>
      </c>
      <c r="BB66" s="16">
        <f t="shared" si="21"/>
        <v>0.86281938695164595</v>
      </c>
      <c r="BC66" s="16">
        <v>0.32929999999999998</v>
      </c>
      <c r="BD66" s="16">
        <f t="shared" si="22"/>
        <v>1.0388838692057381</v>
      </c>
      <c r="BE66" s="16">
        <v>0.34320000000000001</v>
      </c>
      <c r="BF66" s="16">
        <f t="shared" si="23"/>
        <v>1.2640852283229627</v>
      </c>
    </row>
    <row r="67" spans="8:58" x14ac:dyDescent="0.3">
      <c r="H67" t="s">
        <v>229</v>
      </c>
      <c r="I67" t="s">
        <v>207</v>
      </c>
      <c r="J67">
        <v>185</v>
      </c>
      <c r="K67">
        <v>10.08</v>
      </c>
      <c r="L67">
        <v>10.15</v>
      </c>
      <c r="M67">
        <v>10.3</v>
      </c>
      <c r="N67">
        <v>-1.47</v>
      </c>
      <c r="O67" s="1">
        <v>-0.1273</v>
      </c>
      <c r="P67">
        <v>136</v>
      </c>
      <c r="Q67" s="2">
        <v>2849</v>
      </c>
      <c r="R67" s="1">
        <v>0.29899999999999999</v>
      </c>
      <c r="T67" t="s">
        <v>243</v>
      </c>
      <c r="U67" t="s">
        <v>188</v>
      </c>
      <c r="V67">
        <v>185</v>
      </c>
      <c r="W67">
        <v>12.35</v>
      </c>
      <c r="X67">
        <v>12.35</v>
      </c>
      <c r="Y67">
        <v>12.6</v>
      </c>
      <c r="Z67">
        <v>-1</v>
      </c>
      <c r="AA67" s="1">
        <v>-7.4899999999999994E-2</v>
      </c>
      <c r="AB67">
        <v>196</v>
      </c>
      <c r="AC67" s="2">
        <v>15071</v>
      </c>
      <c r="AD67" s="1">
        <v>0.3034</v>
      </c>
      <c r="AH67">
        <v>180</v>
      </c>
      <c r="AI67" s="16">
        <v>0.26140000000000002</v>
      </c>
      <c r="AJ67" s="16">
        <f t="shared" si="12"/>
        <v>4.0196668960230442E-2</v>
      </c>
      <c r="AK67" s="16">
        <v>0.27029999999999998</v>
      </c>
      <c r="AL67" s="16">
        <f t="shared" si="13"/>
        <v>0.10368588931801698</v>
      </c>
      <c r="AM67" s="16">
        <v>0.27189999999999998</v>
      </c>
      <c r="AN67" s="16">
        <f t="shared" si="14"/>
        <v>0.15664258237189096</v>
      </c>
      <c r="AO67" s="16">
        <v>0.2853</v>
      </c>
      <c r="AP67" s="16">
        <f t="shared" si="15"/>
        <v>0.2271304265297969</v>
      </c>
      <c r="AQ67" s="16">
        <v>0.2969</v>
      </c>
      <c r="AR67" s="16">
        <f t="shared" si="16"/>
        <v>0.28437383923471948</v>
      </c>
      <c r="AS67" s="16">
        <v>0.30049999999999999</v>
      </c>
      <c r="AT67" s="16">
        <f t="shared" si="17"/>
        <v>0.35427128267896191</v>
      </c>
      <c r="AU67" s="16">
        <v>0.30459999999999998</v>
      </c>
      <c r="AV67" s="16">
        <f t="shared" si="18"/>
        <v>0.41061057478257107</v>
      </c>
      <c r="AW67" s="16">
        <v>0.30940000000000001</v>
      </c>
      <c r="AX67" s="16">
        <f t="shared" si="19"/>
        <v>0.53670778654338491</v>
      </c>
      <c r="AY67" s="16">
        <v>0.31640000000000001</v>
      </c>
      <c r="AZ67" s="16">
        <f t="shared" si="20"/>
        <v>0.64930999308880755</v>
      </c>
      <c r="BA67" s="16">
        <v>0.32419999999999999</v>
      </c>
      <c r="BB67" s="16">
        <f t="shared" si="21"/>
        <v>0.82497180769725353</v>
      </c>
      <c r="BC67" s="16">
        <v>0.32419999999999999</v>
      </c>
      <c r="BD67" s="16">
        <f t="shared" si="22"/>
        <v>1.0011139138830065</v>
      </c>
      <c r="BE67" s="16">
        <v>0.33910000000000001</v>
      </c>
      <c r="BF67" s="16">
        <f t="shared" si="23"/>
        <v>1.2297314110000606</v>
      </c>
    </row>
    <row r="68" spans="8:58" x14ac:dyDescent="0.3">
      <c r="H68" t="s">
        <v>230</v>
      </c>
      <c r="I68" t="s">
        <v>231</v>
      </c>
      <c r="J68">
        <v>190</v>
      </c>
      <c r="K68">
        <v>8.1999999999999993</v>
      </c>
      <c r="L68">
        <v>8.4</v>
      </c>
      <c r="M68">
        <v>8.6</v>
      </c>
      <c r="N68">
        <v>-1.33</v>
      </c>
      <c r="O68" s="1">
        <v>-0.1396</v>
      </c>
      <c r="P68">
        <v>58</v>
      </c>
      <c r="Q68" s="2">
        <v>1804</v>
      </c>
      <c r="R68" s="1">
        <v>0.29509999999999997</v>
      </c>
      <c r="T68" t="s">
        <v>244</v>
      </c>
      <c r="U68" t="s">
        <v>245</v>
      </c>
      <c r="V68">
        <v>190</v>
      </c>
      <c r="W68">
        <v>10.52</v>
      </c>
      <c r="X68">
        <v>10.55</v>
      </c>
      <c r="Y68">
        <v>10.8</v>
      </c>
      <c r="Z68">
        <v>-1</v>
      </c>
      <c r="AA68" s="1">
        <v>-8.6800000000000002E-2</v>
      </c>
      <c r="AB68">
        <v>62</v>
      </c>
      <c r="AC68" s="2">
        <v>19907</v>
      </c>
      <c r="AD68" s="1">
        <v>0.29930000000000001</v>
      </c>
      <c r="AH68">
        <v>185</v>
      </c>
      <c r="AI68" s="16">
        <v>0.2581</v>
      </c>
      <c r="AJ68" s="16">
        <f t="shared" si="12"/>
        <v>2.4834121242424404E-2</v>
      </c>
      <c r="AK68" s="16">
        <v>0.26369999999999999</v>
      </c>
      <c r="AL68" s="16">
        <f t="shared" si="13"/>
        <v>7.8229490448680203E-2</v>
      </c>
      <c r="AM68" s="16">
        <v>0.2656</v>
      </c>
      <c r="AN68" s="16">
        <f t="shared" si="14"/>
        <v>0.1260822874569911</v>
      </c>
      <c r="AO68" s="16">
        <v>0.28079999999999999</v>
      </c>
      <c r="AP68" s="16">
        <f t="shared" si="15"/>
        <v>0.19393490607724245</v>
      </c>
      <c r="AQ68" s="16">
        <v>0.28839999999999999</v>
      </c>
      <c r="AR68" s="16">
        <f t="shared" si="16"/>
        <v>0.24869454269546229</v>
      </c>
      <c r="AS68" s="16">
        <v>0.29389999999999999</v>
      </c>
      <c r="AT68" s="16">
        <f t="shared" si="17"/>
        <v>0.31696839396014148</v>
      </c>
      <c r="AU68" s="16">
        <v>0.29899999999999999</v>
      </c>
      <c r="AV68" s="16">
        <f t="shared" si="18"/>
        <v>0.37251299485227835</v>
      </c>
      <c r="AW68" s="16">
        <v>0.3034</v>
      </c>
      <c r="AX68" s="16">
        <f t="shared" si="19"/>
        <v>0.4964688440648804</v>
      </c>
      <c r="AY68" s="16">
        <v>0.31130000000000002</v>
      </c>
      <c r="AZ68" s="16">
        <f t="shared" si="20"/>
        <v>0.6089828022304834</v>
      </c>
      <c r="BA68" s="16">
        <v>0.32050000000000001</v>
      </c>
      <c r="BB68" s="16">
        <f t="shared" si="21"/>
        <v>0.78466257903566761</v>
      </c>
      <c r="BC68" s="16">
        <v>0.32050000000000001</v>
      </c>
      <c r="BD68" s="16">
        <f t="shared" si="22"/>
        <v>0.96026013372185004</v>
      </c>
      <c r="BE68" s="16">
        <v>0.33479999999999999</v>
      </c>
      <c r="BF68" s="16">
        <f t="shared" si="23"/>
        <v>1.1928823818026484</v>
      </c>
    </row>
    <row r="69" spans="8:58" x14ac:dyDescent="0.3">
      <c r="H69" t="s">
        <v>232</v>
      </c>
      <c r="I69" t="s">
        <v>233</v>
      </c>
      <c r="J69">
        <v>195</v>
      </c>
      <c r="K69">
        <v>6.75</v>
      </c>
      <c r="L69">
        <v>6.9</v>
      </c>
      <c r="M69">
        <v>7.05</v>
      </c>
      <c r="N69">
        <v>-0.85</v>
      </c>
      <c r="O69" s="1">
        <v>-0.1118</v>
      </c>
      <c r="P69">
        <v>997</v>
      </c>
      <c r="Q69" s="2">
        <v>3156</v>
      </c>
      <c r="R69" s="1">
        <v>0.2898</v>
      </c>
      <c r="T69" t="s">
        <v>246</v>
      </c>
      <c r="U69" t="s">
        <v>209</v>
      </c>
      <c r="V69">
        <v>195</v>
      </c>
      <c r="W69">
        <v>9</v>
      </c>
      <c r="X69">
        <v>8.9</v>
      </c>
      <c r="Y69">
        <v>9.15</v>
      </c>
      <c r="Z69">
        <v>-0.73</v>
      </c>
      <c r="AA69" s="1">
        <v>-7.4999999999999997E-2</v>
      </c>
      <c r="AB69">
        <v>128</v>
      </c>
      <c r="AC69" s="2">
        <v>15564</v>
      </c>
      <c r="AD69" s="1">
        <v>0.29449999999999998</v>
      </c>
      <c r="AH69">
        <v>190</v>
      </c>
      <c r="AI69" s="16">
        <v>0.26100000000000001</v>
      </c>
      <c r="AJ69" s="16">
        <f t="shared" si="12"/>
        <v>1.4736835299368653E-2</v>
      </c>
      <c r="AK69" s="16">
        <v>0.26029999999999998</v>
      </c>
      <c r="AL69" s="16">
        <f t="shared" si="13"/>
        <v>5.6685429728600779E-2</v>
      </c>
      <c r="AM69" s="16">
        <v>0.26140000000000002</v>
      </c>
      <c r="AN69" s="16">
        <f t="shared" si="14"/>
        <v>9.8364761385191415E-2</v>
      </c>
      <c r="AO69" s="16">
        <v>0.27660000000000001</v>
      </c>
      <c r="AP69" s="16">
        <f t="shared" si="15"/>
        <v>0.16206768762364648</v>
      </c>
      <c r="AQ69" s="16">
        <v>0.28299999999999997</v>
      </c>
      <c r="AR69" s="16">
        <f t="shared" si="16"/>
        <v>0.21386726074103621</v>
      </c>
      <c r="AS69" s="16">
        <v>0.28860000000000002</v>
      </c>
      <c r="AT69" s="16">
        <f t="shared" si="17"/>
        <v>0.27964760421616486</v>
      </c>
      <c r="AU69" s="16">
        <v>0.29509999999999997</v>
      </c>
      <c r="AV69" s="16">
        <f t="shared" si="18"/>
        <v>0.33447979966562752</v>
      </c>
      <c r="AW69" s="16">
        <v>0.29930000000000001</v>
      </c>
      <c r="AX69" s="16">
        <f t="shared" si="19"/>
        <v>0.45551234438571103</v>
      </c>
      <c r="AY69" s="16">
        <v>0.30659999999999998</v>
      </c>
      <c r="AZ69" s="16">
        <f t="shared" si="20"/>
        <v>0.56718675093218618</v>
      </c>
      <c r="BA69" s="16">
        <v>0.31630000000000003</v>
      </c>
      <c r="BB69" s="16">
        <f t="shared" si="21"/>
        <v>0.74274983832229102</v>
      </c>
      <c r="BC69" s="16">
        <v>0.31630000000000003</v>
      </c>
      <c r="BD69" s="16">
        <f t="shared" si="22"/>
        <v>0.91748295537507418</v>
      </c>
      <c r="BE69" s="16">
        <v>0.32769999999999999</v>
      </c>
      <c r="BF69" s="16">
        <f t="shared" si="23"/>
        <v>1.1543054833730761</v>
      </c>
    </row>
    <row r="70" spans="8:58" x14ac:dyDescent="0.3">
      <c r="H70" t="s">
        <v>234</v>
      </c>
      <c r="I70" t="s">
        <v>192</v>
      </c>
      <c r="J70">
        <v>200</v>
      </c>
      <c r="K70">
        <v>5.58</v>
      </c>
      <c r="L70">
        <v>5.6</v>
      </c>
      <c r="M70">
        <v>5.75</v>
      </c>
      <c r="N70">
        <v>-0.87</v>
      </c>
      <c r="O70" s="1">
        <v>-0.13489999999999999</v>
      </c>
      <c r="P70">
        <v>635</v>
      </c>
      <c r="Q70" s="2">
        <v>3476</v>
      </c>
      <c r="R70" s="1">
        <v>0.28570000000000001</v>
      </c>
      <c r="T70" t="s">
        <v>247</v>
      </c>
      <c r="U70" t="s">
        <v>248</v>
      </c>
      <c r="V70">
        <v>200</v>
      </c>
      <c r="W70">
        <v>7.59</v>
      </c>
      <c r="X70">
        <v>7.5</v>
      </c>
      <c r="Y70">
        <v>7.7</v>
      </c>
      <c r="Z70">
        <v>-0.76</v>
      </c>
      <c r="AA70" s="1">
        <v>-9.0999999999999998E-2</v>
      </c>
      <c r="AB70">
        <v>331</v>
      </c>
      <c r="AC70" s="2">
        <v>56391</v>
      </c>
      <c r="AD70" s="1">
        <v>0.29020000000000001</v>
      </c>
      <c r="AH70">
        <v>195</v>
      </c>
      <c r="AI70" s="16">
        <v>0.2681</v>
      </c>
      <c r="AJ70" s="16">
        <f t="shared" si="12"/>
        <v>8.743962528739815E-3</v>
      </c>
      <c r="AK70" s="16">
        <v>0.25979999999999998</v>
      </c>
      <c r="AL70" s="16">
        <f t="shared" si="13"/>
        <v>4.0007176550634627E-2</v>
      </c>
      <c r="AM70" s="16">
        <v>0.2581</v>
      </c>
      <c r="AN70" s="16">
        <f t="shared" si="14"/>
        <v>7.4397603163975229E-2</v>
      </c>
      <c r="AO70" s="16">
        <v>0.27179999999999999</v>
      </c>
      <c r="AP70" s="16">
        <f t="shared" si="15"/>
        <v>0.13205102153976614</v>
      </c>
      <c r="AQ70" s="16">
        <v>0.28010000000000002</v>
      </c>
      <c r="AR70" s="16">
        <f t="shared" si="16"/>
        <v>0.18163404348798518</v>
      </c>
      <c r="AS70" s="16">
        <v>0.28360000000000002</v>
      </c>
      <c r="AT70" s="16">
        <f t="shared" si="17"/>
        <v>0.24308402740548474</v>
      </c>
      <c r="AU70" s="16">
        <v>0.2898</v>
      </c>
      <c r="AV70" s="16">
        <f t="shared" si="18"/>
        <v>0.29616770998879538</v>
      </c>
      <c r="AW70" s="16">
        <v>0.29449999999999998</v>
      </c>
      <c r="AX70" s="16">
        <f t="shared" si="19"/>
        <v>0.41393518978342031</v>
      </c>
      <c r="AY70" s="16">
        <v>0.30249999999999999</v>
      </c>
      <c r="AZ70" s="16">
        <f t="shared" si="20"/>
        <v>0.52473927379529428</v>
      </c>
      <c r="BA70" s="16">
        <v>0.31280000000000002</v>
      </c>
      <c r="BB70" s="16">
        <f t="shared" si="21"/>
        <v>0.69977889376469704</v>
      </c>
      <c r="BC70" s="16">
        <v>0.31280000000000002</v>
      </c>
      <c r="BD70" s="16">
        <f t="shared" si="22"/>
        <v>0.87309375161042679</v>
      </c>
      <c r="BE70" s="16">
        <v>0.32819999999999999</v>
      </c>
      <c r="BF70" s="16">
        <f t="shared" si="23"/>
        <v>1.1119581215219452</v>
      </c>
    </row>
    <row r="71" spans="8:58" x14ac:dyDescent="0.3">
      <c r="AH71">
        <v>200</v>
      </c>
      <c r="AI71" s="16">
        <v>0.28170000000000001</v>
      </c>
      <c r="AJ71" s="16">
        <f t="shared" si="12"/>
        <v>5.6285205272944899E-3</v>
      </c>
      <c r="AK71" s="16">
        <v>0.26050000000000001</v>
      </c>
      <c r="AL71" s="16">
        <f t="shared" si="13"/>
        <v>2.7590427008685418E-2</v>
      </c>
      <c r="AM71" s="16">
        <v>0.25619999999999998</v>
      </c>
      <c r="AN71" s="16">
        <f t="shared" si="14"/>
        <v>5.4944880837291793E-2</v>
      </c>
      <c r="AO71" s="16">
        <v>0.26979999999999998</v>
      </c>
      <c r="AP71" s="16">
        <f t="shared" si="15"/>
        <v>0.10636865033386818</v>
      </c>
      <c r="AQ71" s="16">
        <v>0.27689999999999998</v>
      </c>
      <c r="AR71" s="16">
        <f t="shared" si="16"/>
        <v>0.15161697148083036</v>
      </c>
      <c r="AS71" s="16">
        <v>0.27960000000000002</v>
      </c>
      <c r="AT71" s="16">
        <f t="shared" si="17"/>
        <v>0.20859976006455291</v>
      </c>
      <c r="AU71" s="16">
        <v>0.28570000000000001</v>
      </c>
      <c r="AV71" s="16">
        <f t="shared" si="18"/>
        <v>0.25949014269474602</v>
      </c>
      <c r="AW71" s="16">
        <v>0.29020000000000001</v>
      </c>
      <c r="AX71" s="16">
        <f t="shared" si="19"/>
        <v>0.37284206418794735</v>
      </c>
      <c r="AY71" s="16">
        <v>0.29899999999999999</v>
      </c>
      <c r="AZ71" s="16">
        <f t="shared" si="20"/>
        <v>0.48245888150232735</v>
      </c>
      <c r="BA71" s="16">
        <v>0.31019999999999998</v>
      </c>
      <c r="BB71" s="16">
        <f t="shared" si="21"/>
        <v>0.65667612202974224</v>
      </c>
      <c r="BC71" s="16">
        <v>0.31019999999999998</v>
      </c>
      <c r="BD71" s="16">
        <f t="shared" si="22"/>
        <v>0.82800560442784532</v>
      </c>
      <c r="BE71" s="16">
        <v>0.32540000000000002</v>
      </c>
      <c r="BF71" s="16">
        <f t="shared" si="23"/>
        <v>1.0691856817405341</v>
      </c>
    </row>
    <row r="72" spans="8:58" x14ac:dyDescent="0.3">
      <c r="H72" s="7">
        <v>45002</v>
      </c>
      <c r="J72" t="s">
        <v>66</v>
      </c>
      <c r="K72">
        <f>(H72-$B$21)/365</f>
        <v>0.9397260273972603</v>
      </c>
      <c r="T72" s="7">
        <v>45093</v>
      </c>
      <c r="V72" t="s">
        <v>66</v>
      </c>
      <c r="W72">
        <f>(T72-$B$21)/365</f>
        <v>1.189041095890411</v>
      </c>
    </row>
    <row r="73" spans="8:58" x14ac:dyDescent="0.3">
      <c r="H73" t="s">
        <v>249</v>
      </c>
      <c r="I73" t="s">
        <v>114</v>
      </c>
      <c r="J73">
        <v>150</v>
      </c>
      <c r="K73">
        <v>32.75</v>
      </c>
      <c r="L73">
        <v>33.1</v>
      </c>
      <c r="M73">
        <v>33.549999999999997</v>
      </c>
      <c r="N73">
        <v>-2.75</v>
      </c>
      <c r="O73" s="1">
        <v>-7.7499999999999999E-2</v>
      </c>
      <c r="P73">
        <v>618</v>
      </c>
      <c r="Q73" s="2">
        <v>16071</v>
      </c>
      <c r="R73" s="1">
        <v>0.35499999999999998</v>
      </c>
      <c r="T73" t="s">
        <v>267</v>
      </c>
      <c r="U73" t="s">
        <v>268</v>
      </c>
      <c r="V73">
        <v>150</v>
      </c>
      <c r="W73">
        <v>36.04</v>
      </c>
      <c r="X73">
        <v>35.85</v>
      </c>
      <c r="Y73">
        <v>36.35</v>
      </c>
      <c r="Z73">
        <v>-1.66</v>
      </c>
      <c r="AA73" s="1">
        <v>-4.3999999999999997E-2</v>
      </c>
      <c r="AB73">
        <v>37</v>
      </c>
      <c r="AC73" s="2">
        <v>8267</v>
      </c>
      <c r="AD73" s="1">
        <v>0.35870000000000002</v>
      </c>
    </row>
    <row r="74" spans="8:58" x14ac:dyDescent="0.3">
      <c r="H74" t="s">
        <v>250</v>
      </c>
      <c r="I74" t="s">
        <v>251</v>
      </c>
      <c r="J74">
        <v>155</v>
      </c>
      <c r="K74">
        <v>30.07</v>
      </c>
      <c r="L74">
        <v>29.85</v>
      </c>
      <c r="M74">
        <v>30.25</v>
      </c>
      <c r="N74">
        <v>-1.73</v>
      </c>
      <c r="O74" s="1">
        <v>-5.4399999999999997E-2</v>
      </c>
      <c r="P74">
        <v>498</v>
      </c>
      <c r="Q74" s="2">
        <v>4392</v>
      </c>
      <c r="R74" s="1">
        <v>0.34660000000000002</v>
      </c>
      <c r="T74" t="s">
        <v>269</v>
      </c>
      <c r="U74" t="s">
        <v>270</v>
      </c>
      <c r="V74">
        <v>155</v>
      </c>
      <c r="W74">
        <v>32.700000000000003</v>
      </c>
      <c r="X74">
        <v>32.700000000000003</v>
      </c>
      <c r="Y74">
        <v>33.15</v>
      </c>
      <c r="Z74">
        <v>-2.15</v>
      </c>
      <c r="AA74" s="1">
        <v>-6.1699999999999998E-2</v>
      </c>
      <c r="AB74">
        <v>1</v>
      </c>
      <c r="AC74" s="2">
        <v>10300</v>
      </c>
      <c r="AD74" s="1">
        <v>0.35089999999999999</v>
      </c>
    </row>
    <row r="75" spans="8:58" x14ac:dyDescent="0.3">
      <c r="H75" t="s">
        <v>252</v>
      </c>
      <c r="I75" t="s">
        <v>253</v>
      </c>
      <c r="J75">
        <v>160</v>
      </c>
      <c r="K75">
        <v>26.6</v>
      </c>
      <c r="L75">
        <v>26.9</v>
      </c>
      <c r="M75">
        <v>27.2</v>
      </c>
      <c r="N75">
        <v>-1.65</v>
      </c>
      <c r="O75" s="1">
        <v>-5.8400000000000001E-2</v>
      </c>
      <c r="P75">
        <v>15</v>
      </c>
      <c r="Q75" s="2">
        <v>5158</v>
      </c>
      <c r="R75" s="1">
        <v>0.33979999999999999</v>
      </c>
      <c r="T75" t="s">
        <v>271</v>
      </c>
      <c r="U75" t="s">
        <v>272</v>
      </c>
      <c r="V75">
        <v>160</v>
      </c>
      <c r="W75">
        <v>30.05</v>
      </c>
      <c r="X75">
        <v>29.75</v>
      </c>
      <c r="Y75">
        <v>30.3</v>
      </c>
      <c r="Z75">
        <v>-1.9</v>
      </c>
      <c r="AA75" s="1">
        <v>-5.9499999999999997E-2</v>
      </c>
      <c r="AB75">
        <v>29</v>
      </c>
      <c r="AC75" s="2">
        <v>22170</v>
      </c>
      <c r="AD75" s="1">
        <v>0.3463</v>
      </c>
    </row>
    <row r="76" spans="8:58" x14ac:dyDescent="0.3">
      <c r="H76" t="s">
        <v>254</v>
      </c>
      <c r="I76" t="s">
        <v>167</v>
      </c>
      <c r="J76">
        <v>165</v>
      </c>
      <c r="K76">
        <v>23.57</v>
      </c>
      <c r="L76">
        <v>23.9</v>
      </c>
      <c r="M76">
        <v>24.3</v>
      </c>
      <c r="N76">
        <v>-2.4</v>
      </c>
      <c r="O76" s="1">
        <v>-9.2399999999999996E-2</v>
      </c>
      <c r="P76">
        <v>14</v>
      </c>
      <c r="Q76" s="2">
        <v>5285</v>
      </c>
      <c r="R76" s="1">
        <v>0.33279999999999998</v>
      </c>
      <c r="T76" t="s">
        <v>273</v>
      </c>
      <c r="U76" t="s">
        <v>186</v>
      </c>
      <c r="V76">
        <v>165</v>
      </c>
      <c r="W76">
        <v>27.05</v>
      </c>
      <c r="X76">
        <v>27.15</v>
      </c>
      <c r="Y76">
        <v>27.45</v>
      </c>
      <c r="Z76">
        <v>-1.45</v>
      </c>
      <c r="AA76" s="1">
        <v>-5.0900000000000001E-2</v>
      </c>
      <c r="AB76">
        <v>8</v>
      </c>
      <c r="AC76" s="2">
        <v>3574</v>
      </c>
      <c r="AD76" s="1">
        <v>0.33960000000000001</v>
      </c>
    </row>
    <row r="77" spans="8:58" x14ac:dyDescent="0.3">
      <c r="H77" t="s">
        <v>255</v>
      </c>
      <c r="I77" t="s">
        <v>135</v>
      </c>
      <c r="J77">
        <v>170</v>
      </c>
      <c r="K77">
        <v>21.05</v>
      </c>
      <c r="L77">
        <v>21.35</v>
      </c>
      <c r="M77">
        <v>21.65</v>
      </c>
      <c r="N77">
        <v>-1.55</v>
      </c>
      <c r="O77" s="1">
        <v>-6.8599999999999994E-2</v>
      </c>
      <c r="P77">
        <v>91</v>
      </c>
      <c r="Q77" s="2">
        <v>4988</v>
      </c>
      <c r="R77" s="1">
        <v>0.32719999999999999</v>
      </c>
      <c r="T77" t="s">
        <v>274</v>
      </c>
      <c r="U77" t="s">
        <v>186</v>
      </c>
      <c r="V77">
        <v>170</v>
      </c>
      <c r="W77">
        <v>24.5</v>
      </c>
      <c r="X77">
        <v>24.45</v>
      </c>
      <c r="Y77">
        <v>24.9</v>
      </c>
      <c r="Z77">
        <v>-0.8</v>
      </c>
      <c r="AA77" s="1">
        <v>-3.1600000000000003E-2</v>
      </c>
      <c r="AB77">
        <v>84</v>
      </c>
      <c r="AC77" s="2">
        <v>16194</v>
      </c>
      <c r="AD77" s="1">
        <v>0.33510000000000001</v>
      </c>
    </row>
    <row r="78" spans="8:58" x14ac:dyDescent="0.3">
      <c r="H78" t="s">
        <v>256</v>
      </c>
      <c r="I78" t="s">
        <v>257</v>
      </c>
      <c r="J78">
        <v>175</v>
      </c>
      <c r="K78">
        <v>18.8</v>
      </c>
      <c r="L78">
        <v>18.8</v>
      </c>
      <c r="M78">
        <v>19.149999999999999</v>
      </c>
      <c r="N78">
        <v>-1.7</v>
      </c>
      <c r="O78" s="1">
        <v>-8.2900000000000001E-2</v>
      </c>
      <c r="P78">
        <v>104</v>
      </c>
      <c r="Q78" s="2">
        <v>6450</v>
      </c>
      <c r="R78" s="1">
        <v>0.32119999999999999</v>
      </c>
      <c r="T78" t="s">
        <v>275</v>
      </c>
      <c r="U78" t="s">
        <v>268</v>
      </c>
      <c r="V78">
        <v>175</v>
      </c>
      <c r="W78">
        <v>22.18</v>
      </c>
      <c r="X78">
        <v>22.1</v>
      </c>
      <c r="Y78">
        <v>22.4</v>
      </c>
      <c r="Z78">
        <v>-1.71</v>
      </c>
      <c r="AA78" s="1">
        <v>-7.1599999999999997E-2</v>
      </c>
      <c r="AB78">
        <v>25</v>
      </c>
      <c r="AC78" s="2">
        <v>25749</v>
      </c>
      <c r="AD78" s="1">
        <v>0.32929999999999998</v>
      </c>
    </row>
    <row r="79" spans="8:58" x14ac:dyDescent="0.3">
      <c r="H79" t="s">
        <v>258</v>
      </c>
      <c r="I79" t="s">
        <v>259</v>
      </c>
      <c r="J79">
        <v>180</v>
      </c>
      <c r="K79">
        <v>16.55</v>
      </c>
      <c r="L79">
        <v>16.55</v>
      </c>
      <c r="M79">
        <v>16.899999999999999</v>
      </c>
      <c r="N79">
        <v>-1.63</v>
      </c>
      <c r="O79" s="1">
        <v>-8.9700000000000002E-2</v>
      </c>
      <c r="P79">
        <v>29</v>
      </c>
      <c r="Q79" s="2">
        <v>13243</v>
      </c>
      <c r="R79" s="1">
        <v>0.31640000000000001</v>
      </c>
      <c r="T79" t="s">
        <v>276</v>
      </c>
      <c r="U79" t="s">
        <v>277</v>
      </c>
      <c r="V79">
        <v>180</v>
      </c>
      <c r="W79">
        <v>19.84</v>
      </c>
      <c r="X79">
        <v>19.75</v>
      </c>
      <c r="Y79">
        <v>20.100000000000001</v>
      </c>
      <c r="Z79">
        <v>-1.66</v>
      </c>
      <c r="AA79" s="1">
        <v>-7.7200000000000005E-2</v>
      </c>
      <c r="AB79">
        <v>12</v>
      </c>
      <c r="AC79" s="2">
        <v>17660</v>
      </c>
      <c r="AD79" s="1">
        <v>0.32419999999999999</v>
      </c>
    </row>
    <row r="80" spans="8:58" x14ac:dyDescent="0.3">
      <c r="H80" t="s">
        <v>260</v>
      </c>
      <c r="I80" t="s">
        <v>261</v>
      </c>
      <c r="J80">
        <v>185</v>
      </c>
      <c r="K80">
        <v>14.48</v>
      </c>
      <c r="L80">
        <v>14.55</v>
      </c>
      <c r="M80">
        <v>14.8</v>
      </c>
      <c r="N80">
        <v>-0.65</v>
      </c>
      <c r="O80" s="1">
        <v>-4.2999999999999997E-2</v>
      </c>
      <c r="P80">
        <v>45</v>
      </c>
      <c r="Q80" s="2">
        <v>9255</v>
      </c>
      <c r="R80" s="1">
        <v>0.31130000000000002</v>
      </c>
      <c r="T80" t="s">
        <v>278</v>
      </c>
      <c r="U80" t="s">
        <v>112</v>
      </c>
      <c r="V80">
        <v>185</v>
      </c>
      <c r="W80">
        <v>17.68</v>
      </c>
      <c r="X80">
        <v>17.75</v>
      </c>
      <c r="Y80">
        <v>18.05</v>
      </c>
      <c r="Z80">
        <v>-1.1200000000000001</v>
      </c>
      <c r="AA80" s="1">
        <v>-5.96E-2</v>
      </c>
      <c r="AB80">
        <v>12</v>
      </c>
      <c r="AC80" s="2">
        <v>9218</v>
      </c>
      <c r="AD80" s="1">
        <v>0.32050000000000001</v>
      </c>
    </row>
    <row r="81" spans="8:30" x14ac:dyDescent="0.3">
      <c r="H81" t="s">
        <v>262</v>
      </c>
      <c r="I81" t="s">
        <v>263</v>
      </c>
      <c r="J81">
        <v>190</v>
      </c>
      <c r="K81">
        <v>12.7</v>
      </c>
      <c r="L81">
        <v>12.65</v>
      </c>
      <c r="M81">
        <v>12.9</v>
      </c>
      <c r="N81">
        <v>-1.3</v>
      </c>
      <c r="O81" s="1">
        <v>-9.2899999999999996E-2</v>
      </c>
      <c r="P81">
        <v>297</v>
      </c>
      <c r="Q81" s="2">
        <v>19446</v>
      </c>
      <c r="R81" s="1">
        <v>0.30659999999999998</v>
      </c>
      <c r="T81" t="s">
        <v>279</v>
      </c>
      <c r="U81" t="s">
        <v>218</v>
      </c>
      <c r="V81">
        <v>190</v>
      </c>
      <c r="W81">
        <v>15.62</v>
      </c>
      <c r="X81">
        <v>15.75</v>
      </c>
      <c r="Y81">
        <v>16.100000000000001</v>
      </c>
      <c r="Z81">
        <v>-0.57999999999999996</v>
      </c>
      <c r="AA81" s="1">
        <v>-3.5799999999999998E-2</v>
      </c>
      <c r="AB81">
        <v>23</v>
      </c>
      <c r="AC81" s="2">
        <v>3382</v>
      </c>
      <c r="AD81" s="1">
        <v>0.31630000000000003</v>
      </c>
    </row>
    <row r="82" spans="8:30" x14ac:dyDescent="0.3">
      <c r="H82" t="s">
        <v>264</v>
      </c>
      <c r="I82" t="s">
        <v>212</v>
      </c>
      <c r="J82">
        <v>195</v>
      </c>
      <c r="K82">
        <v>11</v>
      </c>
      <c r="L82">
        <v>10.95</v>
      </c>
      <c r="M82">
        <v>11.2</v>
      </c>
      <c r="N82">
        <v>-0.62</v>
      </c>
      <c r="O82" s="1">
        <v>-5.3400000000000003E-2</v>
      </c>
      <c r="P82">
        <v>57</v>
      </c>
      <c r="Q82" s="2">
        <v>5053</v>
      </c>
      <c r="R82" s="1">
        <v>0.30249999999999999</v>
      </c>
      <c r="T82" t="s">
        <v>280</v>
      </c>
      <c r="U82" t="s">
        <v>281</v>
      </c>
      <c r="V82">
        <v>195</v>
      </c>
      <c r="W82">
        <v>14.03</v>
      </c>
      <c r="X82">
        <v>13.95</v>
      </c>
      <c r="Y82">
        <v>14.35</v>
      </c>
      <c r="Z82">
        <v>-0.37</v>
      </c>
      <c r="AA82" s="1">
        <v>-2.5700000000000001E-2</v>
      </c>
      <c r="AB82">
        <v>7</v>
      </c>
      <c r="AC82" s="2">
        <v>43834</v>
      </c>
      <c r="AD82" s="1">
        <v>0.31280000000000002</v>
      </c>
    </row>
    <row r="83" spans="8:30" x14ac:dyDescent="0.3">
      <c r="H83" t="s">
        <v>265</v>
      </c>
      <c r="I83" t="s">
        <v>266</v>
      </c>
      <c r="J83">
        <v>200</v>
      </c>
      <c r="K83">
        <v>9.6999999999999993</v>
      </c>
      <c r="L83">
        <v>9.4</v>
      </c>
      <c r="M83">
        <v>9.6999999999999993</v>
      </c>
      <c r="N83">
        <v>-1.05</v>
      </c>
      <c r="O83" s="1">
        <v>-9.7699999999999995E-2</v>
      </c>
      <c r="P83">
        <v>33</v>
      </c>
      <c r="Q83" s="2">
        <v>22199</v>
      </c>
      <c r="R83" s="1">
        <v>0.29899999999999999</v>
      </c>
      <c r="T83" t="s">
        <v>282</v>
      </c>
      <c r="U83" t="s">
        <v>283</v>
      </c>
      <c r="V83">
        <v>200</v>
      </c>
      <c r="W83">
        <v>12.6</v>
      </c>
      <c r="X83">
        <v>12.3</v>
      </c>
      <c r="Y83">
        <v>12.8</v>
      </c>
      <c r="Z83">
        <v>-0.7</v>
      </c>
      <c r="AA83" s="1">
        <v>-5.2600000000000001E-2</v>
      </c>
      <c r="AB83">
        <v>185</v>
      </c>
      <c r="AC83" s="2">
        <v>7936</v>
      </c>
      <c r="AD83" s="1">
        <v>0.31019999999999998</v>
      </c>
    </row>
    <row r="85" spans="8:30" x14ac:dyDescent="0.3">
      <c r="H85" s="7">
        <v>45184</v>
      </c>
      <c r="J85" t="s">
        <v>66</v>
      </c>
      <c r="K85">
        <f>(H85-$B$21)/365</f>
        <v>1.4383561643835616</v>
      </c>
      <c r="T85" s="7">
        <v>45310</v>
      </c>
      <c r="V85" t="s">
        <v>66</v>
      </c>
      <c r="W85">
        <f>(T85-$B$21)/365</f>
        <v>1.7835616438356163</v>
      </c>
    </row>
    <row r="86" spans="8:30" x14ac:dyDescent="0.3">
      <c r="H86" t="s">
        <v>267</v>
      </c>
      <c r="I86" t="s">
        <v>268</v>
      </c>
      <c r="J86">
        <v>150</v>
      </c>
      <c r="K86">
        <v>36.04</v>
      </c>
      <c r="L86">
        <v>35.85</v>
      </c>
      <c r="M86">
        <v>36.35</v>
      </c>
      <c r="N86">
        <v>-1.66</v>
      </c>
      <c r="O86" s="1">
        <v>-4.3999999999999997E-2</v>
      </c>
      <c r="P86">
        <v>37</v>
      </c>
      <c r="Q86" s="2">
        <v>8267</v>
      </c>
      <c r="R86" s="1">
        <v>0.35870000000000002</v>
      </c>
      <c r="T86" t="s">
        <v>284</v>
      </c>
      <c r="U86" t="s">
        <v>285</v>
      </c>
      <c r="V86">
        <v>150</v>
      </c>
      <c r="W86">
        <v>42</v>
      </c>
      <c r="X86">
        <v>41.5</v>
      </c>
      <c r="Y86">
        <v>42.3</v>
      </c>
      <c r="Z86">
        <v>-1.9</v>
      </c>
      <c r="AA86" s="1">
        <v>-4.3299999999999998E-2</v>
      </c>
      <c r="AB86">
        <v>44</v>
      </c>
      <c r="AC86" s="2">
        <v>14605</v>
      </c>
      <c r="AD86" s="1">
        <v>0.36799999999999999</v>
      </c>
    </row>
    <row r="87" spans="8:30" x14ac:dyDescent="0.3">
      <c r="H87" t="s">
        <v>269</v>
      </c>
      <c r="I87" t="s">
        <v>270</v>
      </c>
      <c r="J87">
        <v>155</v>
      </c>
      <c r="K87">
        <v>32.700000000000003</v>
      </c>
      <c r="L87">
        <v>32.700000000000003</v>
      </c>
      <c r="M87">
        <v>33.15</v>
      </c>
      <c r="N87">
        <v>-2.15</v>
      </c>
      <c r="O87" s="1">
        <v>-6.1699999999999998E-2</v>
      </c>
      <c r="P87">
        <v>1</v>
      </c>
      <c r="Q87" s="2">
        <v>10300</v>
      </c>
      <c r="R87" s="1">
        <v>0.35089999999999999</v>
      </c>
      <c r="T87" t="s">
        <v>286</v>
      </c>
      <c r="U87" t="s">
        <v>277</v>
      </c>
      <c r="V87">
        <v>155</v>
      </c>
      <c r="W87">
        <v>38.799999999999997</v>
      </c>
      <c r="X87">
        <v>38.549999999999997</v>
      </c>
      <c r="Y87">
        <v>39.299999999999997</v>
      </c>
      <c r="Z87">
        <v>-1.9</v>
      </c>
      <c r="AA87" s="1">
        <v>-4.6699999999999998E-2</v>
      </c>
      <c r="AB87">
        <v>21</v>
      </c>
      <c r="AC87" s="2">
        <v>2569</v>
      </c>
      <c r="AD87" s="1">
        <v>0.36149999999999999</v>
      </c>
    </row>
    <row r="88" spans="8:30" x14ac:dyDescent="0.3">
      <c r="H88" t="s">
        <v>271</v>
      </c>
      <c r="I88" t="s">
        <v>272</v>
      </c>
      <c r="J88">
        <v>160</v>
      </c>
      <c r="K88">
        <v>30.05</v>
      </c>
      <c r="L88">
        <v>29.75</v>
      </c>
      <c r="M88">
        <v>30.3</v>
      </c>
      <c r="N88">
        <v>-1.9</v>
      </c>
      <c r="O88" s="1">
        <v>-5.9499999999999997E-2</v>
      </c>
      <c r="P88">
        <v>29</v>
      </c>
      <c r="Q88" s="2">
        <v>22170</v>
      </c>
      <c r="R88" s="1">
        <v>0.3463</v>
      </c>
      <c r="T88" t="s">
        <v>287</v>
      </c>
      <c r="U88" t="s">
        <v>288</v>
      </c>
      <c r="V88">
        <v>160</v>
      </c>
      <c r="W88">
        <v>36.299999999999997</v>
      </c>
      <c r="X88">
        <v>35.799999999999997</v>
      </c>
      <c r="Y88">
        <v>36.549999999999997</v>
      </c>
      <c r="Z88">
        <v>-1.8</v>
      </c>
      <c r="AA88" s="1">
        <v>-4.7199999999999999E-2</v>
      </c>
      <c r="AB88">
        <v>3</v>
      </c>
      <c r="AC88" s="2">
        <v>14067</v>
      </c>
      <c r="AD88" s="1">
        <v>0.35670000000000002</v>
      </c>
    </row>
    <row r="89" spans="8:30" x14ac:dyDescent="0.3">
      <c r="H89" t="s">
        <v>273</v>
      </c>
      <c r="I89" t="s">
        <v>186</v>
      </c>
      <c r="J89">
        <v>165</v>
      </c>
      <c r="K89">
        <v>27.05</v>
      </c>
      <c r="L89">
        <v>27.15</v>
      </c>
      <c r="M89">
        <v>27.45</v>
      </c>
      <c r="N89">
        <v>-1.45</v>
      </c>
      <c r="O89" s="1">
        <v>-5.0900000000000001E-2</v>
      </c>
      <c r="P89">
        <v>8</v>
      </c>
      <c r="Q89" s="2">
        <v>3574</v>
      </c>
      <c r="R89" s="1">
        <v>0.33960000000000001</v>
      </c>
      <c r="T89" t="s">
        <v>289</v>
      </c>
      <c r="U89" t="s">
        <v>290</v>
      </c>
      <c r="V89">
        <v>165</v>
      </c>
      <c r="W89">
        <v>32.9</v>
      </c>
      <c r="X89">
        <v>33.15</v>
      </c>
      <c r="Y89">
        <v>33.9</v>
      </c>
      <c r="Z89">
        <v>-2.1</v>
      </c>
      <c r="AA89" s="1">
        <v>-0.06</v>
      </c>
      <c r="AB89">
        <v>9</v>
      </c>
      <c r="AC89" s="2">
        <v>4672</v>
      </c>
      <c r="AD89" s="1">
        <v>0.3518</v>
      </c>
    </row>
    <row r="90" spans="8:30" x14ac:dyDescent="0.3">
      <c r="H90" t="s">
        <v>274</v>
      </c>
      <c r="I90" t="s">
        <v>186</v>
      </c>
      <c r="J90">
        <v>170</v>
      </c>
      <c r="K90">
        <v>24.5</v>
      </c>
      <c r="L90">
        <v>24.45</v>
      </c>
      <c r="M90">
        <v>24.9</v>
      </c>
      <c r="N90">
        <v>-0.8</v>
      </c>
      <c r="O90" s="1">
        <v>-3.1600000000000003E-2</v>
      </c>
      <c r="P90">
        <v>84</v>
      </c>
      <c r="Q90" s="2">
        <v>16194</v>
      </c>
      <c r="R90" s="1">
        <v>0.33510000000000001</v>
      </c>
      <c r="T90" t="s">
        <v>291</v>
      </c>
      <c r="U90" t="s">
        <v>186</v>
      </c>
      <c r="V90">
        <v>170</v>
      </c>
      <c r="W90">
        <v>30.63</v>
      </c>
      <c r="X90">
        <v>30.65</v>
      </c>
      <c r="Y90">
        <v>31.4</v>
      </c>
      <c r="Z90">
        <v>-1.62</v>
      </c>
      <c r="AA90" s="1">
        <v>-5.0200000000000002E-2</v>
      </c>
      <c r="AB90">
        <v>224</v>
      </c>
      <c r="AC90" s="2">
        <v>10463</v>
      </c>
      <c r="AD90" s="1">
        <v>0.3473</v>
      </c>
    </row>
    <row r="91" spans="8:30" x14ac:dyDescent="0.3">
      <c r="H91" t="s">
        <v>275</v>
      </c>
      <c r="I91" t="s">
        <v>268</v>
      </c>
      <c r="J91">
        <v>175</v>
      </c>
      <c r="K91">
        <v>22.18</v>
      </c>
      <c r="L91">
        <v>22.1</v>
      </c>
      <c r="M91">
        <v>22.4</v>
      </c>
      <c r="N91">
        <v>-1.71</v>
      </c>
      <c r="O91" s="1">
        <v>-7.1599999999999997E-2</v>
      </c>
      <c r="P91">
        <v>25</v>
      </c>
      <c r="Q91" s="2">
        <v>25749</v>
      </c>
      <c r="R91" s="1">
        <v>0.32929999999999998</v>
      </c>
      <c r="T91" t="s">
        <v>292</v>
      </c>
      <c r="U91" t="s">
        <v>259</v>
      </c>
      <c r="V91">
        <v>175</v>
      </c>
      <c r="W91">
        <v>28.6</v>
      </c>
      <c r="X91">
        <v>28.35</v>
      </c>
      <c r="Y91">
        <v>29.05</v>
      </c>
      <c r="Z91">
        <v>-1.72</v>
      </c>
      <c r="AA91" s="1">
        <v>-5.67E-2</v>
      </c>
      <c r="AB91">
        <v>218</v>
      </c>
      <c r="AC91" s="2">
        <v>8592</v>
      </c>
      <c r="AD91" s="1">
        <v>0.34320000000000001</v>
      </c>
    </row>
    <row r="92" spans="8:30" x14ac:dyDescent="0.3">
      <c r="H92" t="s">
        <v>276</v>
      </c>
      <c r="I92" t="s">
        <v>277</v>
      </c>
      <c r="J92">
        <v>180</v>
      </c>
      <c r="K92">
        <v>19.84</v>
      </c>
      <c r="L92">
        <v>19.75</v>
      </c>
      <c r="M92">
        <v>20.100000000000001</v>
      </c>
      <c r="N92">
        <v>-1.66</v>
      </c>
      <c r="O92" s="1">
        <v>-7.7200000000000005E-2</v>
      </c>
      <c r="P92">
        <v>12</v>
      </c>
      <c r="Q92" s="2">
        <v>17660</v>
      </c>
      <c r="R92" s="1">
        <v>0.32419999999999999</v>
      </c>
      <c r="T92" t="s">
        <v>293</v>
      </c>
      <c r="U92" t="s">
        <v>233</v>
      </c>
      <c r="V92">
        <v>180</v>
      </c>
      <c r="W92">
        <v>26</v>
      </c>
      <c r="X92">
        <v>26.2</v>
      </c>
      <c r="Y92">
        <v>26.8</v>
      </c>
      <c r="Z92">
        <v>-1.75</v>
      </c>
      <c r="AA92" s="1">
        <v>-6.3100000000000003E-2</v>
      </c>
      <c r="AB92">
        <v>114</v>
      </c>
      <c r="AC92" s="2">
        <v>8581</v>
      </c>
      <c r="AD92" s="1">
        <v>0.33910000000000001</v>
      </c>
    </row>
    <row r="93" spans="8:30" x14ac:dyDescent="0.3">
      <c r="H93" t="s">
        <v>278</v>
      </c>
      <c r="I93" t="s">
        <v>112</v>
      </c>
      <c r="J93">
        <v>185</v>
      </c>
      <c r="K93">
        <v>17.68</v>
      </c>
      <c r="L93">
        <v>17.75</v>
      </c>
      <c r="M93">
        <v>18.05</v>
      </c>
      <c r="N93">
        <v>-1.1200000000000001</v>
      </c>
      <c r="O93" s="1">
        <v>-5.96E-2</v>
      </c>
      <c r="P93">
        <v>12</v>
      </c>
      <c r="Q93" s="2">
        <v>9218</v>
      </c>
      <c r="R93" s="1">
        <v>0.32050000000000001</v>
      </c>
      <c r="T93" t="s">
        <v>294</v>
      </c>
      <c r="U93" t="s">
        <v>295</v>
      </c>
      <c r="V93">
        <v>185</v>
      </c>
      <c r="W93">
        <v>24.26</v>
      </c>
      <c r="X93">
        <v>24.05</v>
      </c>
      <c r="Y93">
        <v>24.65</v>
      </c>
      <c r="Z93">
        <v>-0.69</v>
      </c>
      <c r="AA93" s="1">
        <v>-2.7699999999999999E-2</v>
      </c>
      <c r="AB93">
        <v>1</v>
      </c>
      <c r="AC93" s="2">
        <v>5444</v>
      </c>
      <c r="AD93" s="1">
        <v>0.33479999999999999</v>
      </c>
    </row>
    <row r="94" spans="8:30" x14ac:dyDescent="0.3">
      <c r="H94" t="s">
        <v>279</v>
      </c>
      <c r="I94" t="s">
        <v>218</v>
      </c>
      <c r="J94">
        <v>190</v>
      </c>
      <c r="K94">
        <v>15.62</v>
      </c>
      <c r="L94">
        <v>15.75</v>
      </c>
      <c r="M94">
        <v>16.100000000000001</v>
      </c>
      <c r="N94">
        <v>-0.57999999999999996</v>
      </c>
      <c r="O94" s="1">
        <v>-3.5799999999999998E-2</v>
      </c>
      <c r="P94">
        <v>23</v>
      </c>
      <c r="Q94" s="2">
        <v>3382</v>
      </c>
      <c r="R94" s="1">
        <v>0.31630000000000003</v>
      </c>
      <c r="T94" t="s">
        <v>296</v>
      </c>
      <c r="U94" t="s">
        <v>192</v>
      </c>
      <c r="V94">
        <v>190</v>
      </c>
      <c r="W94">
        <v>22.1</v>
      </c>
      <c r="X94">
        <v>22.1</v>
      </c>
      <c r="Y94">
        <v>22.35</v>
      </c>
      <c r="Z94">
        <v>-1.55</v>
      </c>
      <c r="AA94" s="1">
        <v>-6.5500000000000003E-2</v>
      </c>
      <c r="AB94">
        <v>304</v>
      </c>
      <c r="AC94" s="2">
        <v>12041</v>
      </c>
      <c r="AD94" s="1">
        <v>0.32769999999999999</v>
      </c>
    </row>
    <row r="95" spans="8:30" x14ac:dyDescent="0.3">
      <c r="H95" t="s">
        <v>280</v>
      </c>
      <c r="I95" t="s">
        <v>281</v>
      </c>
      <c r="J95">
        <v>195</v>
      </c>
      <c r="K95">
        <v>14.03</v>
      </c>
      <c r="L95">
        <v>13.95</v>
      </c>
      <c r="M95">
        <v>14.35</v>
      </c>
      <c r="N95">
        <v>-0.37</v>
      </c>
      <c r="O95" s="1">
        <v>-2.5700000000000001E-2</v>
      </c>
      <c r="P95">
        <v>7</v>
      </c>
      <c r="Q95" s="2">
        <v>43834</v>
      </c>
      <c r="R95" s="1">
        <v>0.31280000000000002</v>
      </c>
      <c r="T95" t="s">
        <v>297</v>
      </c>
      <c r="U95" t="s">
        <v>298</v>
      </c>
      <c r="V95">
        <v>195</v>
      </c>
      <c r="W95">
        <v>20.25</v>
      </c>
      <c r="X95">
        <v>20.2</v>
      </c>
      <c r="Y95">
        <v>20.85</v>
      </c>
      <c r="Z95">
        <v>-0.76</v>
      </c>
      <c r="AA95" s="1">
        <v>-3.6200000000000003E-2</v>
      </c>
      <c r="AB95">
        <v>11</v>
      </c>
      <c r="AC95" s="2">
        <v>9027</v>
      </c>
      <c r="AD95" s="1">
        <v>0.32819999999999999</v>
      </c>
    </row>
    <row r="96" spans="8:30" x14ac:dyDescent="0.3">
      <c r="H96" t="s">
        <v>282</v>
      </c>
      <c r="I96" t="s">
        <v>283</v>
      </c>
      <c r="J96">
        <v>200</v>
      </c>
      <c r="K96">
        <v>12.6</v>
      </c>
      <c r="L96">
        <v>12.3</v>
      </c>
      <c r="M96">
        <v>12.8</v>
      </c>
      <c r="N96">
        <v>-0.7</v>
      </c>
      <c r="O96" s="1">
        <v>-5.2600000000000001E-2</v>
      </c>
      <c r="P96">
        <v>185</v>
      </c>
      <c r="Q96" s="2">
        <v>7936</v>
      </c>
      <c r="R96" s="1">
        <v>0.31019999999999998</v>
      </c>
      <c r="T96" t="s">
        <v>299</v>
      </c>
      <c r="U96" t="s">
        <v>300</v>
      </c>
      <c r="V96">
        <v>200</v>
      </c>
      <c r="W96">
        <v>18.82</v>
      </c>
      <c r="X96">
        <v>18.600000000000001</v>
      </c>
      <c r="Y96">
        <v>19.149999999999999</v>
      </c>
      <c r="Z96">
        <v>-1.08</v>
      </c>
      <c r="AA96" s="1">
        <v>-5.4300000000000001E-2</v>
      </c>
      <c r="AB96">
        <v>176</v>
      </c>
      <c r="AC96" s="2">
        <v>26492</v>
      </c>
      <c r="AD96" s="1">
        <v>0.32540000000000002</v>
      </c>
    </row>
    <row r="111" spans="34:58" x14ac:dyDescent="0.3">
      <c r="AI111">
        <v>9.5890410958904104E-2</v>
      </c>
      <c r="AJ111" t="s">
        <v>303</v>
      </c>
      <c r="AK111">
        <v>0.19178082191780821</v>
      </c>
      <c r="AM111">
        <v>0.26849315068493151</v>
      </c>
      <c r="AO111">
        <v>0.36438356164383562</v>
      </c>
      <c r="AQ111">
        <v>0.44109589041095892</v>
      </c>
      <c r="AS111">
        <v>0.53698630136986303</v>
      </c>
      <c r="AU111">
        <v>0.61369863013698633</v>
      </c>
      <c r="AW111">
        <v>0.78630136986301369</v>
      </c>
      <c r="AY111">
        <v>0.9397260273972603</v>
      </c>
      <c r="BA111">
        <v>1.189041095890411</v>
      </c>
      <c r="BC111">
        <v>1.4383561643835616</v>
      </c>
      <c r="BE111">
        <v>1.7835616438356163</v>
      </c>
    </row>
    <row r="112" spans="34:58" x14ac:dyDescent="0.3">
      <c r="AH112">
        <v>150</v>
      </c>
      <c r="AI112" s="16">
        <v>0.34079999999999999</v>
      </c>
      <c r="AJ112" s="16">
        <f>OptionTheta($AJ$5,$AJ$6,$AH112,$AI$17,$AJ$13,AI112,$AJ$11)</f>
        <v>-4.3235926092857417E-2</v>
      </c>
      <c r="AK112" s="16">
        <v>0.33479999999999999</v>
      </c>
      <c r="AL112" s="16">
        <f>OptionTheta($AJ$5,$AJ$6,$AH112,$AK$17,$AL$13,AK112,$AJ$11)</f>
        <v>-4.2383453168295705E-2</v>
      </c>
      <c r="AM112" s="16">
        <v>0.33160000000000001</v>
      </c>
      <c r="AN112" s="16">
        <f>OptionTheta($AJ$5,$AJ$6,$AH112,$AM$17,$AN$13,AM112,$AJ$11)</f>
        <v>-3.9088502834708279E-2</v>
      </c>
      <c r="AO112" s="16">
        <v>0.34539999999999998</v>
      </c>
      <c r="AP112" s="16">
        <f>OptionTheta($AJ$5,$AJ$6,$AH112,$AO$17,$AP$13,AO112,$AJ$11)</f>
        <v>-3.7700064643760044E-2</v>
      </c>
      <c r="AQ112" s="16">
        <v>0.3533</v>
      </c>
      <c r="AR112" s="16">
        <f>OptionTheta($AJ$5,$AJ$6,$AH112,$AQ$17,$AR$13,AQ112,$AJ$11)</f>
        <v>-3.5952679285505149E-2</v>
      </c>
      <c r="AS112" s="16">
        <v>0.35199999999999998</v>
      </c>
      <c r="AT112" s="16">
        <f>OptionTheta($AJ$5,$AJ$6,$AH112,$AS$17,$AT$13,AS112,$AJ$11)</f>
        <v>-3.2640519748057303E-2</v>
      </c>
      <c r="AU112" s="16">
        <v>0.35160000000000002</v>
      </c>
      <c r="AV112" s="16">
        <f>OptionTheta($AJ$5,$AJ$6,$AH112,$AU$17,$AV$13,AU112,$AJ$11)</f>
        <v>-3.040193658633095E-2</v>
      </c>
      <c r="AW112" s="16">
        <v>0.3523</v>
      </c>
      <c r="AX112" s="16">
        <f>OptionTheta($AJ$5,$AJ$6,$AH112,$AW$17,$AX$13,AW112,$AJ$11)</f>
        <v>-2.6493272989447703E-2</v>
      </c>
      <c r="AY112" s="16">
        <v>0.35499999999999998</v>
      </c>
      <c r="AZ112" s="16">
        <f>OptionTheta($AJ$5,$AJ$6,$AH112,$AY$17,$AZ$13,AY112,$AJ$11)</f>
        <v>-2.3694781757864474E-2</v>
      </c>
      <c r="BA112" s="16">
        <v>0.35870000000000002</v>
      </c>
      <c r="BB112" s="16">
        <f>OptionTheta($AJ$5,$AJ$6,$AH112,$BA$17,$BB$13,BA112,$AJ$11)</f>
        <v>-2.0922963025911779E-2</v>
      </c>
      <c r="BC112" s="16">
        <v>0.35870000000000002</v>
      </c>
      <c r="BD112" s="16">
        <f>OptionTheta($AJ$5,$AJ$6,$AH112,$BC$17,$BD$13,BC112,$AJ$11)</f>
        <v>-1.8210267457896657E-2</v>
      </c>
      <c r="BE112" s="16">
        <v>0.36799999999999999</v>
      </c>
      <c r="BF112" s="16">
        <f>OptionTheta($AJ$5,$AJ$6,$AH112,$BE$17,$BF$13,BE112,$AJ$11)</f>
        <v>-1.6061125637403827E-2</v>
      </c>
    </row>
    <row r="113" spans="34:58" x14ac:dyDescent="0.3">
      <c r="AH113">
        <v>155</v>
      </c>
      <c r="AI113" s="16">
        <v>0.3251</v>
      </c>
      <c r="AJ113" s="16">
        <f t="shared" ref="AJ113:AJ122" si="24">OptionTheta($AJ$5,$AJ$6,$AH113,$AI$17,$AJ$13,AI113,$AJ$11)</f>
        <v>-5.6926463560672588E-2</v>
      </c>
      <c r="AK113" s="16">
        <v>0.32200000000000001</v>
      </c>
      <c r="AL113" s="16">
        <f t="shared" ref="AL113:AL122" si="25">OptionTheta($AJ$5,$AJ$6,$AH113,$AK$17,$AL$13,AK113,$AJ$11)</f>
        <v>-4.8865859380322965E-2</v>
      </c>
      <c r="AM113" s="16">
        <v>0.32500000000000001</v>
      </c>
      <c r="AN113" s="16">
        <f t="shared" ref="AN113:AN122" si="26">OptionTheta($AJ$5,$AJ$6,$AH113,$AM$17,$AN$13,AM113,$AJ$11)</f>
        <v>-4.4334493290694908E-2</v>
      </c>
      <c r="AO113" s="16">
        <v>0.33339999999999997</v>
      </c>
      <c r="AP113" s="16">
        <f t="shared" ref="AP113:AP122" si="27">OptionTheta($AJ$5,$AJ$6,$AH113,$AO$17,$AP$13,AO113,$AJ$11)</f>
        <v>-4.0306718940314214E-2</v>
      </c>
      <c r="AQ113" s="16">
        <v>0.34160000000000001</v>
      </c>
      <c r="AR113" s="16">
        <f t="shared" ref="AR113:AR122" si="28">OptionTheta($AJ$5,$AJ$6,$AH113,$AQ$17,$AR$13,AQ113,$AJ$11)</f>
        <v>-3.7901586818430449E-2</v>
      </c>
      <c r="AS113" s="16">
        <v>0.3427</v>
      </c>
      <c r="AT113" s="16">
        <f t="shared" ref="AT113:AT122" si="29">OptionTheta($AJ$5,$AJ$6,$AH113,$AS$17,$AT$13,AS113,$AJ$11)</f>
        <v>-3.4374103209570323E-2</v>
      </c>
      <c r="AU113" s="16">
        <v>0.34250000000000003</v>
      </c>
      <c r="AV113" s="16">
        <f t="shared" ref="AV113:AV122" si="30">OptionTheta($AJ$5,$AJ$6,$AH113,$AU$17,$AV$13,AU113,$AJ$11)</f>
        <v>-3.1858225633727158E-2</v>
      </c>
      <c r="AW113" s="16">
        <v>0.34200000000000003</v>
      </c>
      <c r="AX113" s="16">
        <f t="shared" ref="AX113:AX122" si="31">OptionTheta($AJ$5,$AJ$6,$AH113,$AW$17,$AX$13,AW113,$AJ$11)</f>
        <v>-2.7388014969665812E-2</v>
      </c>
      <c r="AY113" s="16">
        <v>0.34660000000000002</v>
      </c>
      <c r="AZ113" s="16">
        <f t="shared" ref="AZ113:AZ122" si="32">OptionTheta($AJ$5,$AJ$6,$AH113,$AY$17,$AZ$13,AY113,$AJ$11)</f>
        <v>-2.4560276200393309E-2</v>
      </c>
      <c r="BA113" s="16">
        <v>0.35089999999999999</v>
      </c>
      <c r="BB113" s="16">
        <f t="shared" ref="BB113:BB122" si="33">OptionTheta($AJ$5,$AJ$6,$AH113,$BA$17,$BB$13,BA113,$AJ$11)</f>
        <v>-2.1587173553503168E-2</v>
      </c>
      <c r="BC113" s="16">
        <v>0.35089999999999999</v>
      </c>
      <c r="BD113" s="16">
        <f t="shared" ref="BD113:BD122" si="34">OptionTheta($AJ$5,$AJ$6,$AH113,$BC$17,$BD$13,BC113,$AJ$11)</f>
        <v>-1.8727370973512642E-2</v>
      </c>
      <c r="BE113" s="16">
        <v>0.36149999999999999</v>
      </c>
      <c r="BF113" s="16">
        <f t="shared" ref="BF113:BF122" si="35">OptionTheta($AJ$5,$AJ$6,$AH113,$BE$17,$BF$13,BE113,$AJ$11)</f>
        <v>-1.6532728654873732E-2</v>
      </c>
    </row>
    <row r="114" spans="34:58" x14ac:dyDescent="0.3">
      <c r="AH114">
        <v>160</v>
      </c>
      <c r="AI114" s="16">
        <v>0.31180000000000002</v>
      </c>
      <c r="AJ114" s="16">
        <f t="shared" si="24"/>
        <v>-7.065788004073148E-2</v>
      </c>
      <c r="AK114" s="16">
        <v>0.30980000000000002</v>
      </c>
      <c r="AL114" s="16">
        <f t="shared" si="25"/>
        <v>-5.4269320239876899E-2</v>
      </c>
      <c r="AM114" s="16">
        <v>0.31069999999999998</v>
      </c>
      <c r="AN114" s="16">
        <f t="shared" si="26"/>
        <v>-4.7101327574909549E-2</v>
      </c>
      <c r="AO114" s="16">
        <v>0.32200000000000001</v>
      </c>
      <c r="AP114" s="16">
        <f t="shared" si="27"/>
        <v>-4.2292388556777118E-2</v>
      </c>
      <c r="AQ114" s="16">
        <v>0.32979999999999998</v>
      </c>
      <c r="AR114" s="16">
        <f t="shared" si="28"/>
        <v>-3.9263983903835148E-2</v>
      </c>
      <c r="AS114" s="16">
        <v>0.33119999999999999</v>
      </c>
      <c r="AT114" s="16">
        <f t="shared" si="29"/>
        <v>-3.5369216171756548E-2</v>
      </c>
      <c r="AU114" s="16">
        <v>0.33579999999999999</v>
      </c>
      <c r="AV114" s="16">
        <f t="shared" si="30"/>
        <v>-3.3214982341568902E-2</v>
      </c>
      <c r="AW114" s="16">
        <v>0.33429999999999999</v>
      </c>
      <c r="AX114" s="16">
        <f t="shared" si="31"/>
        <v>-2.8285766442930065E-2</v>
      </c>
      <c r="AY114" s="16">
        <v>0.33979999999999999</v>
      </c>
      <c r="AZ114" s="16">
        <f t="shared" si="32"/>
        <v>-2.536962044125091E-2</v>
      </c>
      <c r="BA114" s="16">
        <v>0.3463</v>
      </c>
      <c r="BB114" s="16">
        <f t="shared" si="33"/>
        <v>-2.2370537101455264E-2</v>
      </c>
      <c r="BC114" s="16">
        <v>0.3463</v>
      </c>
      <c r="BD114" s="16">
        <f t="shared" si="34"/>
        <v>-1.9377237057201638E-2</v>
      </c>
      <c r="BE114" s="16">
        <v>0.35670000000000002</v>
      </c>
      <c r="BF114" s="16">
        <f t="shared" si="35"/>
        <v>-1.7040070319592645E-2</v>
      </c>
    </row>
    <row r="115" spans="34:58" x14ac:dyDescent="0.3">
      <c r="AH115">
        <v>165</v>
      </c>
      <c r="AI115" s="16">
        <v>0.29649999999999999</v>
      </c>
      <c r="AJ115" s="16">
        <f t="shared" si="24"/>
        <v>-7.9909877550728439E-2</v>
      </c>
      <c r="AK115" s="16">
        <v>0.29930000000000001</v>
      </c>
      <c r="AL115" s="16">
        <f t="shared" si="25"/>
        <v>-5.7995695570430661E-2</v>
      </c>
      <c r="AM115" s="16">
        <v>0.29820000000000002</v>
      </c>
      <c r="AN115" s="16">
        <f t="shared" si="26"/>
        <v>-4.8850129184016822E-2</v>
      </c>
      <c r="AO115" s="16">
        <v>0.30930000000000002</v>
      </c>
      <c r="AP115" s="16">
        <f t="shared" si="27"/>
        <v>-4.3161805312781333E-2</v>
      </c>
      <c r="AQ115" s="16">
        <v>0.31969999999999998</v>
      </c>
      <c r="AR115" s="16">
        <f t="shared" si="28"/>
        <v>-4.0167647286075588E-2</v>
      </c>
      <c r="AS115" s="16">
        <v>0.32179999999999997</v>
      </c>
      <c r="AT115" s="16">
        <f t="shared" si="29"/>
        <v>-3.6101027899436484E-2</v>
      </c>
      <c r="AU115" s="16">
        <v>0.32500000000000001</v>
      </c>
      <c r="AV115" s="16">
        <f t="shared" si="30"/>
        <v>-3.3643389846992049E-2</v>
      </c>
      <c r="AW115" s="16">
        <v>0.32690000000000002</v>
      </c>
      <c r="AX115" s="16">
        <f t="shared" si="31"/>
        <v>-2.8906594926413603E-2</v>
      </c>
      <c r="AY115" s="16">
        <v>0.33279999999999998</v>
      </c>
      <c r="AZ115" s="16">
        <f t="shared" si="32"/>
        <v>-2.5927900678357225E-2</v>
      </c>
      <c r="BA115" s="16">
        <v>0.33960000000000001</v>
      </c>
      <c r="BB115" s="16">
        <f t="shared" si="33"/>
        <v>-2.281486228670224E-2</v>
      </c>
      <c r="BC115" s="16">
        <v>0.33960000000000001</v>
      </c>
      <c r="BD115" s="16">
        <f t="shared" si="34"/>
        <v>-1.9747191400420454E-2</v>
      </c>
      <c r="BE115" s="16">
        <v>0.3518</v>
      </c>
      <c r="BF115" s="16">
        <f t="shared" si="35"/>
        <v>-1.7456752271855499E-2</v>
      </c>
    </row>
    <row r="116" spans="34:58" x14ac:dyDescent="0.3">
      <c r="AH116">
        <v>170</v>
      </c>
      <c r="AI116" s="16">
        <v>0.28410000000000002</v>
      </c>
      <c r="AJ116" s="16">
        <f t="shared" si="24"/>
        <v>-8.2936037605474688E-2</v>
      </c>
      <c r="AK116" s="16">
        <v>0.28689999999999999</v>
      </c>
      <c r="AL116" s="16">
        <f t="shared" si="25"/>
        <v>-5.8499164280209993E-2</v>
      </c>
      <c r="AM116" s="16">
        <v>0.28889999999999999</v>
      </c>
      <c r="AN116" s="16">
        <f t="shared" si="26"/>
        <v>-4.9427050835970369E-2</v>
      </c>
      <c r="AO116" s="16">
        <v>0.30320000000000003</v>
      </c>
      <c r="AP116" s="16">
        <f t="shared" si="27"/>
        <v>-4.3948818560892611E-2</v>
      </c>
      <c r="AQ116" s="16">
        <v>0.31180000000000002</v>
      </c>
      <c r="AR116" s="16">
        <f t="shared" si="28"/>
        <v>-4.0565440232172144E-2</v>
      </c>
      <c r="AS116" s="16">
        <v>0.31390000000000001</v>
      </c>
      <c r="AT116" s="16">
        <f t="shared" si="29"/>
        <v>-3.6417710559251533E-2</v>
      </c>
      <c r="AU116" s="16">
        <v>0.318</v>
      </c>
      <c r="AV116" s="16">
        <f t="shared" si="30"/>
        <v>-3.4029585354843558E-2</v>
      </c>
      <c r="AW116" s="16">
        <v>0.32069999999999999</v>
      </c>
      <c r="AX116" s="16">
        <f t="shared" si="31"/>
        <v>-2.9316305551205585E-2</v>
      </c>
      <c r="AY116" s="16">
        <v>0.32719999999999999</v>
      </c>
      <c r="AZ116" s="16">
        <f t="shared" si="32"/>
        <v>-2.6369398188940876E-2</v>
      </c>
      <c r="BA116" s="16">
        <v>0.33510000000000001</v>
      </c>
      <c r="BB116" s="16">
        <f t="shared" si="33"/>
        <v>-2.3271411035107006E-2</v>
      </c>
      <c r="BC116" s="16">
        <v>0.33510000000000001</v>
      </c>
      <c r="BD116" s="16">
        <f t="shared" si="34"/>
        <v>-2.0158225091746938E-2</v>
      </c>
      <c r="BE116" s="16">
        <v>0.3473</v>
      </c>
      <c r="BF116" s="16">
        <f t="shared" si="35"/>
        <v>-1.7813695294909573E-2</v>
      </c>
    </row>
    <row r="117" spans="34:58" x14ac:dyDescent="0.3">
      <c r="AH117">
        <v>175</v>
      </c>
      <c r="AI117" s="16">
        <v>0.27200000000000002</v>
      </c>
      <c r="AJ117" s="16">
        <f t="shared" si="24"/>
        <v>-7.6762797805214958E-2</v>
      </c>
      <c r="AK117" s="16">
        <v>0.27800000000000002</v>
      </c>
      <c r="AL117" s="16">
        <f t="shared" si="25"/>
        <v>-5.645553498203678E-2</v>
      </c>
      <c r="AM117" s="16">
        <v>0.27879999999999999</v>
      </c>
      <c r="AN117" s="16">
        <f t="shared" si="26"/>
        <v>-4.7866350605115855E-2</v>
      </c>
      <c r="AO117" s="16">
        <v>0.29449999999999998</v>
      </c>
      <c r="AP117" s="16">
        <f t="shared" si="27"/>
        <v>-4.3131540533733283E-2</v>
      </c>
      <c r="AQ117" s="16">
        <v>0.3024</v>
      </c>
      <c r="AR117" s="16">
        <f t="shared" si="28"/>
        <v>-3.987363841646388E-2</v>
      </c>
      <c r="AS117" s="16">
        <v>0.30620000000000003</v>
      </c>
      <c r="AT117" s="16">
        <f t="shared" si="29"/>
        <v>-3.6111067803897993E-2</v>
      </c>
      <c r="AU117" s="16">
        <v>0.31059999999999999</v>
      </c>
      <c r="AV117" s="16">
        <f t="shared" si="30"/>
        <v>-3.384674123261508E-2</v>
      </c>
      <c r="AW117" s="16">
        <v>0.31459999999999999</v>
      </c>
      <c r="AX117" s="16">
        <f t="shared" si="31"/>
        <v>-2.9383838615211166E-2</v>
      </c>
      <c r="AY117" s="16">
        <v>0.32119999999999999</v>
      </c>
      <c r="AZ117" s="16">
        <f t="shared" si="32"/>
        <v>-2.6512795958395161E-2</v>
      </c>
      <c r="BA117" s="16">
        <v>0.32929999999999998</v>
      </c>
      <c r="BB117" s="16">
        <f t="shared" si="33"/>
        <v>-2.3442672143376784E-2</v>
      </c>
      <c r="BC117" s="16">
        <v>0.32929999999999998</v>
      </c>
      <c r="BD117" s="16">
        <f t="shared" si="34"/>
        <v>-2.0341174312711992E-2</v>
      </c>
      <c r="BE117" s="16">
        <v>0.34320000000000001</v>
      </c>
      <c r="BF117" s="16">
        <f t="shared" si="35"/>
        <v>-1.8108824530385356E-2</v>
      </c>
    </row>
    <row r="118" spans="34:58" x14ac:dyDescent="0.3">
      <c r="AH118">
        <v>180</v>
      </c>
      <c r="AI118" s="16">
        <v>0.26140000000000002</v>
      </c>
      <c r="AJ118" s="16">
        <f t="shared" si="24"/>
        <v>-6.2513323119438233E-2</v>
      </c>
      <c r="AK118" s="16">
        <v>0.27029999999999998</v>
      </c>
      <c r="AL118" s="16">
        <f t="shared" si="25"/>
        <v>-5.1442258036951155E-2</v>
      </c>
      <c r="AM118" s="16">
        <v>0.27189999999999998</v>
      </c>
      <c r="AN118" s="16">
        <f t="shared" si="26"/>
        <v>-4.489081451071858E-2</v>
      </c>
      <c r="AO118" s="16">
        <v>0.2853</v>
      </c>
      <c r="AP118" s="16">
        <f t="shared" si="27"/>
        <v>-4.1002702851108963E-2</v>
      </c>
      <c r="AQ118" s="16">
        <v>0.2969</v>
      </c>
      <c r="AR118" s="16">
        <f t="shared" si="28"/>
        <v>-3.8835604226233451E-2</v>
      </c>
      <c r="AS118" s="16">
        <v>0.30049999999999999</v>
      </c>
      <c r="AT118" s="16">
        <f t="shared" si="29"/>
        <v>-3.5399541944654174E-2</v>
      </c>
      <c r="AU118" s="16">
        <v>0.30459999999999998</v>
      </c>
      <c r="AV118" s="16">
        <f t="shared" si="30"/>
        <v>-3.3297228866020712E-2</v>
      </c>
      <c r="AW118" s="16">
        <v>0.30940000000000001</v>
      </c>
      <c r="AX118" s="16">
        <f t="shared" si="31"/>
        <v>-2.9186473741206052E-2</v>
      </c>
      <c r="AY118" s="16">
        <v>0.31640000000000001</v>
      </c>
      <c r="AZ118" s="16">
        <f t="shared" si="32"/>
        <v>-2.6504414633050411E-2</v>
      </c>
      <c r="BA118" s="16">
        <v>0.32419999999999999</v>
      </c>
      <c r="BB118" s="16">
        <f t="shared" si="33"/>
        <v>-2.3491962355056004E-2</v>
      </c>
      <c r="BC118" s="16">
        <v>0.32419999999999999</v>
      </c>
      <c r="BD118" s="16">
        <f t="shared" si="34"/>
        <v>-2.0444562506860685E-2</v>
      </c>
      <c r="BE118" s="16">
        <v>0.33910000000000001</v>
      </c>
      <c r="BF118" s="16">
        <f t="shared" si="35"/>
        <v>-1.8314197617029827E-2</v>
      </c>
    </row>
    <row r="119" spans="34:58" x14ac:dyDescent="0.3">
      <c r="AH119">
        <v>185</v>
      </c>
      <c r="AI119" s="16">
        <v>0.2581</v>
      </c>
      <c r="AJ119" s="16">
        <f t="shared" si="24"/>
        <v>-4.6315962076521472E-2</v>
      </c>
      <c r="AK119" s="16">
        <v>0.26369999999999999</v>
      </c>
      <c r="AL119" s="16">
        <f t="shared" si="25"/>
        <v>-4.411316476236566E-2</v>
      </c>
      <c r="AM119" s="16">
        <v>0.2656</v>
      </c>
      <c r="AN119" s="16">
        <f t="shared" si="26"/>
        <v>-4.0309556475975207E-2</v>
      </c>
      <c r="AO119" s="16">
        <v>0.28079999999999999</v>
      </c>
      <c r="AP119" s="16">
        <f t="shared" si="27"/>
        <v>-3.8506119804466728E-2</v>
      </c>
      <c r="AQ119" s="16">
        <v>0.28839999999999999</v>
      </c>
      <c r="AR119" s="16">
        <f t="shared" si="28"/>
        <v>-3.6507450346494524E-2</v>
      </c>
      <c r="AS119" s="16">
        <v>0.29389999999999999</v>
      </c>
      <c r="AT119" s="16">
        <f t="shared" si="29"/>
        <v>-3.3936020501394513E-2</v>
      </c>
      <c r="AU119" s="16">
        <v>0.29899999999999999</v>
      </c>
      <c r="AV119" s="16">
        <f t="shared" si="30"/>
        <v>-3.2280075793982593E-2</v>
      </c>
      <c r="AW119" s="16">
        <v>0.3034</v>
      </c>
      <c r="AX119" s="16">
        <f t="shared" si="31"/>
        <v>-2.8550567585746176E-2</v>
      </c>
      <c r="AY119" s="16">
        <v>0.31130000000000002</v>
      </c>
      <c r="AZ119" s="16">
        <f t="shared" si="32"/>
        <v>-2.6204386791861201E-2</v>
      </c>
      <c r="BA119" s="16">
        <v>0.32050000000000001</v>
      </c>
      <c r="BB119" s="16">
        <f t="shared" si="33"/>
        <v>-2.3480080256107594E-2</v>
      </c>
      <c r="BC119" s="16">
        <v>0.32050000000000001</v>
      </c>
      <c r="BD119" s="16">
        <f t="shared" si="34"/>
        <v>-2.0521922197313362E-2</v>
      </c>
      <c r="BE119" s="16">
        <v>0.33479999999999999</v>
      </c>
      <c r="BF119" s="16">
        <f t="shared" si="35"/>
        <v>-1.8416001818874709E-2</v>
      </c>
    </row>
    <row r="120" spans="34:58" x14ac:dyDescent="0.3">
      <c r="AH120">
        <v>190</v>
      </c>
      <c r="AI120" s="16">
        <v>0.26100000000000001</v>
      </c>
      <c r="AJ120" s="16">
        <f t="shared" si="24"/>
        <v>-3.2473645927268993E-2</v>
      </c>
      <c r="AK120" s="16">
        <v>0.26029999999999998</v>
      </c>
      <c r="AL120" s="16">
        <f t="shared" si="25"/>
        <v>-3.6137486946463807E-2</v>
      </c>
      <c r="AM120" s="16">
        <v>0.26140000000000002</v>
      </c>
      <c r="AN120" s="16">
        <f t="shared" si="26"/>
        <v>-3.4941328937510091E-2</v>
      </c>
      <c r="AO120" s="16">
        <v>0.27660000000000001</v>
      </c>
      <c r="AP120" s="16">
        <f t="shared" si="27"/>
        <v>-3.5159684787870717E-2</v>
      </c>
      <c r="AQ120" s="16">
        <v>0.28299999999999997</v>
      </c>
      <c r="AR120" s="16">
        <f t="shared" si="28"/>
        <v>-3.3891453487854432E-2</v>
      </c>
      <c r="AS120" s="16">
        <v>0.28860000000000002</v>
      </c>
      <c r="AT120" s="16">
        <f t="shared" si="29"/>
        <v>-3.2068272295080955E-2</v>
      </c>
      <c r="AU120" s="16">
        <v>0.29509999999999997</v>
      </c>
      <c r="AV120" s="16">
        <f t="shared" si="30"/>
        <v>-3.1003625295762737E-2</v>
      </c>
      <c r="AW120" s="16">
        <v>0.29930000000000001</v>
      </c>
      <c r="AX120" s="16">
        <f t="shared" si="31"/>
        <v>-2.7783638300417066E-2</v>
      </c>
      <c r="AY120" s="16">
        <v>0.30659999999999998</v>
      </c>
      <c r="AZ120" s="16">
        <f t="shared" si="32"/>
        <v>-2.5688044532478003E-2</v>
      </c>
      <c r="BA120" s="16">
        <v>0.31630000000000003</v>
      </c>
      <c r="BB120" s="16">
        <f t="shared" si="33"/>
        <v>-2.3251496928481084E-2</v>
      </c>
      <c r="BC120" s="16">
        <v>0.31630000000000003</v>
      </c>
      <c r="BD120" s="16">
        <f t="shared" si="34"/>
        <v>-2.043062881942348E-2</v>
      </c>
      <c r="BE120" s="16">
        <v>0.32769999999999999</v>
      </c>
      <c r="BF120" s="16">
        <f t="shared" si="35"/>
        <v>-1.8235920886630678E-2</v>
      </c>
    </row>
    <row r="121" spans="34:58" x14ac:dyDescent="0.3">
      <c r="AH121">
        <v>195</v>
      </c>
      <c r="AI121" s="16">
        <v>0.2681</v>
      </c>
      <c r="AJ121" s="16">
        <f t="shared" si="24"/>
        <v>-2.2364378557583966E-2</v>
      </c>
      <c r="AK121" s="16">
        <v>0.25979999999999998</v>
      </c>
      <c r="AL121" s="16">
        <f t="shared" si="25"/>
        <v>-2.86329543582662E-2</v>
      </c>
      <c r="AM121" s="16">
        <v>0.2581</v>
      </c>
      <c r="AN121" s="16">
        <f t="shared" si="26"/>
        <v>-2.9152062763857463E-2</v>
      </c>
      <c r="AO121" s="16">
        <v>0.27179999999999999</v>
      </c>
      <c r="AP121" s="16">
        <f t="shared" si="27"/>
        <v>-3.1050652257234017E-2</v>
      </c>
      <c r="AQ121" s="16">
        <v>0.28010000000000002</v>
      </c>
      <c r="AR121" s="16">
        <f t="shared" si="28"/>
        <v>-3.1105653825154581E-2</v>
      </c>
      <c r="AS121" s="16">
        <v>0.28360000000000002</v>
      </c>
      <c r="AT121" s="16">
        <f t="shared" si="29"/>
        <v>-2.975457902056099E-2</v>
      </c>
      <c r="AU121" s="16">
        <v>0.2898</v>
      </c>
      <c r="AV121" s="16">
        <f t="shared" si="30"/>
        <v>-2.9130385275420185E-2</v>
      </c>
      <c r="AW121" s="16">
        <v>0.29449999999999998</v>
      </c>
      <c r="AX121" s="16">
        <f t="shared" si="31"/>
        <v>-2.6632257801953562E-2</v>
      </c>
      <c r="AY121" s="16">
        <v>0.30249999999999999</v>
      </c>
      <c r="AZ121" s="16">
        <f t="shared" si="32"/>
        <v>-2.4992392461125695E-2</v>
      </c>
      <c r="BA121" s="16">
        <v>0.31280000000000002</v>
      </c>
      <c r="BB121" s="16">
        <f t="shared" si="33"/>
        <v>-2.2916797523921593E-2</v>
      </c>
      <c r="BC121" s="16">
        <v>0.31280000000000002</v>
      </c>
      <c r="BD121" s="16">
        <f t="shared" si="34"/>
        <v>-2.026715132867795E-2</v>
      </c>
      <c r="BE121" s="16">
        <v>0.32819999999999999</v>
      </c>
      <c r="BF121" s="16">
        <f t="shared" si="35"/>
        <v>-1.8490414852410857E-2</v>
      </c>
    </row>
    <row r="122" spans="34:58" x14ac:dyDescent="0.3">
      <c r="AH122">
        <v>200</v>
      </c>
      <c r="AI122" s="16">
        <v>0.28170000000000001</v>
      </c>
      <c r="AJ122" s="16">
        <f t="shared" si="24"/>
        <v>-1.6494986525843747E-2</v>
      </c>
      <c r="AK122" s="16">
        <v>0.26050000000000001</v>
      </c>
      <c r="AL122" s="16">
        <f t="shared" si="25"/>
        <v>-2.1949207058345237E-2</v>
      </c>
      <c r="AM122" s="16">
        <v>0.25619999999999998</v>
      </c>
      <c r="AN122" s="16">
        <f t="shared" si="26"/>
        <v>-2.3611925171830767E-2</v>
      </c>
      <c r="AO122" s="16">
        <v>0.26979999999999998</v>
      </c>
      <c r="AP122" s="16">
        <f t="shared" si="27"/>
        <v>-2.7113407619932552E-2</v>
      </c>
      <c r="AQ122" s="16">
        <v>0.27689999999999998</v>
      </c>
      <c r="AR122" s="16">
        <f t="shared" si="28"/>
        <v>-2.7886064921043535E-2</v>
      </c>
      <c r="AS122" s="16">
        <v>0.27960000000000002</v>
      </c>
      <c r="AT122" s="16">
        <f t="shared" si="29"/>
        <v>-2.7213514958750112E-2</v>
      </c>
      <c r="AU122" s="16">
        <v>0.28570000000000001</v>
      </c>
      <c r="AV122" s="16">
        <f t="shared" si="30"/>
        <v>-2.7074558557552825E-2</v>
      </c>
      <c r="AW122" s="16">
        <v>0.29020000000000001</v>
      </c>
      <c r="AX122" s="16">
        <f t="shared" si="31"/>
        <v>-2.5266285254078071E-2</v>
      </c>
      <c r="AY122" s="16">
        <v>0.29899999999999999</v>
      </c>
      <c r="AZ122" s="16">
        <f t="shared" si="32"/>
        <v>-2.4142424005812794E-2</v>
      </c>
      <c r="BA122" s="16">
        <v>0.31019999999999998</v>
      </c>
      <c r="BB122" s="16">
        <f t="shared" si="33"/>
        <v>-2.2508203616307381E-2</v>
      </c>
      <c r="BC122" s="16">
        <v>0.31019999999999998</v>
      </c>
      <c r="BD122" s="16">
        <f t="shared" si="34"/>
        <v>-2.0055840464849602E-2</v>
      </c>
      <c r="BE122" s="16">
        <v>0.32540000000000002</v>
      </c>
      <c r="BF122" s="16">
        <f t="shared" si="35"/>
        <v>-1.8434968868200723E-2</v>
      </c>
    </row>
    <row r="152" spans="34:58" x14ac:dyDescent="0.3">
      <c r="AI152">
        <v>9.5890410958904104E-2</v>
      </c>
      <c r="AJ152" t="s">
        <v>304</v>
      </c>
      <c r="AK152">
        <v>0.19178082191780821</v>
      </c>
      <c r="AM152">
        <v>0.26849315068493151</v>
      </c>
      <c r="AO152">
        <v>0.36438356164383562</v>
      </c>
      <c r="AQ152">
        <v>0.44109589041095892</v>
      </c>
      <c r="AS152">
        <v>0.53698630136986303</v>
      </c>
      <c r="AU152">
        <v>0.61369863013698633</v>
      </c>
      <c r="AW152">
        <v>0.78630136986301369</v>
      </c>
      <c r="AY152">
        <v>0.9397260273972603</v>
      </c>
      <c r="BA152">
        <v>1.189041095890411</v>
      </c>
      <c r="BC152">
        <v>1.4383561643835616</v>
      </c>
      <c r="BE152">
        <v>1.7835616438356163</v>
      </c>
    </row>
    <row r="153" spans="34:58" x14ac:dyDescent="0.3">
      <c r="AH153">
        <v>150</v>
      </c>
      <c r="AI153" s="16">
        <v>0.34079999999999999</v>
      </c>
      <c r="AJ153" s="16">
        <f>OptionGamma($AJ$6,$AH153,$AI$17,$AJ$13,AI153,$AJ$11)</f>
        <v>1.0143201690397664E-2</v>
      </c>
      <c r="AK153" s="16">
        <v>0.33479999999999999</v>
      </c>
      <c r="AL153" s="16">
        <f>OptionGamma($AJ$6,$AH153,$AK$17,$AL$13,AK153,$AJ$11)</f>
        <v>1.0251605872546825E-2</v>
      </c>
      <c r="AM153" s="16">
        <v>0.33160000000000001</v>
      </c>
      <c r="AN153" s="16">
        <f>OptionGamma($AJ$6,$AH153,$AM$17,$AN$13,AM153,$AJ$11)</f>
        <v>9.651801718775747E-3</v>
      </c>
      <c r="AO153" s="16">
        <v>0.34539999999999998</v>
      </c>
      <c r="AP153" s="16">
        <f>OptionGamma($AJ$6,$AH153,$AO$17,$AP$13,AO153,$AJ$11)</f>
        <v>8.6407595568663217E-3</v>
      </c>
      <c r="AQ153" s="16">
        <v>0.3533</v>
      </c>
      <c r="AR153" s="16">
        <f>OptionGamma($AJ$6,$AH153,$AQ$17,$AR$13,AQ153,$AJ$11)</f>
        <v>7.9528352498825904E-3</v>
      </c>
      <c r="AS153" s="16">
        <v>0.35199999999999998</v>
      </c>
      <c r="AT153" s="16">
        <f>OptionGamma($AJ$6,$AH153,$AS$17,$AT$13,AS153,$AJ$11)</f>
        <v>7.3865489218654526E-3</v>
      </c>
      <c r="AU153" s="16">
        <v>0.35160000000000002</v>
      </c>
      <c r="AV153" s="16">
        <f>OptionGamma($AJ$6,$AH153,$AU$17,$AV$13,AU153,$AJ$11)</f>
        <v>6.9947370962354137E-3</v>
      </c>
      <c r="AW153" s="16">
        <v>0.3523</v>
      </c>
      <c r="AX153" s="16">
        <f>OptionGamma($AJ$6,$AH153,$AW$17,$AX$13,AW153,$AJ$11)</f>
        <v>6.2630543412229237E-3</v>
      </c>
      <c r="AY153" s="16">
        <v>0.35499999999999998</v>
      </c>
      <c r="AZ153" s="16">
        <f>OptionGamma($AJ$6,$AH153,$AY$17,$AZ$13,AY153,$AJ$11)</f>
        <v>5.7186333718521332E-3</v>
      </c>
      <c r="BA153" s="16">
        <v>0.35870000000000002</v>
      </c>
      <c r="BB153" s="16">
        <f>OptionGamma($AJ$6,$AH153,$BA$17,$BB$13,BA153,$AJ$11)</f>
        <v>5.063808522551316E-3</v>
      </c>
      <c r="BC153" s="16">
        <v>0.35870000000000002</v>
      </c>
      <c r="BD153" s="16">
        <f>OptionGamma($AJ$6,$AH153,$BC$17,$BD$13,BC153,$AJ$11)</f>
        <v>4.5936591521241361E-3</v>
      </c>
      <c r="BE153" s="16">
        <v>0.36799999999999999</v>
      </c>
      <c r="BF153" s="16">
        <f>OptionGamma($AJ$6,$AH153,$BE$17,$BF$13,BE153,$AJ$11)</f>
        <v>4.0007157205906837E-3</v>
      </c>
    </row>
    <row r="154" spans="34:58" x14ac:dyDescent="0.3">
      <c r="AH154">
        <v>155</v>
      </c>
      <c r="AI154" s="16">
        <v>0.3251</v>
      </c>
      <c r="AJ154" s="16">
        <f t="shared" ref="AJ154:AJ163" si="36">OptionGamma($AJ$6,$AH154,$AI$17,$AJ$13,AI154,$AJ$11)</f>
        <v>1.4380890605434134E-2</v>
      </c>
      <c r="AK154" s="16">
        <v>0.32200000000000001</v>
      </c>
      <c r="AL154" s="16">
        <f t="shared" ref="AL154:AL163" si="37">OptionGamma($AJ$6,$AH154,$AK$17,$AL$13,AK154,$AJ$11)</f>
        <v>1.2624586021963424E-2</v>
      </c>
      <c r="AM154" s="16">
        <v>0.32500000000000001</v>
      </c>
      <c r="AN154" s="16">
        <f t="shared" ref="AN154:AN163" si="38">OptionGamma($AJ$6,$AH154,$AM$17,$AN$13,AM154,$AJ$11)</f>
        <v>1.126545601643297E-2</v>
      </c>
      <c r="AO154" s="16">
        <v>0.33339999999999997</v>
      </c>
      <c r="AP154" s="16">
        <f t="shared" ref="AP154:AP163" si="39">OptionGamma($AJ$6,$AH154,$AO$17,$AP$13,AO154,$AJ$11)</f>
        <v>9.8372348546865943E-3</v>
      </c>
      <c r="AQ154" s="16">
        <v>0.34160000000000001</v>
      </c>
      <c r="AR154" s="16">
        <f t="shared" ref="AR154:AR163" si="40">OptionGamma($AJ$6,$AH154,$AQ$17,$AR$13,AQ154,$AJ$11)</f>
        <v>8.9019234643480886E-3</v>
      </c>
      <c r="AS154" s="16">
        <v>0.3427</v>
      </c>
      <c r="AT154" s="16">
        <f t="shared" ref="AT154:AT163" si="41">OptionGamma($AJ$6,$AH154,$AS$17,$AT$13,AS154,$AJ$11)</f>
        <v>8.138411127592296E-3</v>
      </c>
      <c r="AU154" s="16">
        <v>0.34250000000000003</v>
      </c>
      <c r="AV154" s="16">
        <f t="shared" ref="AV154:AV163" si="42">OptionGamma($AJ$6,$AH154,$AU$17,$AV$13,AU154,$AJ$11)</f>
        <v>7.6580280261078926E-3</v>
      </c>
      <c r="AW154" s="16">
        <v>0.34200000000000003</v>
      </c>
      <c r="AX154" s="16">
        <f t="shared" ref="AX154:AX163" si="43">OptionGamma($AJ$6,$AH154,$AW$17,$AX$13,AW154,$AJ$11)</f>
        <v>6.8153961358185635E-3</v>
      </c>
      <c r="AY154" s="16">
        <v>0.34660000000000002</v>
      </c>
      <c r="AZ154" s="16">
        <f t="shared" ref="AZ154:AZ163" si="44">OptionGamma($AJ$6,$AH154,$AY$17,$AZ$13,AY154,$AJ$11)</f>
        <v>6.1575809626175058E-3</v>
      </c>
      <c r="BA154" s="16">
        <v>0.35089999999999999</v>
      </c>
      <c r="BB154" s="16">
        <f t="shared" ref="BB154:BB163" si="45">OptionGamma($AJ$6,$AH154,$BA$17,$BB$13,BA154,$AJ$11)</f>
        <v>5.4092425848956474E-3</v>
      </c>
      <c r="BC154" s="16">
        <v>0.35089999999999999</v>
      </c>
      <c r="BD154" s="16">
        <f t="shared" ref="BD154:BD163" si="46">OptionGamma($AJ$6,$AH154,$BC$17,$BD$13,BC154,$AJ$11)</f>
        <v>4.8911457504605101E-3</v>
      </c>
      <c r="BE154" s="16">
        <v>0.36149999999999999</v>
      </c>
      <c r="BF154" s="16">
        <f t="shared" ref="BF154:BF163" si="47">OptionGamma($AJ$6,$AH154,$BE$17,$BF$13,BE154,$AJ$11)</f>
        <v>4.2262494239967445E-3</v>
      </c>
    </row>
    <row r="155" spans="34:58" x14ac:dyDescent="0.3">
      <c r="AH155">
        <v>160</v>
      </c>
      <c r="AI155" s="16">
        <v>0.31180000000000002</v>
      </c>
      <c r="AJ155" s="16">
        <f t="shared" si="36"/>
        <v>1.9130363410698886E-2</v>
      </c>
      <c r="AK155" s="16">
        <v>0.30980000000000002</v>
      </c>
      <c r="AL155" s="16">
        <f t="shared" si="37"/>
        <v>1.500356968021606E-2</v>
      </c>
      <c r="AM155" s="16">
        <v>0.31069999999999998</v>
      </c>
      <c r="AN155" s="16">
        <f t="shared" si="38"/>
        <v>1.3004865791143948E-2</v>
      </c>
      <c r="AO155" s="16">
        <v>0.32200000000000001</v>
      </c>
      <c r="AP155" s="16">
        <f t="shared" si="39"/>
        <v>1.0989439539603268E-2</v>
      </c>
      <c r="AQ155" s="16">
        <v>0.32979999999999998</v>
      </c>
      <c r="AR155" s="16">
        <f t="shared" si="40"/>
        <v>9.8302979355441925E-3</v>
      </c>
      <c r="AS155" s="16">
        <v>0.33119999999999999</v>
      </c>
      <c r="AT155" s="16">
        <f t="shared" si="41"/>
        <v>8.9081839488459602E-3</v>
      </c>
      <c r="AU155" s="16">
        <v>0.33579999999999999</v>
      </c>
      <c r="AV155" s="16">
        <f t="shared" si="42"/>
        <v>8.2346615023851325E-3</v>
      </c>
      <c r="AW155" s="16">
        <v>0.33429999999999999</v>
      </c>
      <c r="AX155" s="16">
        <f t="shared" si="43"/>
        <v>7.3025275426095975E-3</v>
      </c>
      <c r="AY155" s="16">
        <v>0.33979999999999999</v>
      </c>
      <c r="AZ155" s="16">
        <f t="shared" si="44"/>
        <v>6.5519855296508177E-3</v>
      </c>
      <c r="BA155" s="16">
        <v>0.3463</v>
      </c>
      <c r="BB155" s="16">
        <f t="shared" si="45"/>
        <v>5.6925283002131569E-3</v>
      </c>
      <c r="BC155" s="16">
        <v>0.3463</v>
      </c>
      <c r="BD155" s="16">
        <f t="shared" si="46"/>
        <v>5.1357548615699961E-3</v>
      </c>
      <c r="BE155" s="16">
        <v>0.35670000000000002</v>
      </c>
      <c r="BF155" s="16">
        <f t="shared" si="47"/>
        <v>4.4253357212594895E-3</v>
      </c>
    </row>
    <row r="156" spans="34:58" x14ac:dyDescent="0.3">
      <c r="AH156">
        <v>165</v>
      </c>
      <c r="AI156" s="16">
        <v>0.29649999999999999</v>
      </c>
      <c r="AJ156" s="16">
        <f t="shared" si="36"/>
        <v>2.3703943103381159E-2</v>
      </c>
      <c r="AK156" s="16">
        <v>0.29930000000000001</v>
      </c>
      <c r="AL156" s="16">
        <f t="shared" si="37"/>
        <v>1.7046404338287521E-2</v>
      </c>
      <c r="AM156" s="16">
        <v>0.29820000000000002</v>
      </c>
      <c r="AN156" s="16">
        <f t="shared" si="38"/>
        <v>1.455111591540904E-2</v>
      </c>
      <c r="AO156" s="16">
        <v>0.30930000000000002</v>
      </c>
      <c r="AP156" s="16">
        <f t="shared" si="39"/>
        <v>1.2087442558401936E-2</v>
      </c>
      <c r="AQ156" s="16">
        <v>0.31969999999999998</v>
      </c>
      <c r="AR156" s="16">
        <f t="shared" si="40"/>
        <v>1.0636730767174672E-2</v>
      </c>
      <c r="AS156" s="16">
        <v>0.32179999999999997</v>
      </c>
      <c r="AT156" s="16">
        <f t="shared" si="41"/>
        <v>9.5695996262708648E-3</v>
      </c>
      <c r="AU156" s="16">
        <v>0.32500000000000001</v>
      </c>
      <c r="AV156" s="16">
        <f t="shared" si="42"/>
        <v>8.8518828587004564E-3</v>
      </c>
      <c r="AW156" s="16">
        <v>0.32690000000000002</v>
      </c>
      <c r="AX156" s="16">
        <f t="shared" si="43"/>
        <v>7.7428178653269081E-3</v>
      </c>
      <c r="AY156" s="16">
        <v>0.33279999999999998</v>
      </c>
      <c r="AZ156" s="16">
        <f t="shared" si="44"/>
        <v>6.9199166732243295E-3</v>
      </c>
      <c r="BA156" s="16">
        <v>0.33960000000000001</v>
      </c>
      <c r="BB156" s="16">
        <f t="shared" si="45"/>
        <v>5.9873848824317901E-3</v>
      </c>
      <c r="BC156" s="16">
        <v>0.33960000000000001</v>
      </c>
      <c r="BD156" s="16">
        <f t="shared" si="46"/>
        <v>5.3960192279518451E-3</v>
      </c>
      <c r="BE156" s="16">
        <v>0.3518</v>
      </c>
      <c r="BF156" s="16">
        <f t="shared" si="47"/>
        <v>4.6151782970484155E-3</v>
      </c>
    </row>
    <row r="157" spans="34:58" x14ac:dyDescent="0.3">
      <c r="AH157">
        <v>170</v>
      </c>
      <c r="AI157" s="16">
        <v>0.28410000000000002</v>
      </c>
      <c r="AJ157" s="16">
        <f t="shared" si="36"/>
        <v>2.6612029789191645E-2</v>
      </c>
      <c r="AK157" s="16">
        <v>0.28689999999999999</v>
      </c>
      <c r="AL157" s="16">
        <f t="shared" si="37"/>
        <v>1.8605424352017029E-2</v>
      </c>
      <c r="AM157" s="16">
        <v>0.28889999999999999</v>
      </c>
      <c r="AN157" s="16">
        <f t="shared" si="38"/>
        <v>1.5596359159395808E-2</v>
      </c>
      <c r="AO157" s="16">
        <v>0.30320000000000003</v>
      </c>
      <c r="AP157" s="16">
        <f t="shared" si="39"/>
        <v>1.2728615252732965E-2</v>
      </c>
      <c r="AQ157" s="16">
        <v>0.31180000000000002</v>
      </c>
      <c r="AR157" s="16">
        <f t="shared" si="40"/>
        <v>1.1227434958501543E-2</v>
      </c>
      <c r="AS157" s="16">
        <v>0.31390000000000001</v>
      </c>
      <c r="AT157" s="16">
        <f t="shared" si="41"/>
        <v>1.0083732594299543E-2</v>
      </c>
      <c r="AU157" s="16">
        <v>0.318</v>
      </c>
      <c r="AV157" s="16">
        <f t="shared" si="42"/>
        <v>9.2903095363157055E-3</v>
      </c>
      <c r="AW157" s="16">
        <v>0.32069999999999999</v>
      </c>
      <c r="AX157" s="16">
        <f t="shared" si="43"/>
        <v>8.097218190866208E-3</v>
      </c>
      <c r="AY157" s="16">
        <v>0.32719999999999999</v>
      </c>
      <c r="AZ157" s="16">
        <f t="shared" si="44"/>
        <v>7.2177574848202707E-3</v>
      </c>
      <c r="BA157" s="16">
        <v>0.33510000000000001</v>
      </c>
      <c r="BB157" s="16">
        <f t="shared" si="45"/>
        <v>6.2162652360232802E-3</v>
      </c>
      <c r="BC157" s="16">
        <v>0.33510000000000001</v>
      </c>
      <c r="BD157" s="16">
        <f t="shared" si="46"/>
        <v>5.6024629643178789E-3</v>
      </c>
      <c r="BE157" s="16">
        <v>0.3473</v>
      </c>
      <c r="BF157" s="16">
        <f t="shared" si="47"/>
        <v>4.7872821085467613E-3</v>
      </c>
    </row>
    <row r="158" spans="34:58" x14ac:dyDescent="0.3">
      <c r="AH158">
        <v>175</v>
      </c>
      <c r="AI158" s="16">
        <v>0.27200000000000002</v>
      </c>
      <c r="AJ158" s="16">
        <f t="shared" si="36"/>
        <v>2.6739956691397608E-2</v>
      </c>
      <c r="AK158" s="16">
        <v>0.27800000000000002</v>
      </c>
      <c r="AL158" s="16">
        <f t="shared" si="37"/>
        <v>1.9028237000506581E-2</v>
      </c>
      <c r="AM158" s="16">
        <v>0.27879999999999999</v>
      </c>
      <c r="AN158" s="16">
        <f t="shared" si="38"/>
        <v>1.6143594726649255E-2</v>
      </c>
      <c r="AO158" s="16">
        <v>0.29449999999999998</v>
      </c>
      <c r="AP158" s="16">
        <f t="shared" si="39"/>
        <v>1.3178151734077811E-2</v>
      </c>
      <c r="AQ158" s="16">
        <v>0.3024</v>
      </c>
      <c r="AR158" s="16">
        <f t="shared" si="40"/>
        <v>1.1677224990795184E-2</v>
      </c>
      <c r="AS158" s="16">
        <v>0.30620000000000003</v>
      </c>
      <c r="AT158" s="16">
        <f t="shared" si="41"/>
        <v>1.045137308459191E-2</v>
      </c>
      <c r="AU158" s="16">
        <v>0.31059999999999999</v>
      </c>
      <c r="AV158" s="16">
        <f t="shared" si="42"/>
        <v>9.6308403591854139E-3</v>
      </c>
      <c r="AW158" s="16">
        <v>0.31459999999999999</v>
      </c>
      <c r="AX158" s="16">
        <f t="shared" si="43"/>
        <v>8.3764546316926706E-3</v>
      </c>
      <c r="AY158" s="16">
        <v>0.32119999999999999</v>
      </c>
      <c r="AZ158" s="16">
        <f t="shared" si="44"/>
        <v>7.4739725186341397E-3</v>
      </c>
      <c r="BA158" s="16">
        <v>0.32929999999999998</v>
      </c>
      <c r="BB158" s="16">
        <f t="shared" si="45"/>
        <v>6.4375347492496016E-3</v>
      </c>
      <c r="BC158" s="16">
        <v>0.32929999999999998</v>
      </c>
      <c r="BD158" s="16">
        <f t="shared" si="46"/>
        <v>5.8087969365099483E-3</v>
      </c>
      <c r="BE158" s="16">
        <v>0.34320000000000001</v>
      </c>
      <c r="BF158" s="16">
        <f t="shared" si="47"/>
        <v>4.9391255417055701E-3</v>
      </c>
    </row>
    <row r="159" spans="34:58" x14ac:dyDescent="0.3">
      <c r="AH159">
        <v>180</v>
      </c>
      <c r="AI159" s="16">
        <v>0.26140000000000002</v>
      </c>
      <c r="AJ159" s="16">
        <f t="shared" si="36"/>
        <v>2.3492721764216472E-2</v>
      </c>
      <c r="AK159" s="16">
        <v>0.27029999999999998</v>
      </c>
      <c r="AL159" s="16">
        <f t="shared" si="37"/>
        <v>1.8266296320525562E-2</v>
      </c>
      <c r="AM159" s="16">
        <v>0.27189999999999998</v>
      </c>
      <c r="AN159" s="16">
        <f t="shared" si="38"/>
        <v>1.5852074961319386E-2</v>
      </c>
      <c r="AO159" s="16">
        <v>0.2853</v>
      </c>
      <c r="AP159" s="16">
        <f t="shared" si="39"/>
        <v>1.329543338420971E-2</v>
      </c>
      <c r="AQ159" s="16">
        <v>0.2969</v>
      </c>
      <c r="AR159" s="16">
        <f t="shared" si="40"/>
        <v>1.1741674599039395E-2</v>
      </c>
      <c r="AS159" s="16">
        <v>0.30049999999999999</v>
      </c>
      <c r="AT159" s="16">
        <f t="shared" si="41"/>
        <v>1.0582732857655829E-2</v>
      </c>
      <c r="AU159" s="16">
        <v>0.30459999999999998</v>
      </c>
      <c r="AV159" s="16">
        <f t="shared" si="42"/>
        <v>9.7981613260414418E-3</v>
      </c>
      <c r="AW159" s="16">
        <v>0.30940000000000001</v>
      </c>
      <c r="AX159" s="16">
        <f t="shared" si="43"/>
        <v>8.5473865731503576E-3</v>
      </c>
      <c r="AY159" s="16">
        <v>0.31640000000000001</v>
      </c>
      <c r="AZ159" s="16">
        <f t="shared" si="44"/>
        <v>7.6434841500126376E-3</v>
      </c>
      <c r="BA159" s="16">
        <v>0.32419999999999999</v>
      </c>
      <c r="BB159" s="16">
        <f t="shared" si="45"/>
        <v>6.6090302223921604E-3</v>
      </c>
      <c r="BC159" s="16">
        <v>0.32419999999999999</v>
      </c>
      <c r="BD159" s="16">
        <f t="shared" si="46"/>
        <v>5.9774681451232629E-3</v>
      </c>
      <c r="BE159" s="16">
        <v>0.33910000000000001</v>
      </c>
      <c r="BF159" s="16">
        <f t="shared" si="47"/>
        <v>5.0748487665626101E-3</v>
      </c>
    </row>
    <row r="160" spans="34:58" x14ac:dyDescent="0.3">
      <c r="AH160">
        <v>185</v>
      </c>
      <c r="AI160" s="16">
        <v>0.2581</v>
      </c>
      <c r="AJ160" s="16">
        <f t="shared" si="36"/>
        <v>1.7802136803266411E-2</v>
      </c>
      <c r="AK160" s="16">
        <v>0.26369999999999999</v>
      </c>
      <c r="AL160" s="16">
        <f t="shared" si="37"/>
        <v>1.6403603644060093E-2</v>
      </c>
      <c r="AM160" s="16">
        <v>0.2656</v>
      </c>
      <c r="AN160" s="16">
        <f t="shared" si="38"/>
        <v>1.4865873863330627E-2</v>
      </c>
      <c r="AO160" s="16">
        <v>0.28079999999999999</v>
      </c>
      <c r="AP160" s="16">
        <f t="shared" si="39"/>
        <v>1.2837838394541126E-2</v>
      </c>
      <c r="AQ160" s="16">
        <v>0.28839999999999999</v>
      </c>
      <c r="AR160" s="16">
        <f t="shared" si="40"/>
        <v>1.1654595655284134E-2</v>
      </c>
      <c r="AS160" s="16">
        <v>0.29389999999999999</v>
      </c>
      <c r="AT160" s="16">
        <f t="shared" si="41"/>
        <v>1.0559786737080652E-2</v>
      </c>
      <c r="AU160" s="16">
        <v>0.29899999999999999</v>
      </c>
      <c r="AV160" s="16">
        <f t="shared" si="42"/>
        <v>9.8100264668466424E-3</v>
      </c>
      <c r="AW160" s="16">
        <v>0.3034</v>
      </c>
      <c r="AX160" s="16">
        <f t="shared" si="43"/>
        <v>8.6478809702898694E-3</v>
      </c>
      <c r="AY160" s="16">
        <v>0.31130000000000002</v>
      </c>
      <c r="AZ160" s="16">
        <f t="shared" si="44"/>
        <v>7.756076591678855E-3</v>
      </c>
      <c r="BA160" s="16">
        <v>0.32050000000000001</v>
      </c>
      <c r="BB160" s="16">
        <f t="shared" si="45"/>
        <v>6.7111266716319874E-3</v>
      </c>
      <c r="BC160" s="16">
        <v>0.32050000000000001</v>
      </c>
      <c r="BD160" s="16">
        <f t="shared" si="46"/>
        <v>6.0906303997359558E-3</v>
      </c>
      <c r="BE160" s="16">
        <v>0.33479999999999999</v>
      </c>
      <c r="BF160" s="16">
        <f t="shared" si="47"/>
        <v>5.1964981998435574E-3</v>
      </c>
    </row>
    <row r="161" spans="34:58" x14ac:dyDescent="0.3">
      <c r="AH161">
        <v>190</v>
      </c>
      <c r="AI161" s="16">
        <v>0.26100000000000001</v>
      </c>
      <c r="AJ161" s="16">
        <f t="shared" si="36"/>
        <v>1.2178605547747757E-2</v>
      </c>
      <c r="AK161" s="16">
        <v>0.26029999999999998</v>
      </c>
      <c r="AL161" s="16">
        <f t="shared" si="37"/>
        <v>1.3752672518499365E-2</v>
      </c>
      <c r="AM161" s="16">
        <v>0.26140000000000002</v>
      </c>
      <c r="AN161" s="16">
        <f t="shared" si="38"/>
        <v>1.326349297186053E-2</v>
      </c>
      <c r="AO161" s="16">
        <v>0.27660000000000001</v>
      </c>
      <c r="AP161" s="16">
        <f t="shared" si="39"/>
        <v>1.2039725803289492E-2</v>
      </c>
      <c r="AQ161" s="16">
        <v>0.28299999999999997</v>
      </c>
      <c r="AR161" s="16">
        <f t="shared" si="40"/>
        <v>1.1195166355727879E-2</v>
      </c>
      <c r="AS161" s="16">
        <v>0.28860000000000002</v>
      </c>
      <c r="AT161" s="16">
        <f t="shared" si="41"/>
        <v>1.0306446155502816E-2</v>
      </c>
      <c r="AU161" s="16">
        <v>0.29509999999999997</v>
      </c>
      <c r="AV161" s="16">
        <f t="shared" si="42"/>
        <v>9.6278936267935027E-3</v>
      </c>
      <c r="AW161" s="16">
        <v>0.29930000000000001</v>
      </c>
      <c r="AX161" s="16">
        <f t="shared" si="43"/>
        <v>8.6007473841701251E-3</v>
      </c>
      <c r="AY161" s="16">
        <v>0.30659999999999998</v>
      </c>
      <c r="AZ161" s="16">
        <f t="shared" si="44"/>
        <v>7.7910814175363779E-3</v>
      </c>
      <c r="BA161" s="16">
        <v>0.31630000000000003</v>
      </c>
      <c r="BB161" s="16">
        <f t="shared" si="45"/>
        <v>6.7811503687544667E-3</v>
      </c>
      <c r="BC161" s="16">
        <v>0.31630000000000003</v>
      </c>
      <c r="BD161" s="16">
        <f t="shared" si="46"/>
        <v>6.1824254246427447E-3</v>
      </c>
      <c r="BE161" s="16">
        <v>0.32769999999999999</v>
      </c>
      <c r="BF161" s="16">
        <f t="shared" si="47"/>
        <v>5.3463271451915755E-3</v>
      </c>
    </row>
    <row r="162" spans="34:58" x14ac:dyDescent="0.3">
      <c r="AH162">
        <v>195</v>
      </c>
      <c r="AI162" s="16">
        <v>0.2681</v>
      </c>
      <c r="AJ162" s="16">
        <f t="shared" si="36"/>
        <v>7.9354125114015107E-3</v>
      </c>
      <c r="AK162" s="16">
        <v>0.25979999999999998</v>
      </c>
      <c r="AL162" s="16">
        <f t="shared" si="37"/>
        <v>1.0913071263892607E-2</v>
      </c>
      <c r="AM162" s="16">
        <v>0.2581</v>
      </c>
      <c r="AN162" s="16">
        <f t="shared" si="38"/>
        <v>1.1321883291021819E-2</v>
      </c>
      <c r="AO162" s="16">
        <v>0.27179999999999999</v>
      </c>
      <c r="AP162" s="16">
        <f t="shared" si="39"/>
        <v>1.098012291861044E-2</v>
      </c>
      <c r="AQ162" s="16">
        <v>0.28010000000000002</v>
      </c>
      <c r="AR162" s="16">
        <f t="shared" si="40"/>
        <v>1.045262759162977E-2</v>
      </c>
      <c r="AS162" s="16">
        <v>0.28360000000000002</v>
      </c>
      <c r="AT162" s="16">
        <f t="shared" si="41"/>
        <v>9.8671297101380478E-3</v>
      </c>
      <c r="AU162" s="16">
        <v>0.2898</v>
      </c>
      <c r="AV162" s="16">
        <f t="shared" si="42"/>
        <v>9.3439125814903153E-3</v>
      </c>
      <c r="AW162" s="16">
        <v>0.29449999999999998</v>
      </c>
      <c r="AX162" s="16">
        <f t="shared" si="43"/>
        <v>8.4753826696308092E-3</v>
      </c>
      <c r="AY162" s="16">
        <v>0.30249999999999999</v>
      </c>
      <c r="AZ162" s="16">
        <f t="shared" si="44"/>
        <v>7.743013301634058E-3</v>
      </c>
      <c r="BA162" s="16">
        <v>0.31280000000000002</v>
      </c>
      <c r="BB162" s="16">
        <f t="shared" si="45"/>
        <v>6.793200673276106E-3</v>
      </c>
      <c r="BC162" s="16">
        <v>0.31280000000000002</v>
      </c>
      <c r="BD162" s="16">
        <f t="shared" si="46"/>
        <v>6.2284613261065569E-3</v>
      </c>
      <c r="BE162" s="16">
        <v>0.32819999999999999</v>
      </c>
      <c r="BF162" s="16">
        <f t="shared" si="47"/>
        <v>5.3508444557618428E-3</v>
      </c>
    </row>
    <row r="163" spans="34:58" x14ac:dyDescent="0.3">
      <c r="AH163">
        <v>200</v>
      </c>
      <c r="AI163" s="16">
        <v>0.28170000000000001</v>
      </c>
      <c r="AJ163" s="16">
        <f t="shared" si="36"/>
        <v>5.2941563162479527E-3</v>
      </c>
      <c r="AK163" s="16">
        <v>0.26050000000000001</v>
      </c>
      <c r="AL163" s="16">
        <f t="shared" si="37"/>
        <v>8.3047654248034723E-3</v>
      </c>
      <c r="AM163" s="16">
        <v>0.25619999999999998</v>
      </c>
      <c r="AN163" s="16">
        <f t="shared" si="38"/>
        <v>9.2864916745750894E-3</v>
      </c>
      <c r="AO163" s="16">
        <v>0.26979999999999998</v>
      </c>
      <c r="AP163" s="16">
        <f t="shared" si="39"/>
        <v>9.7047851222578363E-3</v>
      </c>
      <c r="AQ163" s="16">
        <v>0.27689999999999998</v>
      </c>
      <c r="AR163" s="16">
        <f t="shared" si="40"/>
        <v>9.5602237095151546E-3</v>
      </c>
      <c r="AS163" s="16">
        <v>0.27960000000000002</v>
      </c>
      <c r="AT163" s="16">
        <f t="shared" si="41"/>
        <v>9.2536072542963137E-3</v>
      </c>
      <c r="AU163" s="16">
        <v>0.28570000000000001</v>
      </c>
      <c r="AV163" s="16">
        <f t="shared" si="42"/>
        <v>8.9030949049119252E-3</v>
      </c>
      <c r="AW163" s="16">
        <v>0.29020000000000001</v>
      </c>
      <c r="AX163" s="16">
        <f t="shared" si="43"/>
        <v>8.2447944503667124E-3</v>
      </c>
      <c r="AY163" s="16">
        <v>0.29899999999999999</v>
      </c>
      <c r="AZ163" s="16">
        <f t="shared" si="44"/>
        <v>7.6152370305131297E-3</v>
      </c>
      <c r="BA163" s="16">
        <v>0.31019999999999998</v>
      </c>
      <c r="BB163" s="16">
        <f t="shared" si="45"/>
        <v>6.7450916374325355E-3</v>
      </c>
      <c r="BC163" s="16">
        <v>0.31019999999999998</v>
      </c>
      <c r="BD163" s="16">
        <f t="shared" si="46"/>
        <v>6.2252914288639339E-3</v>
      </c>
      <c r="BE163" s="16">
        <v>0.32540000000000002</v>
      </c>
      <c r="BF163" s="16">
        <f t="shared" si="47"/>
        <v>5.3902244713139886E-3</v>
      </c>
    </row>
    <row r="194" spans="34:58" x14ac:dyDescent="0.3">
      <c r="AI194">
        <v>9.5890410958904104E-2</v>
      </c>
      <c r="AJ194" t="s">
        <v>305</v>
      </c>
      <c r="AK194">
        <v>0.19178082191780821</v>
      </c>
      <c r="AM194">
        <v>0.26849315068493151</v>
      </c>
      <c r="AO194">
        <v>0.36438356164383562</v>
      </c>
      <c r="AQ194">
        <v>0.44109589041095892</v>
      </c>
      <c r="AS194">
        <v>0.53698630136986303</v>
      </c>
      <c r="AU194">
        <v>0.61369863013698633</v>
      </c>
      <c r="AW194">
        <v>0.78630136986301369</v>
      </c>
      <c r="AY194">
        <v>0.9397260273972603</v>
      </c>
      <c r="BA194">
        <v>1.189041095890411</v>
      </c>
      <c r="BC194">
        <v>1.4383561643835616</v>
      </c>
      <c r="BE194">
        <v>1.7835616438356163</v>
      </c>
    </row>
    <row r="195" spans="34:58" x14ac:dyDescent="0.3">
      <c r="AH195">
        <v>150</v>
      </c>
      <c r="AI195" s="16">
        <v>0.34079999999999999</v>
      </c>
      <c r="AJ195" s="16">
        <f>OptionDelta($AJ$5,$AJ$6,$AH195,$AI$17,$AJ$13,AI195,$AJ$11)</f>
        <v>0.89481214608507398</v>
      </c>
      <c r="AK195" s="16">
        <v>0.33479999999999999</v>
      </c>
      <c r="AL195" s="16">
        <f>OptionDelta($AJ$5,$AJ$6,$AH195,$AK$17,$AL$13,AK195,$AJ$11)</f>
        <v>0.82725529451893942</v>
      </c>
      <c r="AM195" s="16">
        <v>0.33160000000000001</v>
      </c>
      <c r="AN195" s="16">
        <f>OptionDelta($AJ$5,$AJ$6,$AH195,$AM$17,$AN$13,AM195,$AJ$11)</f>
        <v>0.79747289916274</v>
      </c>
      <c r="AO195" s="16">
        <v>0.34539999999999998</v>
      </c>
      <c r="AP195" s="16">
        <f>OptionDelta($AJ$5,$AJ$6,$AH195,$AO$17,$AP$13,AO195,$AJ$11)</f>
        <v>0.76620164033815141</v>
      </c>
      <c r="AQ195" s="16">
        <v>0.3533</v>
      </c>
      <c r="AR195" s="16">
        <f>OptionDelta($AJ$5,$AJ$6,$AH195,$AQ$17,$AR$13,AQ195,$AJ$11)</f>
        <v>0.75055327225970392</v>
      </c>
      <c r="AS195" s="16">
        <v>0.35199999999999998</v>
      </c>
      <c r="AT195" s="16">
        <f>OptionDelta($AJ$5,$AJ$6,$AH195,$AS$17,$AT$13,AS195,$AJ$11)</f>
        <v>0.74045166283138852</v>
      </c>
      <c r="AU195" s="16">
        <v>0.35160000000000002</v>
      </c>
      <c r="AV195" s="16">
        <f>OptionDelta($AJ$5,$AJ$6,$AH195,$AU$17,$AV$13,AU195,$AJ$11)</f>
        <v>0.7347504834551688</v>
      </c>
      <c r="AW195" s="16">
        <v>0.3523</v>
      </c>
      <c r="AX195" s="16">
        <f>OptionDelta($AJ$5,$AJ$6,$AH195,$AW$17,$AX$13,AW195,$AJ$11)</f>
        <v>0.72646755495435533</v>
      </c>
      <c r="AY195" s="16">
        <v>0.35499999999999998</v>
      </c>
      <c r="AZ195" s="16">
        <f>OptionDelta($AJ$5,$AJ$6,$AH195,$AY$17,$AZ$13,AY195,$AJ$11)</f>
        <v>0.72321497011450875</v>
      </c>
      <c r="BA195" s="16">
        <v>0.35870000000000002</v>
      </c>
      <c r="BB195" s="16">
        <f>OptionDelta($AJ$5,$AJ$6,$AH195,$BA$17,$BB$13,BA195,$AJ$11)</f>
        <v>0.7195449638716308</v>
      </c>
      <c r="BC195" s="16">
        <v>0.35870000000000002</v>
      </c>
      <c r="BD195" s="16">
        <f>OptionDelta($AJ$5,$AJ$6,$AH195,$BC$17,$BD$13,BC195,$AJ$11)</f>
        <v>0.72085141260337426</v>
      </c>
      <c r="BE195" s="16">
        <v>0.36799999999999999</v>
      </c>
      <c r="BF195" s="16">
        <f>OptionDelta($AJ$5,$AJ$6,$AH195,$BE$17,$BF$13,BE195,$AJ$11)</f>
        <v>0.72372365072791844</v>
      </c>
    </row>
    <row r="196" spans="34:58" x14ac:dyDescent="0.3">
      <c r="AH196">
        <v>155</v>
      </c>
      <c r="AI196" s="16">
        <v>0.3251</v>
      </c>
      <c r="AJ196" s="16">
        <f t="shared" ref="AJ196:AJ205" si="48">OptionDelta($AJ$5,$AJ$6,$AH196,$AI$17,$AJ$13,AI196,$AJ$11)</f>
        <v>0.83703128411593297</v>
      </c>
      <c r="AK196" s="16">
        <v>0.32200000000000001</v>
      </c>
      <c r="AL196" s="16">
        <f t="shared" ref="AL196:AL205" si="49">OptionDelta($AJ$5,$AJ$6,$AH196,$AK$17,$AL$13,AK196,$AJ$11)</f>
        <v>0.77114631758957786</v>
      </c>
      <c r="AM196" s="16">
        <v>0.32500000000000001</v>
      </c>
      <c r="AN196" s="16">
        <f t="shared" ref="AN196:AN205" si="50">OptionDelta($AJ$5,$AJ$6,$AH196,$AM$17,$AN$13,AM196,$AJ$11)</f>
        <v>0.74259694637431684</v>
      </c>
      <c r="AO196" s="16">
        <v>0.33339999999999997</v>
      </c>
      <c r="AP196" s="16">
        <f t="shared" ref="AP196:AP205" si="51">OptionDelta($AJ$5,$AJ$6,$AH196,$AO$17,$AP$13,AO196,$AJ$11)</f>
        <v>0.71979695608479333</v>
      </c>
      <c r="AQ196" s="16">
        <v>0.34160000000000001</v>
      </c>
      <c r="AR196" s="16">
        <f t="shared" ref="AR196:AR205" si="52">OptionDelta($AJ$5,$AJ$6,$AH196,$AQ$17,$AR$13,AQ196,$AJ$11)</f>
        <v>0.70779711617372465</v>
      </c>
      <c r="AS196" s="16">
        <v>0.3427</v>
      </c>
      <c r="AT196" s="16">
        <f t="shared" ref="AT196:AT205" si="53">OptionDelta($AJ$5,$AJ$6,$AH196,$AS$17,$AT$13,AS196,$AJ$11)</f>
        <v>0.70012414310540882</v>
      </c>
      <c r="AU196" s="16">
        <v>0.34250000000000003</v>
      </c>
      <c r="AV196" s="16">
        <f t="shared" ref="AV196:AV205" si="54">OptionDelta($AJ$5,$AJ$6,$AH196,$AU$17,$AV$13,AU196,$AJ$11)</f>
        <v>0.69654107442228463</v>
      </c>
      <c r="AW196" s="16">
        <v>0.34200000000000003</v>
      </c>
      <c r="AX196" s="16">
        <f t="shared" ref="AX196:AX205" si="55">OptionDelta($AJ$5,$AJ$6,$AH196,$AW$17,$AX$13,AW196,$AJ$11)</f>
        <v>0.69248463347667455</v>
      </c>
      <c r="AY196" s="16">
        <v>0.34660000000000002</v>
      </c>
      <c r="AZ196" s="16">
        <f t="shared" ref="AZ196:AZ205" si="56">OptionDelta($AJ$5,$AJ$6,$AH196,$AY$17,$AZ$13,AY196,$AJ$11)</f>
        <v>0.69179469513309888</v>
      </c>
      <c r="BA196" s="16">
        <v>0.35089999999999999</v>
      </c>
      <c r="BB196" s="16">
        <f t="shared" ref="BB196:BB205" si="57">OptionDelta($AJ$5,$AJ$6,$AH196,$BA$17,$BB$13,BA196,$AJ$11)</f>
        <v>0.69150495824394898</v>
      </c>
      <c r="BC196" s="16">
        <v>0.35089999999999999</v>
      </c>
      <c r="BD196" s="16">
        <f t="shared" ref="BD196:BD205" si="58">OptionDelta($AJ$5,$AJ$6,$AH196,$BC$17,$BD$13,BC196,$AJ$11)</f>
        <v>0.69532823860262405</v>
      </c>
      <c r="BE196" s="16">
        <v>0.36149999999999999</v>
      </c>
      <c r="BF196" s="16">
        <f t="shared" ref="BF196:BF205" si="59">OptionDelta($AJ$5,$AJ$6,$AH196,$BE$17,$BF$13,BE196,$AJ$11)</f>
        <v>0.70123008123636987</v>
      </c>
    </row>
    <row r="197" spans="34:58" x14ac:dyDescent="0.3">
      <c r="AH197">
        <v>160</v>
      </c>
      <c r="AI197" s="16">
        <v>0.31180000000000002</v>
      </c>
      <c r="AJ197" s="16">
        <f t="shared" si="48"/>
        <v>0.75528075225263303</v>
      </c>
      <c r="AK197" s="16">
        <v>0.30980000000000002</v>
      </c>
      <c r="AL197" s="16">
        <f t="shared" si="49"/>
        <v>0.70277902707916606</v>
      </c>
      <c r="AM197" s="16">
        <v>0.31069999999999998</v>
      </c>
      <c r="AN197" s="16">
        <f t="shared" si="50"/>
        <v>0.68316461103160542</v>
      </c>
      <c r="AO197" s="16">
        <v>0.32200000000000001</v>
      </c>
      <c r="AP197" s="16">
        <f t="shared" si="51"/>
        <v>0.66731432427461601</v>
      </c>
      <c r="AQ197" s="16">
        <v>0.32979999999999998</v>
      </c>
      <c r="AR197" s="16">
        <f t="shared" si="52"/>
        <v>0.66041883443274718</v>
      </c>
      <c r="AS197" s="16">
        <v>0.33119999999999999</v>
      </c>
      <c r="AT197" s="16">
        <f t="shared" si="53"/>
        <v>0.6567432420687509</v>
      </c>
      <c r="AU197" s="16">
        <v>0.33579999999999999</v>
      </c>
      <c r="AV197" s="16">
        <f t="shared" si="54"/>
        <v>0.65496238203665347</v>
      </c>
      <c r="AW197" s="16">
        <v>0.33429999999999999</v>
      </c>
      <c r="AX197" s="16">
        <f t="shared" si="55"/>
        <v>0.65559890745719618</v>
      </c>
      <c r="AY197" s="16">
        <v>0.33979999999999999</v>
      </c>
      <c r="AZ197" s="16">
        <f t="shared" si="56"/>
        <v>0.6583365481541763</v>
      </c>
      <c r="BA197" s="16">
        <v>0.3463</v>
      </c>
      <c r="BB197" s="16">
        <f t="shared" si="57"/>
        <v>0.66189412556308214</v>
      </c>
      <c r="BC197" s="16">
        <v>0.3463</v>
      </c>
      <c r="BD197" s="16">
        <f t="shared" si="58"/>
        <v>0.66850970603609361</v>
      </c>
      <c r="BE197" s="16">
        <v>0.35670000000000002</v>
      </c>
      <c r="BF197" s="16">
        <f t="shared" si="59"/>
        <v>0.67793988503043989</v>
      </c>
    </row>
    <row r="198" spans="34:58" x14ac:dyDescent="0.3">
      <c r="AH198">
        <v>165</v>
      </c>
      <c r="AI198" s="16">
        <v>0.29649999999999999</v>
      </c>
      <c r="AJ198" s="16">
        <f t="shared" si="48"/>
        <v>0.65057007608373407</v>
      </c>
      <c r="AK198" s="16">
        <v>0.29930000000000001</v>
      </c>
      <c r="AL198" s="16">
        <f t="shared" si="49"/>
        <v>0.62234283660338396</v>
      </c>
      <c r="AM198" s="16">
        <v>0.29820000000000002</v>
      </c>
      <c r="AN198" s="16">
        <f t="shared" si="50"/>
        <v>0.61439107820747663</v>
      </c>
      <c r="AO198" s="16">
        <v>0.30930000000000002</v>
      </c>
      <c r="AP198" s="16">
        <f t="shared" si="51"/>
        <v>0.60935239700386157</v>
      </c>
      <c r="AQ198" s="16">
        <v>0.31969999999999998</v>
      </c>
      <c r="AR198" s="16">
        <f t="shared" si="52"/>
        <v>0.60831684058490509</v>
      </c>
      <c r="AS198" s="16">
        <v>0.32179999999999997</v>
      </c>
      <c r="AT198" s="16">
        <f t="shared" si="53"/>
        <v>0.60945523832602466</v>
      </c>
      <c r="AU198" s="16">
        <v>0.32500000000000001</v>
      </c>
      <c r="AV198" s="16">
        <f t="shared" si="54"/>
        <v>0.61123549070933736</v>
      </c>
      <c r="AW198" s="16">
        <v>0.32690000000000002</v>
      </c>
      <c r="AX198" s="16">
        <f t="shared" si="55"/>
        <v>0.61667337212011342</v>
      </c>
      <c r="AY198" s="16">
        <v>0.33279999999999998</v>
      </c>
      <c r="AZ198" s="16">
        <f t="shared" si="56"/>
        <v>0.62334142421790639</v>
      </c>
      <c r="BA198" s="16">
        <v>0.33960000000000001</v>
      </c>
      <c r="BB198" s="16">
        <f t="shared" si="57"/>
        <v>0.63133938992879657</v>
      </c>
      <c r="BC198" s="16">
        <v>0.33960000000000001</v>
      </c>
      <c r="BD198" s="16">
        <f t="shared" si="58"/>
        <v>0.64085022142545345</v>
      </c>
      <c r="BE198" s="16">
        <v>0.3518</v>
      </c>
      <c r="BF198" s="16">
        <f t="shared" si="59"/>
        <v>0.65405626853646415</v>
      </c>
    </row>
    <row r="199" spans="34:58" x14ac:dyDescent="0.3">
      <c r="AH199">
        <v>170</v>
      </c>
      <c r="AI199" s="16">
        <v>0.28410000000000002</v>
      </c>
      <c r="AJ199" s="16">
        <f t="shared" si="48"/>
        <v>0.52411593996802741</v>
      </c>
      <c r="AK199" s="16">
        <v>0.28689999999999999</v>
      </c>
      <c r="AL199" s="16">
        <f t="shared" si="49"/>
        <v>0.53265956500977785</v>
      </c>
      <c r="AM199" s="16">
        <v>0.28889999999999999</v>
      </c>
      <c r="AN199" s="16">
        <f t="shared" si="50"/>
        <v>0.53816993286709502</v>
      </c>
      <c r="AO199" s="16">
        <v>0.30320000000000003</v>
      </c>
      <c r="AP199" s="16">
        <f t="shared" si="51"/>
        <v>0.54632769276243465</v>
      </c>
      <c r="AQ199" s="16">
        <v>0.31180000000000002</v>
      </c>
      <c r="AR199" s="16">
        <f t="shared" si="52"/>
        <v>0.5526769160853322</v>
      </c>
      <c r="AS199" s="16">
        <v>0.31390000000000001</v>
      </c>
      <c r="AT199" s="16">
        <f t="shared" si="53"/>
        <v>0.55932162317932521</v>
      </c>
      <c r="AU199" s="16">
        <v>0.318</v>
      </c>
      <c r="AV199" s="16">
        <f t="shared" si="54"/>
        <v>0.56489085822254537</v>
      </c>
      <c r="AW199" s="16">
        <v>0.32069999999999999</v>
      </c>
      <c r="AX199" s="16">
        <f t="shared" si="55"/>
        <v>0.57611504271386771</v>
      </c>
      <c r="AY199" s="16">
        <v>0.32719999999999999</v>
      </c>
      <c r="AZ199" s="16">
        <f t="shared" si="56"/>
        <v>0.58708540797414066</v>
      </c>
      <c r="BA199" s="16">
        <v>0.33510000000000001</v>
      </c>
      <c r="BB199" s="16">
        <f t="shared" si="57"/>
        <v>0.59996960517955367</v>
      </c>
      <c r="BC199" s="16">
        <v>0.33510000000000001</v>
      </c>
      <c r="BD199" s="16">
        <f t="shared" si="58"/>
        <v>0.61250810259029909</v>
      </c>
      <c r="BE199" s="16">
        <v>0.3473</v>
      </c>
      <c r="BF199" s="16">
        <f t="shared" si="59"/>
        <v>0.62968445600668066</v>
      </c>
    </row>
    <row r="200" spans="34:58" x14ac:dyDescent="0.3">
      <c r="AH200">
        <v>175</v>
      </c>
      <c r="AI200" s="16">
        <v>0.27200000000000002</v>
      </c>
      <c r="AJ200" s="16">
        <f t="shared" si="48"/>
        <v>0.3878954259861534</v>
      </c>
      <c r="AK200" s="16">
        <v>0.27800000000000002</v>
      </c>
      <c r="AL200" s="16">
        <f t="shared" si="49"/>
        <v>0.43743266128759323</v>
      </c>
      <c r="AM200" s="16">
        <v>0.27879999999999999</v>
      </c>
      <c r="AN200" s="16">
        <f t="shared" si="50"/>
        <v>0.45751806446928994</v>
      </c>
      <c r="AO200" s="16">
        <v>0.29449999999999998</v>
      </c>
      <c r="AP200" s="16">
        <f t="shared" si="51"/>
        <v>0.48063413523768561</v>
      </c>
      <c r="AQ200" s="16">
        <v>0.3024</v>
      </c>
      <c r="AR200" s="16">
        <f t="shared" si="52"/>
        <v>0.49436384433841085</v>
      </c>
      <c r="AS200" s="16">
        <v>0.30620000000000003</v>
      </c>
      <c r="AT200" s="16">
        <f t="shared" si="53"/>
        <v>0.50722067152449568</v>
      </c>
      <c r="AU200" s="16">
        <v>0.31059999999999999</v>
      </c>
      <c r="AV200" s="16">
        <f t="shared" si="54"/>
        <v>0.51686008974417141</v>
      </c>
      <c r="AW200" s="16">
        <v>0.31459999999999999</v>
      </c>
      <c r="AX200" s="16">
        <f t="shared" si="55"/>
        <v>0.53439201435052819</v>
      </c>
      <c r="AY200" s="16">
        <v>0.32119999999999999</v>
      </c>
      <c r="AZ200" s="16">
        <f t="shared" si="56"/>
        <v>0.54981616796820276</v>
      </c>
      <c r="BA200" s="16">
        <v>0.32929999999999998</v>
      </c>
      <c r="BB200" s="16">
        <f t="shared" si="57"/>
        <v>0.56773936046549367</v>
      </c>
      <c r="BC200" s="16">
        <v>0.32929999999999998</v>
      </c>
      <c r="BD200" s="16">
        <f t="shared" si="58"/>
        <v>0.58335398041339026</v>
      </c>
      <c r="BE200" s="16">
        <v>0.34320000000000001</v>
      </c>
      <c r="BF200" s="16">
        <f t="shared" si="59"/>
        <v>0.60496505203304074</v>
      </c>
    </row>
    <row r="201" spans="34:58" x14ac:dyDescent="0.3">
      <c r="AH201">
        <v>180</v>
      </c>
      <c r="AI201" s="16">
        <v>0.26140000000000002</v>
      </c>
      <c r="AJ201" s="16">
        <f t="shared" si="48"/>
        <v>0.25858008649613728</v>
      </c>
      <c r="AK201" s="16">
        <v>0.27029999999999998</v>
      </c>
      <c r="AL201" s="16">
        <f t="shared" si="49"/>
        <v>0.34333655909960481</v>
      </c>
      <c r="AM201" s="16">
        <v>0.27189999999999998</v>
      </c>
      <c r="AN201" s="16">
        <f t="shared" si="50"/>
        <v>0.37715247099462335</v>
      </c>
      <c r="AO201" s="16">
        <v>0.2853</v>
      </c>
      <c r="AP201" s="16">
        <f t="shared" si="51"/>
        <v>0.41318988407945745</v>
      </c>
      <c r="AQ201" s="16">
        <v>0.2969</v>
      </c>
      <c r="AR201" s="16">
        <f t="shared" si="52"/>
        <v>0.43606998110474282</v>
      </c>
      <c r="AS201" s="16">
        <v>0.30049999999999999</v>
      </c>
      <c r="AT201" s="16">
        <f t="shared" si="53"/>
        <v>0.45473652675942705</v>
      </c>
      <c r="AU201" s="16">
        <v>0.30459999999999998</v>
      </c>
      <c r="AV201" s="16">
        <f t="shared" si="54"/>
        <v>0.46823926122978499</v>
      </c>
      <c r="AW201" s="16">
        <v>0.30940000000000001</v>
      </c>
      <c r="AX201" s="16">
        <f t="shared" si="55"/>
        <v>0.49219560141882801</v>
      </c>
      <c r="AY201" s="16">
        <v>0.31640000000000001</v>
      </c>
      <c r="AZ201" s="16">
        <f t="shared" si="56"/>
        <v>0.51219025817291808</v>
      </c>
      <c r="BA201" s="16">
        <v>0.32419999999999999</v>
      </c>
      <c r="BB201" s="16">
        <f t="shared" si="57"/>
        <v>0.53506702227019964</v>
      </c>
      <c r="BC201" s="16">
        <v>0.32419999999999999</v>
      </c>
      <c r="BD201" s="16">
        <f t="shared" si="58"/>
        <v>0.55376330418063835</v>
      </c>
      <c r="BE201" s="16">
        <v>0.33910000000000001</v>
      </c>
      <c r="BF201" s="16">
        <f t="shared" si="59"/>
        <v>0.57993396697170219</v>
      </c>
    </row>
    <row r="202" spans="34:58" x14ac:dyDescent="0.3">
      <c r="AH202">
        <v>185</v>
      </c>
      <c r="AI202" s="16">
        <v>0.2581</v>
      </c>
      <c r="AJ202" s="16">
        <f t="shared" si="48"/>
        <v>0.15869074168974356</v>
      </c>
      <c r="AK202" s="16">
        <v>0.26369999999999999</v>
      </c>
      <c r="AL202" s="16">
        <f t="shared" si="49"/>
        <v>0.25666714728002427</v>
      </c>
      <c r="AM202" s="16">
        <v>0.2656</v>
      </c>
      <c r="AN202" s="16">
        <f t="shared" si="50"/>
        <v>0.30056359277205746</v>
      </c>
      <c r="AO202" s="16">
        <v>0.28079999999999999</v>
      </c>
      <c r="AP202" s="16">
        <f t="shared" si="51"/>
        <v>0.34928791943089266</v>
      </c>
      <c r="AQ202" s="16">
        <v>0.28839999999999999</v>
      </c>
      <c r="AR202" s="16">
        <f t="shared" si="52"/>
        <v>0.37658671534126203</v>
      </c>
      <c r="AS202" s="16">
        <v>0.29389999999999999</v>
      </c>
      <c r="AT202" s="16">
        <f t="shared" si="53"/>
        <v>0.40192535078612551</v>
      </c>
      <c r="AU202" s="16">
        <v>0.29899999999999999</v>
      </c>
      <c r="AV202" s="16">
        <f t="shared" si="54"/>
        <v>0.41972762232002142</v>
      </c>
      <c r="AW202" s="16">
        <v>0.3034</v>
      </c>
      <c r="AX202" s="16">
        <f t="shared" si="55"/>
        <v>0.44940480044655573</v>
      </c>
      <c r="AY202" s="16">
        <v>0.31130000000000002</v>
      </c>
      <c r="AZ202" s="16">
        <f t="shared" si="56"/>
        <v>0.47420006794319247</v>
      </c>
      <c r="BA202" s="16">
        <v>0.32050000000000001</v>
      </c>
      <c r="BB202" s="16">
        <f t="shared" si="57"/>
        <v>0.50262229105165757</v>
      </c>
      <c r="BC202" s="16">
        <v>0.32050000000000001</v>
      </c>
      <c r="BD202" s="16">
        <f t="shared" si="58"/>
        <v>0.52431709794718662</v>
      </c>
      <c r="BE202" s="16">
        <v>0.33479999999999999</v>
      </c>
      <c r="BF202" s="16">
        <f t="shared" si="59"/>
        <v>0.55458650356310191</v>
      </c>
    </row>
    <row r="203" spans="34:58" x14ac:dyDescent="0.3">
      <c r="AH203">
        <v>190</v>
      </c>
      <c r="AI203" s="16">
        <v>0.26100000000000001</v>
      </c>
      <c r="AJ203" s="16">
        <f t="shared" si="48"/>
        <v>9.3782843610061714E-2</v>
      </c>
      <c r="AK203" s="16">
        <v>0.26029999999999998</v>
      </c>
      <c r="AL203" s="16">
        <f t="shared" si="49"/>
        <v>0.18468916777694852</v>
      </c>
      <c r="AM203" s="16">
        <v>0.26140000000000002</v>
      </c>
      <c r="AN203" s="16">
        <f t="shared" si="50"/>
        <v>0.23261469660219899</v>
      </c>
      <c r="AO203" s="16">
        <v>0.27660000000000001</v>
      </c>
      <c r="AP203" s="16">
        <f t="shared" si="51"/>
        <v>0.28931069178677538</v>
      </c>
      <c r="AQ203" s="16">
        <v>0.28299999999999997</v>
      </c>
      <c r="AR203" s="16">
        <f t="shared" si="52"/>
        <v>0.32062019042723988</v>
      </c>
      <c r="AS203" s="16">
        <v>0.28860000000000002</v>
      </c>
      <c r="AT203" s="16">
        <f t="shared" si="53"/>
        <v>0.35087926500405142</v>
      </c>
      <c r="AU203" s="16">
        <v>0.29509999999999997</v>
      </c>
      <c r="AV203" s="16">
        <f t="shared" si="54"/>
        <v>0.37308215456300525</v>
      </c>
      <c r="AW203" s="16">
        <v>0.29930000000000001</v>
      </c>
      <c r="AX203" s="16">
        <f t="shared" si="55"/>
        <v>0.40786093317673755</v>
      </c>
      <c r="AY203" s="16">
        <v>0.30659999999999998</v>
      </c>
      <c r="AZ203" s="16">
        <f t="shared" si="56"/>
        <v>0.43643036800696039</v>
      </c>
      <c r="BA203" s="16">
        <v>0.31630000000000003</v>
      </c>
      <c r="BB203" s="16">
        <f t="shared" si="57"/>
        <v>0.46999967800182346</v>
      </c>
      <c r="BC203" s="16">
        <v>0.31630000000000003</v>
      </c>
      <c r="BD203" s="16">
        <f t="shared" si="58"/>
        <v>0.49458649714452685</v>
      </c>
      <c r="BE203" s="16">
        <v>0.32769999999999999</v>
      </c>
      <c r="BF203" s="16">
        <f t="shared" si="59"/>
        <v>0.52778812270922892</v>
      </c>
    </row>
    <row r="204" spans="34:58" x14ac:dyDescent="0.3">
      <c r="AH204">
        <v>195</v>
      </c>
      <c r="AI204" s="16">
        <v>0.2681</v>
      </c>
      <c r="AJ204" s="16">
        <f t="shared" si="48"/>
        <v>5.5509796744139944E-2</v>
      </c>
      <c r="AK204" s="16">
        <v>0.25979999999999998</v>
      </c>
      <c r="AL204" s="16">
        <f t="shared" si="49"/>
        <v>0.12968242632466631</v>
      </c>
      <c r="AM204" s="16">
        <v>0.2581</v>
      </c>
      <c r="AN204" s="16">
        <f t="shared" si="50"/>
        <v>0.17475306481962596</v>
      </c>
      <c r="AO204" s="16">
        <v>0.27179999999999999</v>
      </c>
      <c r="AP204" s="16">
        <f t="shared" si="51"/>
        <v>0.23378126562457113</v>
      </c>
      <c r="AQ204" s="16">
        <v>0.28010000000000002</v>
      </c>
      <c r="AR204" s="16">
        <f t="shared" si="52"/>
        <v>0.27015069017301024</v>
      </c>
      <c r="AS204" s="16">
        <v>0.28360000000000002</v>
      </c>
      <c r="AT204" s="16">
        <f t="shared" si="53"/>
        <v>0.3020945950023286</v>
      </c>
      <c r="AU204" s="16">
        <v>0.2898</v>
      </c>
      <c r="AV204" s="16">
        <f t="shared" si="54"/>
        <v>0.32699457277782407</v>
      </c>
      <c r="AW204" s="16">
        <v>0.29449999999999998</v>
      </c>
      <c r="AX204" s="16">
        <f t="shared" si="55"/>
        <v>0.3666991629236761</v>
      </c>
      <c r="AY204" s="16">
        <v>0.30249999999999999</v>
      </c>
      <c r="AZ204" s="16">
        <f t="shared" si="56"/>
        <v>0.39944781485434733</v>
      </c>
      <c r="BA204" s="16">
        <v>0.31280000000000002</v>
      </c>
      <c r="BB204" s="16">
        <f t="shared" si="57"/>
        <v>0.4379748240726396</v>
      </c>
      <c r="BC204" s="16">
        <v>0.31280000000000002</v>
      </c>
      <c r="BD204" s="16">
        <f t="shared" si="58"/>
        <v>0.46526261127188229</v>
      </c>
      <c r="BE204" s="16">
        <v>0.32819999999999999</v>
      </c>
      <c r="BF204" s="16">
        <f t="shared" si="59"/>
        <v>0.50439198908787897</v>
      </c>
    </row>
    <row r="205" spans="34:58" x14ac:dyDescent="0.3">
      <c r="AH205">
        <v>200</v>
      </c>
      <c r="AI205" s="16">
        <v>0.28170000000000001</v>
      </c>
      <c r="AJ205" s="16">
        <f t="shared" si="48"/>
        <v>3.5708562978655364E-2</v>
      </c>
      <c r="AK205" s="16">
        <v>0.26050000000000001</v>
      </c>
      <c r="AL205" s="16">
        <f t="shared" si="49"/>
        <v>8.9072827772223875E-2</v>
      </c>
      <c r="AM205" s="16">
        <v>0.25619999999999998</v>
      </c>
      <c r="AN205" s="16">
        <f t="shared" si="50"/>
        <v>0.12835806675503675</v>
      </c>
      <c r="AO205" s="16">
        <v>0.26979999999999998</v>
      </c>
      <c r="AP205" s="16">
        <f t="shared" si="51"/>
        <v>0.18713523669720408</v>
      </c>
      <c r="AQ205" s="16">
        <v>0.27689999999999998</v>
      </c>
      <c r="AR205" s="16">
        <f t="shared" si="52"/>
        <v>0.22385427891503368</v>
      </c>
      <c r="AS205" s="16">
        <v>0.27960000000000002</v>
      </c>
      <c r="AT205" s="16">
        <f t="shared" si="53"/>
        <v>0.25709663245855074</v>
      </c>
      <c r="AU205" s="16">
        <v>0.28570000000000001</v>
      </c>
      <c r="AV205" s="16">
        <f t="shared" si="54"/>
        <v>0.28399495464160773</v>
      </c>
      <c r="AW205" s="16">
        <v>0.29020000000000001</v>
      </c>
      <c r="AX205" s="16">
        <f t="shared" si="55"/>
        <v>0.3271188768389981</v>
      </c>
      <c r="AY205" s="16">
        <v>0.29899999999999999</v>
      </c>
      <c r="AZ205" s="16">
        <f t="shared" si="56"/>
        <v>0.36372486112631602</v>
      </c>
      <c r="BA205" s="16">
        <v>0.31019999999999998</v>
      </c>
      <c r="BB205" s="16">
        <f t="shared" si="57"/>
        <v>0.40706160697900046</v>
      </c>
      <c r="BC205" s="16">
        <v>0.31019999999999998</v>
      </c>
      <c r="BD205" s="16">
        <f t="shared" si="58"/>
        <v>0.436795171250843</v>
      </c>
      <c r="BE205" s="16">
        <v>0.32540000000000002</v>
      </c>
      <c r="BF205" s="16">
        <f t="shared" si="59"/>
        <v>0.47969836064631494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39C8C1-F5D9-4B39-8F4B-F9CDFB698DE3}">
  <dimension ref="B4:AB131"/>
  <sheetViews>
    <sheetView topLeftCell="F1" zoomScale="55" zoomScaleNormal="55" workbookViewId="0">
      <selection activeCell="N6" sqref="N6:Z30"/>
    </sheetView>
  </sheetViews>
  <sheetFormatPr defaultRowHeight="14.4" x14ac:dyDescent="0.3"/>
  <cols>
    <col min="14" max="14" width="12.109375" customWidth="1"/>
  </cols>
  <sheetData>
    <row r="4" spans="2:28" x14ac:dyDescent="0.3">
      <c r="N4" s="3">
        <v>44659</v>
      </c>
    </row>
    <row r="5" spans="2:28" x14ac:dyDescent="0.3">
      <c r="B5" t="s">
        <v>74</v>
      </c>
      <c r="C5" t="s">
        <v>75</v>
      </c>
      <c r="D5" t="s">
        <v>76</v>
      </c>
      <c r="E5" t="s">
        <v>77</v>
      </c>
      <c r="F5" t="s">
        <v>78</v>
      </c>
      <c r="G5" t="s">
        <v>79</v>
      </c>
      <c r="H5" t="s">
        <v>47</v>
      </c>
      <c r="J5" t="s">
        <v>80</v>
      </c>
      <c r="L5" t="s">
        <v>306</v>
      </c>
    </row>
    <row r="6" spans="2:28" x14ac:dyDescent="0.3">
      <c r="B6">
        <v>44477</v>
      </c>
      <c r="C6">
        <v>144.029999</v>
      </c>
      <c r="D6">
        <v>144.179993</v>
      </c>
      <c r="E6">
        <v>142.55999800000001</v>
      </c>
      <c r="F6">
        <v>142.89999399999999</v>
      </c>
      <c r="G6">
        <v>142.510178</v>
      </c>
      <c r="H6">
        <v>58773200</v>
      </c>
      <c r="L6">
        <f>STDEV(J7:J131)</f>
        <v>1.7364704591842327E-2</v>
      </c>
      <c r="N6" t="s">
        <v>308</v>
      </c>
      <c r="O6" t="s">
        <v>309</v>
      </c>
      <c r="P6" t="s">
        <v>42</v>
      </c>
      <c r="Q6" t="s">
        <v>43</v>
      </c>
      <c r="R6" t="s">
        <v>44</v>
      </c>
      <c r="S6" t="s">
        <v>45</v>
      </c>
      <c r="T6" t="s">
        <v>310</v>
      </c>
      <c r="U6" t="s">
        <v>312</v>
      </c>
      <c r="V6" t="s">
        <v>47</v>
      </c>
      <c r="W6" t="s">
        <v>48</v>
      </c>
      <c r="X6" t="s">
        <v>49</v>
      </c>
      <c r="AA6">
        <v>1</v>
      </c>
      <c r="AB6">
        <v>9.6176000000000005E-3</v>
      </c>
    </row>
    <row r="7" spans="2:28" x14ac:dyDescent="0.3">
      <c r="B7">
        <v>44480</v>
      </c>
      <c r="C7">
        <v>142.270004</v>
      </c>
      <c r="D7">
        <v>144.80999800000001</v>
      </c>
      <c r="E7">
        <v>141.80999800000001</v>
      </c>
      <c r="F7">
        <v>142.80999800000001</v>
      </c>
      <c r="G7">
        <v>142.42042499999999</v>
      </c>
      <c r="H7">
        <v>64452200</v>
      </c>
      <c r="J7">
        <f>(G7-G6)/G6</f>
        <v>-6.2980063080127332E-4</v>
      </c>
      <c r="N7" s="7">
        <v>44694</v>
      </c>
      <c r="P7" t="s">
        <v>66</v>
      </c>
      <c r="Q7">
        <v>9.5890410958904104E-2</v>
      </c>
      <c r="S7" t="s">
        <v>65</v>
      </c>
      <c r="T7">
        <v>9.6176000000000005E-3</v>
      </c>
      <c r="U7">
        <f>N7-$N$4</f>
        <v>35</v>
      </c>
      <c r="V7">
        <f>U7/30</f>
        <v>1.1666666666666667</v>
      </c>
      <c r="Z7" t="s">
        <v>311</v>
      </c>
      <c r="AA7">
        <v>2</v>
      </c>
      <c r="AB7">
        <v>9.7769999999999992E-3</v>
      </c>
    </row>
    <row r="8" spans="2:28" x14ac:dyDescent="0.3">
      <c r="B8">
        <v>44481</v>
      </c>
      <c r="C8">
        <v>143.229996</v>
      </c>
      <c r="D8">
        <v>143.25</v>
      </c>
      <c r="E8">
        <v>141.03999300000001</v>
      </c>
      <c r="F8">
        <v>141.509995</v>
      </c>
      <c r="G8">
        <v>141.12397799999999</v>
      </c>
      <c r="H8">
        <v>73035900</v>
      </c>
      <c r="J8">
        <f t="shared" ref="J8:J71" si="0">(G8-G7)/G7</f>
        <v>-9.1029569670221158E-3</v>
      </c>
      <c r="L8" t="s">
        <v>307</v>
      </c>
      <c r="N8" t="s">
        <v>111</v>
      </c>
      <c r="O8" t="s">
        <v>112</v>
      </c>
      <c r="P8">
        <v>170</v>
      </c>
      <c r="Q8">
        <v>6.25</v>
      </c>
      <c r="R8">
        <v>6.2</v>
      </c>
      <c r="S8">
        <v>6.3</v>
      </c>
      <c r="T8">
        <v>-1.25</v>
      </c>
      <c r="U8" s="16">
        <f>(R8+S8)/2</f>
        <v>6.25</v>
      </c>
      <c r="V8">
        <v>267</v>
      </c>
      <c r="W8" s="2">
        <v>1044</v>
      </c>
      <c r="X8" s="16">
        <v>0.28410000000000002</v>
      </c>
      <c r="Z8">
        <f>BSCall($N$35,P8,T7,X8,Q7)</f>
        <v>6.0875460616938994</v>
      </c>
      <c r="AA8">
        <v>3</v>
      </c>
      <c r="AB8">
        <v>9.7236000000000006E-3</v>
      </c>
    </row>
    <row r="9" spans="2:28" x14ac:dyDescent="0.3">
      <c r="B9">
        <v>44482</v>
      </c>
      <c r="C9">
        <v>141.240005</v>
      </c>
      <c r="D9">
        <v>141.39999399999999</v>
      </c>
      <c r="E9">
        <v>139.199997</v>
      </c>
      <c r="F9">
        <v>140.91000399999999</v>
      </c>
      <c r="G9">
        <v>140.52562</v>
      </c>
      <c r="H9">
        <v>78762700</v>
      </c>
      <c r="J9">
        <f t="shared" si="0"/>
        <v>-4.2399456738669199E-3</v>
      </c>
      <c r="L9">
        <f>L6*SQRT(252)</f>
        <v>0.27565613964069691</v>
      </c>
      <c r="N9" s="34">
        <v>44729</v>
      </c>
      <c r="P9" t="s">
        <v>66</v>
      </c>
      <c r="Q9">
        <v>0.19178082191780821</v>
      </c>
      <c r="S9" t="s">
        <v>65</v>
      </c>
      <c r="T9">
        <v>9.7769999999999992E-3</v>
      </c>
      <c r="U9" s="16">
        <f>N9-$N$4</f>
        <v>70</v>
      </c>
      <c r="V9">
        <f>U9/30</f>
        <v>2.3333333333333335</v>
      </c>
      <c r="AA9">
        <v>6</v>
      </c>
      <c r="AB9">
        <v>1.3680400000000001E-2</v>
      </c>
    </row>
    <row r="10" spans="2:28" x14ac:dyDescent="0.3">
      <c r="B10">
        <v>44483</v>
      </c>
      <c r="C10">
        <v>142.11000100000001</v>
      </c>
      <c r="D10">
        <v>143.88000500000001</v>
      </c>
      <c r="E10">
        <v>141.509995</v>
      </c>
      <c r="F10">
        <v>143.759995</v>
      </c>
      <c r="G10">
        <v>143.367828</v>
      </c>
      <c r="H10">
        <v>69907100</v>
      </c>
      <c r="J10">
        <f t="shared" si="0"/>
        <v>2.0225550330252941E-2</v>
      </c>
      <c r="N10" t="s">
        <v>133</v>
      </c>
      <c r="O10" t="s">
        <v>114</v>
      </c>
      <c r="P10">
        <v>170</v>
      </c>
      <c r="Q10">
        <v>8.75</v>
      </c>
      <c r="R10">
        <v>8.75</v>
      </c>
      <c r="S10">
        <v>8.8000000000000007</v>
      </c>
      <c r="T10">
        <v>-1.25</v>
      </c>
      <c r="U10" s="16">
        <f>(R10+S10)/2</f>
        <v>8.7750000000000004</v>
      </c>
      <c r="V10">
        <v>730</v>
      </c>
      <c r="W10">
        <v>29245</v>
      </c>
      <c r="X10">
        <v>0.28689999999999999</v>
      </c>
      <c r="Z10">
        <f>BSCall($N$35,P10,T9,X10,Q9)</f>
        <v>8.7154926113427251</v>
      </c>
      <c r="AA10">
        <v>9</v>
      </c>
      <c r="AB10">
        <v>1.7329199999999999E-2</v>
      </c>
    </row>
    <row r="11" spans="2:28" x14ac:dyDescent="0.3">
      <c r="B11">
        <v>44484</v>
      </c>
      <c r="C11">
        <v>143.770004</v>
      </c>
      <c r="D11">
        <v>144.89999399999999</v>
      </c>
      <c r="E11">
        <v>143.509995</v>
      </c>
      <c r="F11">
        <v>144.83999600000001</v>
      </c>
      <c r="G11">
        <v>144.444885</v>
      </c>
      <c r="H11">
        <v>67940300</v>
      </c>
      <c r="J11">
        <f t="shared" si="0"/>
        <v>7.5125431906522041E-3</v>
      </c>
      <c r="N11" s="7">
        <v>44757</v>
      </c>
      <c r="P11" t="s">
        <v>66</v>
      </c>
      <c r="Q11">
        <v>0.26849315068493151</v>
      </c>
      <c r="S11" t="s">
        <v>65</v>
      </c>
      <c r="T11">
        <v>9.7236000000000006E-3</v>
      </c>
      <c r="U11" s="16">
        <f>N11-$N$4</f>
        <v>98</v>
      </c>
      <c r="V11">
        <f>U11/30</f>
        <v>3.2666666666666666</v>
      </c>
      <c r="AA11">
        <v>1</v>
      </c>
      <c r="AB11">
        <v>2.01817E-2</v>
      </c>
    </row>
    <row r="12" spans="2:28" x14ac:dyDescent="0.3">
      <c r="B12">
        <v>44487</v>
      </c>
      <c r="C12">
        <v>143.449997</v>
      </c>
      <c r="D12">
        <v>146.83999600000001</v>
      </c>
      <c r="E12">
        <v>143.16000399999999</v>
      </c>
      <c r="F12">
        <v>146.550003</v>
      </c>
      <c r="G12">
        <v>146.15022300000001</v>
      </c>
      <c r="H12">
        <v>85589200</v>
      </c>
      <c r="J12">
        <f t="shared" si="0"/>
        <v>1.1806150145088293E-2</v>
      </c>
      <c r="N12" t="s">
        <v>150</v>
      </c>
      <c r="O12" t="s">
        <v>141</v>
      </c>
      <c r="P12">
        <v>170</v>
      </c>
      <c r="Q12">
        <v>10.35</v>
      </c>
      <c r="R12">
        <v>10.35</v>
      </c>
      <c r="S12">
        <v>10.45</v>
      </c>
      <c r="T12">
        <v>-1.55</v>
      </c>
      <c r="U12" s="16">
        <f>(R12+S12)/2</f>
        <v>10.399999999999999</v>
      </c>
      <c r="V12">
        <v>463</v>
      </c>
      <c r="W12">
        <v>5195</v>
      </c>
      <c r="X12">
        <v>0.28889999999999999</v>
      </c>
      <c r="Z12">
        <f>BSCall($N$35,P12,T11,X12,Q11)</f>
        <v>10.401339988846345</v>
      </c>
      <c r="AA12">
        <v>2</v>
      </c>
      <c r="AB12">
        <v>2.65355E-2</v>
      </c>
    </row>
    <row r="13" spans="2:28" x14ac:dyDescent="0.3">
      <c r="B13">
        <v>44488</v>
      </c>
      <c r="C13">
        <v>147.009995</v>
      </c>
      <c r="D13">
        <v>149.16999799999999</v>
      </c>
      <c r="E13">
        <v>146.550003</v>
      </c>
      <c r="F13">
        <v>148.759995</v>
      </c>
      <c r="G13">
        <v>148.354187</v>
      </c>
      <c r="H13">
        <v>76378900</v>
      </c>
      <c r="J13">
        <f t="shared" si="0"/>
        <v>1.5080127520571657E-2</v>
      </c>
      <c r="N13" s="7">
        <v>44792</v>
      </c>
      <c r="P13" t="s">
        <v>66</v>
      </c>
      <c r="Q13">
        <v>0.36438356164383562</v>
      </c>
      <c r="S13" t="s">
        <v>65</v>
      </c>
      <c r="T13">
        <f>(AB9-AB8)/3+AB8</f>
        <v>1.1042533333333333E-2</v>
      </c>
      <c r="U13" s="16">
        <f>N13-$N$4</f>
        <v>133</v>
      </c>
      <c r="V13">
        <f>U13/30</f>
        <v>4.4333333333333336</v>
      </c>
    </row>
    <row r="14" spans="2:28" x14ac:dyDescent="0.3">
      <c r="B14">
        <v>44489</v>
      </c>
      <c r="C14">
        <v>148.699997</v>
      </c>
      <c r="D14">
        <v>149.75</v>
      </c>
      <c r="E14">
        <v>148.11999499999999</v>
      </c>
      <c r="F14">
        <v>149.259995</v>
      </c>
      <c r="G14">
        <v>148.85282900000001</v>
      </c>
      <c r="H14">
        <v>58418800</v>
      </c>
      <c r="J14">
        <f t="shared" si="0"/>
        <v>3.3611589270481326E-3</v>
      </c>
      <c r="N14" t="s">
        <v>168</v>
      </c>
      <c r="O14" t="s">
        <v>135</v>
      </c>
      <c r="P14">
        <v>170</v>
      </c>
      <c r="Q14">
        <v>12.5</v>
      </c>
      <c r="R14">
        <v>12.6</v>
      </c>
      <c r="S14">
        <v>12.7</v>
      </c>
      <c r="T14">
        <v>-1.5</v>
      </c>
      <c r="U14" s="16">
        <f>(R14+S14)/2</f>
        <v>12.649999999999999</v>
      </c>
      <c r="V14">
        <v>225</v>
      </c>
      <c r="W14">
        <v>5059</v>
      </c>
      <c r="X14">
        <v>0.30320000000000003</v>
      </c>
      <c r="Z14">
        <f>BSCall($N$35,P14,T13,X14,Q13)</f>
        <v>12.763974292073343</v>
      </c>
    </row>
    <row r="15" spans="2:28" x14ac:dyDescent="0.3">
      <c r="B15">
        <v>44490</v>
      </c>
      <c r="C15">
        <v>148.80999800000001</v>
      </c>
      <c r="D15">
        <v>149.63999899999999</v>
      </c>
      <c r="E15">
        <v>147.86999499999999</v>
      </c>
      <c r="F15">
        <v>149.479996</v>
      </c>
      <c r="G15">
        <v>149.07221999999999</v>
      </c>
      <c r="H15">
        <v>61421000</v>
      </c>
      <c r="J15">
        <f t="shared" si="0"/>
        <v>1.4738786052898814E-3</v>
      </c>
      <c r="N15" s="7">
        <v>44820</v>
      </c>
      <c r="P15" t="s">
        <v>66</v>
      </c>
      <c r="Q15">
        <v>0.44109589041095892</v>
      </c>
      <c r="S15" t="s">
        <v>65</v>
      </c>
      <c r="T15">
        <f>(AB9-AB8)*2/3+AB8</f>
        <v>1.2361466666666668E-2</v>
      </c>
      <c r="U15" s="16">
        <f>N15-$N$4</f>
        <v>161</v>
      </c>
      <c r="V15">
        <f>U15/30</f>
        <v>5.3666666666666663</v>
      </c>
    </row>
    <row r="16" spans="2:28" x14ac:dyDescent="0.3">
      <c r="B16">
        <v>44491</v>
      </c>
      <c r="C16">
        <v>149.69000199999999</v>
      </c>
      <c r="D16">
        <v>150.179993</v>
      </c>
      <c r="E16">
        <v>148.63999899999999</v>
      </c>
      <c r="F16">
        <v>148.69000199999999</v>
      </c>
      <c r="G16">
        <v>148.28439299999999</v>
      </c>
      <c r="H16">
        <v>58883400</v>
      </c>
      <c r="J16">
        <f t="shared" si="0"/>
        <v>-5.2848679653391692E-3</v>
      </c>
      <c r="N16" t="s">
        <v>185</v>
      </c>
      <c r="O16" t="s">
        <v>186</v>
      </c>
      <c r="P16">
        <v>170</v>
      </c>
      <c r="Q16">
        <v>13.91</v>
      </c>
      <c r="R16">
        <v>14.05</v>
      </c>
      <c r="S16">
        <v>14.25</v>
      </c>
      <c r="T16">
        <v>-1.29</v>
      </c>
      <c r="U16" s="16">
        <f>(R16+S16)/2</f>
        <v>14.15</v>
      </c>
      <c r="V16">
        <v>136</v>
      </c>
      <c r="W16">
        <v>14213</v>
      </c>
      <c r="X16">
        <v>0.31180000000000002</v>
      </c>
      <c r="Z16">
        <f>BSCall($N$35,P16,T15,X16,Q15)</f>
        <v>14.4979114273563</v>
      </c>
    </row>
    <row r="17" spans="2:26" x14ac:dyDescent="0.3">
      <c r="B17">
        <v>44494</v>
      </c>
      <c r="C17">
        <v>148.679993</v>
      </c>
      <c r="D17">
        <v>149.36999499999999</v>
      </c>
      <c r="E17">
        <v>147.61999499999999</v>
      </c>
      <c r="F17">
        <v>148.63999899999999</v>
      </c>
      <c r="G17">
        <v>148.23452800000001</v>
      </c>
      <c r="H17">
        <v>50720600</v>
      </c>
      <c r="J17">
        <f t="shared" si="0"/>
        <v>-3.3627948964246512E-4</v>
      </c>
      <c r="N17" s="7">
        <v>44855</v>
      </c>
      <c r="P17" t="s">
        <v>66</v>
      </c>
      <c r="Q17">
        <v>0.53698630136986303</v>
      </c>
      <c r="S17" t="s">
        <v>65</v>
      </c>
      <c r="T17">
        <v>1.3680400000000001E-2</v>
      </c>
      <c r="U17" s="16">
        <f>N17-$N$4</f>
        <v>196</v>
      </c>
      <c r="V17">
        <f>U17/30</f>
        <v>6.5333333333333332</v>
      </c>
    </row>
    <row r="18" spans="2:26" x14ac:dyDescent="0.3">
      <c r="B18">
        <v>44495</v>
      </c>
      <c r="C18">
        <v>149.33000200000001</v>
      </c>
      <c r="D18">
        <v>150.83999600000001</v>
      </c>
      <c r="E18">
        <v>149.009995</v>
      </c>
      <c r="F18">
        <v>149.320007</v>
      </c>
      <c r="G18">
        <v>148.91267400000001</v>
      </c>
      <c r="H18">
        <v>60893400</v>
      </c>
      <c r="J18">
        <f t="shared" si="0"/>
        <v>4.57481808826617E-3</v>
      </c>
      <c r="N18" t="s">
        <v>204</v>
      </c>
      <c r="O18" t="s">
        <v>205</v>
      </c>
      <c r="P18">
        <v>170</v>
      </c>
      <c r="Q18">
        <v>15.67</v>
      </c>
      <c r="R18">
        <v>15.6</v>
      </c>
      <c r="S18">
        <v>15.8</v>
      </c>
      <c r="T18">
        <v>-1.71</v>
      </c>
      <c r="U18" s="16">
        <f>(R18+S18)/2</f>
        <v>15.7</v>
      </c>
      <c r="V18">
        <v>220</v>
      </c>
      <c r="W18">
        <v>2217</v>
      </c>
      <c r="X18">
        <v>0.31390000000000001</v>
      </c>
      <c r="Z18">
        <f>BSCall($N$35,P18,T17,X18,Q17)</f>
        <v>16.189281975261153</v>
      </c>
    </row>
    <row r="19" spans="2:26" x14ac:dyDescent="0.3">
      <c r="B19">
        <v>44496</v>
      </c>
      <c r="C19">
        <v>149.36000100000001</v>
      </c>
      <c r="D19">
        <v>149.729996</v>
      </c>
      <c r="E19">
        <v>148.490005</v>
      </c>
      <c r="F19">
        <v>148.85000600000001</v>
      </c>
      <c r="G19">
        <v>148.44395399999999</v>
      </c>
      <c r="H19">
        <v>56094900</v>
      </c>
      <c r="J19">
        <f t="shared" si="0"/>
        <v>-3.1476165688893538E-3</v>
      </c>
      <c r="N19" s="7">
        <v>44883</v>
      </c>
      <c r="P19" t="s">
        <v>66</v>
      </c>
      <c r="Q19">
        <v>0.61369863013698633</v>
      </c>
      <c r="S19" t="s">
        <v>65</v>
      </c>
      <c r="T19">
        <f>(AB10-AB9)/3+AB9</f>
        <v>1.4896666666666667E-2</v>
      </c>
      <c r="U19" s="16">
        <f>N19-$N$4</f>
        <v>224</v>
      </c>
      <c r="V19">
        <f>U19/30</f>
        <v>7.4666666666666668</v>
      </c>
    </row>
    <row r="20" spans="2:26" x14ac:dyDescent="0.3">
      <c r="B20">
        <v>44497</v>
      </c>
      <c r="C20">
        <v>149.820007</v>
      </c>
      <c r="D20">
        <v>153.16999799999999</v>
      </c>
      <c r="E20">
        <v>149.720001</v>
      </c>
      <c r="F20">
        <v>152.570007</v>
      </c>
      <c r="G20">
        <v>152.153809</v>
      </c>
      <c r="H20">
        <v>100077900</v>
      </c>
      <c r="J20">
        <f t="shared" si="0"/>
        <v>2.4991620743273955E-2</v>
      </c>
      <c r="N20" t="s">
        <v>225</v>
      </c>
      <c r="O20" t="s">
        <v>184</v>
      </c>
      <c r="P20">
        <v>170</v>
      </c>
      <c r="Q20">
        <v>16.95</v>
      </c>
      <c r="R20">
        <v>16.850000000000001</v>
      </c>
      <c r="S20">
        <v>17.100000000000001</v>
      </c>
      <c r="T20">
        <v>-1.8</v>
      </c>
      <c r="U20" s="16">
        <f>(R20+S20)/2</f>
        <v>16.975000000000001</v>
      </c>
      <c r="V20">
        <v>369</v>
      </c>
      <c r="W20">
        <v>4051</v>
      </c>
      <c r="X20">
        <v>0.318</v>
      </c>
      <c r="Z20">
        <f>BSCall($N$35,P20,T19,X20,Q19)</f>
        <v>17.610521430611499</v>
      </c>
    </row>
    <row r="21" spans="2:26" x14ac:dyDescent="0.3">
      <c r="B21">
        <v>44498</v>
      </c>
      <c r="C21">
        <v>147.220001</v>
      </c>
      <c r="D21">
        <v>149.94000199999999</v>
      </c>
      <c r="E21">
        <v>146.41000399999999</v>
      </c>
      <c r="F21">
        <v>149.800003</v>
      </c>
      <c r="G21">
        <v>149.391357</v>
      </c>
      <c r="H21">
        <v>124953200</v>
      </c>
      <c r="J21">
        <f t="shared" si="0"/>
        <v>-1.8155654585025841E-2</v>
      </c>
      <c r="N21" s="7">
        <v>44946</v>
      </c>
      <c r="P21" t="s">
        <v>66</v>
      </c>
      <c r="Q21">
        <v>0.78630136986301369</v>
      </c>
      <c r="S21" t="s">
        <v>65</v>
      </c>
      <c r="T21">
        <v>1.7329199999999999E-2</v>
      </c>
      <c r="U21" s="16">
        <f>N21-$N$4</f>
        <v>287</v>
      </c>
      <c r="V21">
        <f>U21/30</f>
        <v>9.5666666666666664</v>
      </c>
    </row>
    <row r="22" spans="2:26" x14ac:dyDescent="0.3">
      <c r="B22">
        <v>44501</v>
      </c>
      <c r="C22">
        <v>148.990005</v>
      </c>
      <c r="D22">
        <v>149.699997</v>
      </c>
      <c r="E22">
        <v>147.800003</v>
      </c>
      <c r="F22">
        <v>148.96000699999999</v>
      </c>
      <c r="G22">
        <v>148.55365</v>
      </c>
      <c r="H22">
        <v>74588300</v>
      </c>
      <c r="J22">
        <f t="shared" si="0"/>
        <v>-5.607466300744525E-3</v>
      </c>
      <c r="N22" t="s">
        <v>240</v>
      </c>
      <c r="O22" t="s">
        <v>188</v>
      </c>
      <c r="P22">
        <v>170</v>
      </c>
      <c r="Q22">
        <v>19.05</v>
      </c>
      <c r="R22">
        <v>19.149999999999999</v>
      </c>
      <c r="S22">
        <v>19.45</v>
      </c>
      <c r="T22">
        <v>-1.35</v>
      </c>
      <c r="U22" s="16">
        <f>(R22+S22)/2</f>
        <v>19.299999999999997</v>
      </c>
      <c r="V22">
        <v>551</v>
      </c>
      <c r="W22">
        <v>25805</v>
      </c>
      <c r="X22">
        <v>0.32069999999999999</v>
      </c>
      <c r="Z22">
        <f>BSCall($N$35,P22,T21,X22,Q21)</f>
        <v>20.315532257316818</v>
      </c>
    </row>
    <row r="23" spans="2:26" x14ac:dyDescent="0.3">
      <c r="B23">
        <v>44502</v>
      </c>
      <c r="C23">
        <v>148.66000399999999</v>
      </c>
      <c r="D23">
        <v>151.570007</v>
      </c>
      <c r="E23">
        <v>148.64999399999999</v>
      </c>
      <c r="F23">
        <v>150.020004</v>
      </c>
      <c r="G23">
        <v>149.61076399999999</v>
      </c>
      <c r="H23">
        <v>69122000</v>
      </c>
      <c r="J23">
        <f t="shared" si="0"/>
        <v>7.1160419148232597E-3</v>
      </c>
      <c r="N23" s="7">
        <v>45002</v>
      </c>
      <c r="P23" t="s">
        <v>66</v>
      </c>
      <c r="Q23">
        <v>0.9397260273972603</v>
      </c>
      <c r="S23" t="s">
        <v>65</v>
      </c>
      <c r="T23">
        <v>2.01817E-2</v>
      </c>
      <c r="U23" s="16">
        <f>N23-$N$4</f>
        <v>343</v>
      </c>
      <c r="V23">
        <f>U23/30</f>
        <v>11.433333333333334</v>
      </c>
    </row>
    <row r="24" spans="2:26" x14ac:dyDescent="0.3">
      <c r="B24">
        <v>44503</v>
      </c>
      <c r="C24">
        <v>150.38999899999999</v>
      </c>
      <c r="D24">
        <v>151.970001</v>
      </c>
      <c r="E24">
        <v>149.820007</v>
      </c>
      <c r="F24">
        <v>151.490005</v>
      </c>
      <c r="G24">
        <v>151.07676699999999</v>
      </c>
      <c r="H24">
        <v>54511500</v>
      </c>
      <c r="J24">
        <f t="shared" si="0"/>
        <v>9.7987802535384472E-3</v>
      </c>
      <c r="N24" t="s">
        <v>255</v>
      </c>
      <c r="O24" t="s">
        <v>135</v>
      </c>
      <c r="P24">
        <v>170</v>
      </c>
      <c r="Q24">
        <v>21.05</v>
      </c>
      <c r="R24">
        <v>21.35</v>
      </c>
      <c r="S24">
        <v>21.65</v>
      </c>
      <c r="T24">
        <v>-1.55</v>
      </c>
      <c r="U24" s="16">
        <f>(R24+S24)/2</f>
        <v>21.5</v>
      </c>
      <c r="V24">
        <v>91</v>
      </c>
      <c r="W24">
        <v>4988</v>
      </c>
      <c r="X24">
        <v>0.32719999999999999</v>
      </c>
      <c r="Z24">
        <f>BSCall($N$35,P24,T23,X24,Q23)</f>
        <v>22.907821916409574</v>
      </c>
    </row>
    <row r="25" spans="2:26" x14ac:dyDescent="0.3">
      <c r="B25">
        <v>44504</v>
      </c>
      <c r="C25">
        <v>151.58000200000001</v>
      </c>
      <c r="D25">
        <v>152.429993</v>
      </c>
      <c r="E25">
        <v>150.63999899999999</v>
      </c>
      <c r="F25">
        <v>150.96000699999999</v>
      </c>
      <c r="G25">
        <v>150.548203</v>
      </c>
      <c r="H25">
        <v>60394600</v>
      </c>
      <c r="J25">
        <f t="shared" si="0"/>
        <v>-3.4986451622967861E-3</v>
      </c>
      <c r="N25" s="7">
        <v>45093</v>
      </c>
      <c r="P25" t="s">
        <v>66</v>
      </c>
      <c r="Q25">
        <v>1.189041095890411</v>
      </c>
      <c r="S25" t="s">
        <v>65</v>
      </c>
      <c r="T25">
        <f>(AB12-AB11)/6+AB11</f>
        <v>2.1240666666666668E-2</v>
      </c>
      <c r="U25" s="16">
        <f>N25-$N$4</f>
        <v>434</v>
      </c>
      <c r="V25">
        <f>U25/30</f>
        <v>14.466666666666667</v>
      </c>
    </row>
    <row r="26" spans="2:26" x14ac:dyDescent="0.3">
      <c r="B26">
        <v>44505</v>
      </c>
      <c r="C26">
        <v>151.88999899999999</v>
      </c>
      <c r="D26">
        <v>152.199997</v>
      </c>
      <c r="E26">
        <v>150.05999800000001</v>
      </c>
      <c r="F26">
        <v>151.279999</v>
      </c>
      <c r="G26">
        <v>151.08750900000001</v>
      </c>
      <c r="H26">
        <v>65463900</v>
      </c>
      <c r="J26">
        <f t="shared" si="0"/>
        <v>3.582281217929984E-3</v>
      </c>
      <c r="N26" t="s">
        <v>274</v>
      </c>
      <c r="O26" t="s">
        <v>186</v>
      </c>
      <c r="P26">
        <v>170</v>
      </c>
      <c r="Q26">
        <v>24.5</v>
      </c>
      <c r="R26">
        <v>24.45</v>
      </c>
      <c r="S26">
        <v>24.9</v>
      </c>
      <c r="T26">
        <v>-0.8</v>
      </c>
      <c r="U26" s="16">
        <f>(R26+S26)/2</f>
        <v>24.674999999999997</v>
      </c>
      <c r="V26">
        <v>84</v>
      </c>
      <c r="W26">
        <v>16194</v>
      </c>
      <c r="X26">
        <v>0.33510000000000001</v>
      </c>
      <c r="Z26">
        <f>BSCall($N$35,P26,T25,X26,Q25)</f>
        <v>26.568561328152512</v>
      </c>
    </row>
    <row r="27" spans="2:26" x14ac:dyDescent="0.3">
      <c r="B27">
        <v>44508</v>
      </c>
      <c r="C27">
        <v>151.41000399999999</v>
      </c>
      <c r="D27">
        <v>151.570007</v>
      </c>
      <c r="E27">
        <v>150.16000399999999</v>
      </c>
      <c r="F27">
        <v>150.44000199999999</v>
      </c>
      <c r="G27">
        <v>150.248581</v>
      </c>
      <c r="H27">
        <v>55020900</v>
      </c>
      <c r="J27">
        <f t="shared" si="0"/>
        <v>-5.552596674289003E-3</v>
      </c>
      <c r="N27" s="7">
        <v>45184</v>
      </c>
      <c r="P27" t="s">
        <v>66</v>
      </c>
      <c r="Q27">
        <v>1.4383561643835616</v>
      </c>
      <c r="S27" t="s">
        <v>65</v>
      </c>
      <c r="T27">
        <f>(AB12-AB11)/2+AB11</f>
        <v>2.33586E-2</v>
      </c>
      <c r="U27" s="16">
        <f>N27-$N$4</f>
        <v>525</v>
      </c>
      <c r="V27">
        <f>U27/30</f>
        <v>17.5</v>
      </c>
    </row>
    <row r="28" spans="2:26" x14ac:dyDescent="0.3">
      <c r="B28">
        <v>44509</v>
      </c>
      <c r="C28">
        <v>150.199997</v>
      </c>
      <c r="D28">
        <v>151.429993</v>
      </c>
      <c r="E28">
        <v>150.05999800000001</v>
      </c>
      <c r="F28">
        <v>150.80999800000001</v>
      </c>
      <c r="G28">
        <v>150.61810299999999</v>
      </c>
      <c r="H28">
        <v>56787900</v>
      </c>
      <c r="J28">
        <f t="shared" si="0"/>
        <v>2.459404258866107E-3</v>
      </c>
      <c r="N28" t="s">
        <v>274</v>
      </c>
      <c r="O28" t="s">
        <v>186</v>
      </c>
      <c r="P28">
        <v>170</v>
      </c>
      <c r="Q28">
        <v>24.5</v>
      </c>
      <c r="R28">
        <v>24.45</v>
      </c>
      <c r="S28">
        <v>24.9</v>
      </c>
      <c r="T28">
        <v>-0.8</v>
      </c>
      <c r="U28" s="16">
        <f>(R28+S28)/2</f>
        <v>24.674999999999997</v>
      </c>
      <c r="V28">
        <v>84</v>
      </c>
      <c r="W28">
        <v>16194</v>
      </c>
      <c r="X28">
        <v>0.33510000000000001</v>
      </c>
      <c r="Z28">
        <f>BSCall($N$35,P28,T27,X28,Q27)</f>
        <v>29.581925129323224</v>
      </c>
    </row>
    <row r="29" spans="2:26" x14ac:dyDescent="0.3">
      <c r="B29">
        <v>44510</v>
      </c>
      <c r="C29">
        <v>150.020004</v>
      </c>
      <c r="D29">
        <v>150.13000500000001</v>
      </c>
      <c r="E29">
        <v>147.85000600000001</v>
      </c>
      <c r="F29">
        <v>147.91999799999999</v>
      </c>
      <c r="G29">
        <v>147.73178100000001</v>
      </c>
      <c r="H29">
        <v>65187100</v>
      </c>
      <c r="J29">
        <f t="shared" si="0"/>
        <v>-1.9163181201399003E-2</v>
      </c>
      <c r="N29" s="7">
        <v>45310</v>
      </c>
      <c r="P29" t="s">
        <v>66</v>
      </c>
      <c r="Q29">
        <v>1.7835616438356163</v>
      </c>
      <c r="S29" t="s">
        <v>65</v>
      </c>
      <c r="T29">
        <f>(AB12-AB11)*10/12+AB11</f>
        <v>2.5476533333333332E-2</v>
      </c>
      <c r="U29" s="16">
        <f>N29-$N$4</f>
        <v>651</v>
      </c>
      <c r="V29">
        <f>U29/30</f>
        <v>21.7</v>
      </c>
    </row>
    <row r="30" spans="2:26" x14ac:dyDescent="0.3">
      <c r="B30">
        <v>44511</v>
      </c>
      <c r="C30">
        <v>148.96000699999999</v>
      </c>
      <c r="D30">
        <v>149.429993</v>
      </c>
      <c r="E30">
        <v>147.679993</v>
      </c>
      <c r="F30">
        <v>147.86999499999999</v>
      </c>
      <c r="G30">
        <v>147.681839</v>
      </c>
      <c r="H30">
        <v>41000000</v>
      </c>
      <c r="J30">
        <f t="shared" si="0"/>
        <v>-3.3805860636050745E-4</v>
      </c>
      <c r="N30" t="s">
        <v>291</v>
      </c>
      <c r="O30" t="s">
        <v>186</v>
      </c>
      <c r="P30">
        <v>170</v>
      </c>
      <c r="Q30">
        <v>30.63</v>
      </c>
      <c r="R30">
        <v>30.65</v>
      </c>
      <c r="S30">
        <v>31.4</v>
      </c>
      <c r="T30">
        <v>-1.62</v>
      </c>
      <c r="U30" s="16">
        <f>(R30+S30)/2</f>
        <v>31.024999999999999</v>
      </c>
      <c r="V30">
        <v>224</v>
      </c>
      <c r="W30">
        <v>10463</v>
      </c>
      <c r="X30">
        <v>0.3473</v>
      </c>
      <c r="Z30">
        <f>BSCall($N$35,P30,T29,X30,Q29)</f>
        <v>34.460210556467942</v>
      </c>
    </row>
    <row r="31" spans="2:26" x14ac:dyDescent="0.3">
      <c r="B31">
        <v>44512</v>
      </c>
      <c r="C31">
        <v>148.429993</v>
      </c>
      <c r="D31">
        <v>150.39999399999999</v>
      </c>
      <c r="E31">
        <v>147.479996</v>
      </c>
      <c r="F31">
        <v>149.990005</v>
      </c>
      <c r="G31">
        <v>149.799149</v>
      </c>
      <c r="H31">
        <v>63804000</v>
      </c>
      <c r="J31">
        <f t="shared" si="0"/>
        <v>1.4336969354776272E-2</v>
      </c>
    </row>
    <row r="32" spans="2:26" x14ac:dyDescent="0.3">
      <c r="B32">
        <v>44515</v>
      </c>
      <c r="C32">
        <v>150.36999499999999</v>
      </c>
      <c r="D32">
        <v>151.88000500000001</v>
      </c>
      <c r="E32">
        <v>149.429993</v>
      </c>
      <c r="F32">
        <v>150</v>
      </c>
      <c r="G32">
        <v>149.80912799999999</v>
      </c>
      <c r="H32">
        <v>59222800</v>
      </c>
      <c r="J32">
        <f t="shared" si="0"/>
        <v>6.6615865754932166E-5</v>
      </c>
    </row>
    <row r="33" spans="2:14" x14ac:dyDescent="0.3">
      <c r="B33">
        <v>44516</v>
      </c>
      <c r="C33">
        <v>149.94000199999999</v>
      </c>
      <c r="D33">
        <v>151.490005</v>
      </c>
      <c r="E33">
        <v>149.33999600000001</v>
      </c>
      <c r="F33">
        <v>151</v>
      </c>
      <c r="G33">
        <v>150.807861</v>
      </c>
      <c r="H33">
        <v>59256200</v>
      </c>
      <c r="J33">
        <f t="shared" si="0"/>
        <v>6.6667032465472717E-3</v>
      </c>
    </row>
    <row r="34" spans="2:14" x14ac:dyDescent="0.3">
      <c r="B34">
        <v>44517</v>
      </c>
      <c r="C34">
        <v>151</v>
      </c>
      <c r="D34">
        <v>155</v>
      </c>
      <c r="E34">
        <v>150.990005</v>
      </c>
      <c r="F34">
        <v>153.490005</v>
      </c>
      <c r="G34">
        <v>153.294693</v>
      </c>
      <c r="H34">
        <v>88807000</v>
      </c>
      <c r="J34">
        <f t="shared" si="0"/>
        <v>1.649006877698499E-2</v>
      </c>
      <c r="L34" t="s">
        <v>23</v>
      </c>
      <c r="N34" t="s">
        <v>30</v>
      </c>
    </row>
    <row r="35" spans="2:14" x14ac:dyDescent="0.3">
      <c r="B35">
        <v>44518</v>
      </c>
      <c r="C35">
        <v>153.71000699999999</v>
      </c>
      <c r="D35">
        <v>158.66999799999999</v>
      </c>
      <c r="E35">
        <v>153.050003</v>
      </c>
      <c r="F35">
        <v>157.86999499999999</v>
      </c>
      <c r="G35">
        <v>157.66911300000001</v>
      </c>
      <c r="H35">
        <v>137827700</v>
      </c>
      <c r="J35">
        <f t="shared" si="0"/>
        <v>2.8536017225332222E-2</v>
      </c>
      <c r="L35" t="s">
        <v>24</v>
      </c>
      <c r="N35">
        <v>170.09</v>
      </c>
    </row>
    <row r="36" spans="2:14" x14ac:dyDescent="0.3">
      <c r="B36">
        <v>44519</v>
      </c>
      <c r="C36">
        <v>157.64999399999999</v>
      </c>
      <c r="D36">
        <v>161.020004</v>
      </c>
      <c r="E36">
        <v>156.529999</v>
      </c>
      <c r="F36">
        <v>160.550003</v>
      </c>
      <c r="G36">
        <v>160.34571800000001</v>
      </c>
      <c r="H36">
        <v>117305600</v>
      </c>
      <c r="J36">
        <f t="shared" si="0"/>
        <v>1.6976089666972345E-2</v>
      </c>
      <c r="L36" t="s">
        <v>25</v>
      </c>
    </row>
    <row r="37" spans="2:14" x14ac:dyDescent="0.3">
      <c r="B37">
        <v>44522</v>
      </c>
      <c r="C37">
        <v>161.679993</v>
      </c>
      <c r="D37">
        <v>165.699997</v>
      </c>
      <c r="E37">
        <v>161</v>
      </c>
      <c r="F37">
        <v>161.020004</v>
      </c>
      <c r="G37">
        <v>160.81510900000001</v>
      </c>
      <c r="H37">
        <v>117467900</v>
      </c>
      <c r="J37">
        <f t="shared" si="0"/>
        <v>2.9273684751594154E-3</v>
      </c>
      <c r="L37" t="s">
        <v>26</v>
      </c>
    </row>
    <row r="38" spans="2:14" x14ac:dyDescent="0.3">
      <c r="B38">
        <v>44523</v>
      </c>
      <c r="C38">
        <v>161.11999499999999</v>
      </c>
      <c r="D38">
        <v>161.800003</v>
      </c>
      <c r="E38">
        <v>159.05999800000001</v>
      </c>
      <c r="F38">
        <v>161.41000399999999</v>
      </c>
      <c r="G38">
        <v>161.20462000000001</v>
      </c>
      <c r="H38">
        <v>96041900</v>
      </c>
      <c r="J38">
        <f t="shared" si="0"/>
        <v>2.4221045051183517E-3</v>
      </c>
      <c r="L38" t="s">
        <v>27</v>
      </c>
    </row>
    <row r="39" spans="2:14" x14ac:dyDescent="0.3">
      <c r="B39">
        <v>44524</v>
      </c>
      <c r="C39">
        <v>160.75</v>
      </c>
      <c r="D39">
        <v>162.13999899999999</v>
      </c>
      <c r="E39">
        <v>159.63999899999999</v>
      </c>
      <c r="F39">
        <v>161.94000199999999</v>
      </c>
      <c r="G39">
        <v>161.733948</v>
      </c>
      <c r="H39">
        <v>69463600</v>
      </c>
      <c r="J39">
        <f t="shared" si="0"/>
        <v>3.2835783490571947E-3</v>
      </c>
      <c r="L39" t="s">
        <v>28</v>
      </c>
      <c r="N39">
        <v>0.01</v>
      </c>
    </row>
    <row r="40" spans="2:14" x14ac:dyDescent="0.3">
      <c r="B40">
        <v>44526</v>
      </c>
      <c r="C40">
        <v>159.570007</v>
      </c>
      <c r="D40">
        <v>160.449997</v>
      </c>
      <c r="E40">
        <v>156.36000100000001</v>
      </c>
      <c r="F40">
        <v>156.80999800000001</v>
      </c>
      <c r="G40">
        <v>156.61047400000001</v>
      </c>
      <c r="H40">
        <v>76959800</v>
      </c>
      <c r="J40">
        <f t="shared" si="0"/>
        <v>-3.1678408048259526E-2</v>
      </c>
      <c r="L40" t="s">
        <v>29</v>
      </c>
      <c r="N40">
        <v>0</v>
      </c>
    </row>
    <row r="41" spans="2:14" x14ac:dyDescent="0.3">
      <c r="B41">
        <v>44529</v>
      </c>
      <c r="C41">
        <v>159.36999499999999</v>
      </c>
      <c r="D41">
        <v>161.19000199999999</v>
      </c>
      <c r="E41">
        <v>158.78999300000001</v>
      </c>
      <c r="F41">
        <v>160.240005</v>
      </c>
      <c r="G41">
        <v>160.036102</v>
      </c>
      <c r="H41">
        <v>88748200</v>
      </c>
      <c r="J41">
        <f t="shared" si="0"/>
        <v>2.1873556170962032E-2</v>
      </c>
    </row>
    <row r="42" spans="2:14" x14ac:dyDescent="0.3">
      <c r="B42">
        <v>44530</v>
      </c>
      <c r="C42">
        <v>159.990005</v>
      </c>
      <c r="D42">
        <v>165.520004</v>
      </c>
      <c r="E42">
        <v>159.91999799999999</v>
      </c>
      <c r="F42">
        <v>165.300003</v>
      </c>
      <c r="G42">
        <v>165.089676</v>
      </c>
      <c r="H42">
        <v>174048100</v>
      </c>
      <c r="J42">
        <f t="shared" si="0"/>
        <v>3.1577712383921958E-2</v>
      </c>
    </row>
    <row r="43" spans="2:14" x14ac:dyDescent="0.3">
      <c r="B43">
        <v>44531</v>
      </c>
      <c r="C43">
        <v>167.479996</v>
      </c>
      <c r="D43">
        <v>170.300003</v>
      </c>
      <c r="E43">
        <v>164.529999</v>
      </c>
      <c r="F43">
        <v>164.770004</v>
      </c>
      <c r="G43">
        <v>164.560349</v>
      </c>
      <c r="H43">
        <v>152052500</v>
      </c>
      <c r="J43">
        <f t="shared" si="0"/>
        <v>-3.2062998294332774E-3</v>
      </c>
    </row>
    <row r="44" spans="2:14" x14ac:dyDescent="0.3">
      <c r="B44">
        <v>44532</v>
      </c>
      <c r="C44">
        <v>158.740005</v>
      </c>
      <c r="D44">
        <v>164.199997</v>
      </c>
      <c r="E44">
        <v>157.800003</v>
      </c>
      <c r="F44">
        <v>163.759995</v>
      </c>
      <c r="G44">
        <v>163.55162000000001</v>
      </c>
      <c r="H44">
        <v>136739200</v>
      </c>
      <c r="J44">
        <f t="shared" si="0"/>
        <v>-6.1298423716881411E-3</v>
      </c>
    </row>
    <row r="45" spans="2:14" x14ac:dyDescent="0.3">
      <c r="B45">
        <v>44533</v>
      </c>
      <c r="C45">
        <v>164.020004</v>
      </c>
      <c r="D45">
        <v>164.96000699999999</v>
      </c>
      <c r="E45">
        <v>159.720001</v>
      </c>
      <c r="F45">
        <v>161.83999600000001</v>
      </c>
      <c r="G45">
        <v>161.634064</v>
      </c>
      <c r="H45">
        <v>118023100</v>
      </c>
      <c r="J45">
        <f t="shared" si="0"/>
        <v>-1.1724469620050347E-2</v>
      </c>
    </row>
    <row r="46" spans="2:14" x14ac:dyDescent="0.3">
      <c r="B46">
        <v>44536</v>
      </c>
      <c r="C46">
        <v>164.28999300000001</v>
      </c>
      <c r="D46">
        <v>167.88000500000001</v>
      </c>
      <c r="E46">
        <v>164.279999</v>
      </c>
      <c r="F46">
        <v>165.320007</v>
      </c>
      <c r="G46">
        <v>165.10964999999999</v>
      </c>
      <c r="H46">
        <v>107497000</v>
      </c>
      <c r="J46">
        <f t="shared" si="0"/>
        <v>2.1502806487622515E-2</v>
      </c>
    </row>
    <row r="47" spans="2:14" x14ac:dyDescent="0.3">
      <c r="B47">
        <v>44537</v>
      </c>
      <c r="C47">
        <v>169.08000200000001</v>
      </c>
      <c r="D47">
        <v>171.58000200000001</v>
      </c>
      <c r="E47">
        <v>168.33999600000001</v>
      </c>
      <c r="F47">
        <v>171.179993</v>
      </c>
      <c r="G47">
        <v>170.96217300000001</v>
      </c>
      <c r="H47">
        <v>120405400</v>
      </c>
      <c r="J47">
        <f t="shared" si="0"/>
        <v>3.5446280698917476E-2</v>
      </c>
    </row>
    <row r="48" spans="2:14" x14ac:dyDescent="0.3">
      <c r="B48">
        <v>44538</v>
      </c>
      <c r="C48">
        <v>172.13000500000001</v>
      </c>
      <c r="D48">
        <v>175.96000699999999</v>
      </c>
      <c r="E48">
        <v>170.699997</v>
      </c>
      <c r="F48">
        <v>175.08000200000001</v>
      </c>
      <c r="G48">
        <v>174.857224</v>
      </c>
      <c r="H48">
        <v>116998900</v>
      </c>
      <c r="J48">
        <f t="shared" si="0"/>
        <v>2.2783115888448582E-2</v>
      </c>
    </row>
    <row r="49" spans="2:10" x14ac:dyDescent="0.3">
      <c r="B49">
        <v>44539</v>
      </c>
      <c r="C49">
        <v>174.91000399999999</v>
      </c>
      <c r="D49">
        <v>176.75</v>
      </c>
      <c r="E49">
        <v>173.91999799999999</v>
      </c>
      <c r="F49">
        <v>174.55999800000001</v>
      </c>
      <c r="G49">
        <v>174.337875</v>
      </c>
      <c r="H49">
        <v>108923700</v>
      </c>
      <c r="J49">
        <f t="shared" si="0"/>
        <v>-2.9701317916382189E-3</v>
      </c>
    </row>
    <row r="50" spans="2:10" x14ac:dyDescent="0.3">
      <c r="B50">
        <v>44540</v>
      </c>
      <c r="C50">
        <v>175.21000699999999</v>
      </c>
      <c r="D50">
        <v>179.63000500000001</v>
      </c>
      <c r="E50">
        <v>174.69000199999999</v>
      </c>
      <c r="F50">
        <v>179.449997</v>
      </c>
      <c r="G50">
        <v>179.221664</v>
      </c>
      <c r="H50">
        <v>115402700</v>
      </c>
      <c r="J50">
        <f t="shared" si="0"/>
        <v>2.8013356248606375E-2</v>
      </c>
    </row>
    <row r="51" spans="2:10" x14ac:dyDescent="0.3">
      <c r="B51">
        <v>44543</v>
      </c>
      <c r="C51">
        <v>181.11999499999999</v>
      </c>
      <c r="D51">
        <v>182.13000500000001</v>
      </c>
      <c r="E51">
        <v>175.529999</v>
      </c>
      <c r="F51">
        <v>175.740005</v>
      </c>
      <c r="G51">
        <v>175.51638800000001</v>
      </c>
      <c r="H51">
        <v>153237000</v>
      </c>
      <c r="J51">
        <f t="shared" si="0"/>
        <v>-2.0674264022010183E-2</v>
      </c>
    </row>
    <row r="52" spans="2:10" x14ac:dyDescent="0.3">
      <c r="B52">
        <v>44544</v>
      </c>
      <c r="C52">
        <v>175.25</v>
      </c>
      <c r="D52">
        <v>177.740005</v>
      </c>
      <c r="E52">
        <v>172.21000699999999</v>
      </c>
      <c r="F52">
        <v>174.33000200000001</v>
      </c>
      <c r="G52">
        <v>174.10818499999999</v>
      </c>
      <c r="H52">
        <v>139380400</v>
      </c>
      <c r="J52">
        <f t="shared" si="0"/>
        <v>-8.0231995202636828E-3</v>
      </c>
    </row>
    <row r="53" spans="2:10" x14ac:dyDescent="0.3">
      <c r="B53">
        <v>44545</v>
      </c>
      <c r="C53">
        <v>175.11000100000001</v>
      </c>
      <c r="D53">
        <v>179.5</v>
      </c>
      <c r="E53">
        <v>172.30999800000001</v>
      </c>
      <c r="F53">
        <v>179.300003</v>
      </c>
      <c r="G53">
        <v>179.071854</v>
      </c>
      <c r="H53">
        <v>131063300</v>
      </c>
      <c r="J53">
        <f t="shared" si="0"/>
        <v>2.8509107713689683E-2</v>
      </c>
    </row>
    <row r="54" spans="2:10" x14ac:dyDescent="0.3">
      <c r="B54">
        <v>44546</v>
      </c>
      <c r="C54">
        <v>179.279999</v>
      </c>
      <c r="D54">
        <v>181.13999899999999</v>
      </c>
      <c r="E54">
        <v>170.75</v>
      </c>
      <c r="F54">
        <v>172.259995</v>
      </c>
      <c r="G54">
        <v>172.04080200000001</v>
      </c>
      <c r="H54">
        <v>150185800</v>
      </c>
      <c r="J54">
        <f t="shared" si="0"/>
        <v>-3.9263858852994216E-2</v>
      </c>
    </row>
    <row r="55" spans="2:10" x14ac:dyDescent="0.3">
      <c r="B55">
        <v>44547</v>
      </c>
      <c r="C55">
        <v>169.929993</v>
      </c>
      <c r="D55">
        <v>173.470001</v>
      </c>
      <c r="E55">
        <v>169.69000199999999</v>
      </c>
      <c r="F55">
        <v>171.13999899999999</v>
      </c>
      <c r="G55">
        <v>170.92224100000001</v>
      </c>
      <c r="H55">
        <v>195432700</v>
      </c>
      <c r="J55">
        <f t="shared" si="0"/>
        <v>-6.5017192840103105E-3</v>
      </c>
    </row>
    <row r="56" spans="2:10" x14ac:dyDescent="0.3">
      <c r="B56">
        <v>44550</v>
      </c>
      <c r="C56">
        <v>168.279999</v>
      </c>
      <c r="D56">
        <v>170.58000200000001</v>
      </c>
      <c r="E56">
        <v>167.46000699999999</v>
      </c>
      <c r="F56">
        <v>169.75</v>
      </c>
      <c r="G56">
        <v>169.533997</v>
      </c>
      <c r="H56">
        <v>107499100</v>
      </c>
      <c r="J56">
        <f t="shared" si="0"/>
        <v>-8.1220793261189122E-3</v>
      </c>
    </row>
    <row r="57" spans="2:10" x14ac:dyDescent="0.3">
      <c r="B57">
        <v>44551</v>
      </c>
      <c r="C57">
        <v>171.55999800000001</v>
      </c>
      <c r="D57">
        <v>173.199997</v>
      </c>
      <c r="E57">
        <v>169.11999499999999</v>
      </c>
      <c r="F57">
        <v>172.990005</v>
      </c>
      <c r="G57">
        <v>172.769882</v>
      </c>
      <c r="H57">
        <v>91185900</v>
      </c>
      <c r="J57">
        <f t="shared" si="0"/>
        <v>1.9086938651012849E-2</v>
      </c>
    </row>
    <row r="58" spans="2:10" x14ac:dyDescent="0.3">
      <c r="B58">
        <v>44552</v>
      </c>
      <c r="C58">
        <v>173.03999300000001</v>
      </c>
      <c r="D58">
        <v>175.86000100000001</v>
      </c>
      <c r="E58">
        <v>172.14999399999999</v>
      </c>
      <c r="F58">
        <v>175.63999899999999</v>
      </c>
      <c r="G58">
        <v>175.416504</v>
      </c>
      <c r="H58">
        <v>92135300</v>
      </c>
      <c r="J58">
        <f t="shared" si="0"/>
        <v>1.5318769506365744E-2</v>
      </c>
    </row>
    <row r="59" spans="2:10" x14ac:dyDescent="0.3">
      <c r="B59">
        <v>44553</v>
      </c>
      <c r="C59">
        <v>175.85000600000001</v>
      </c>
      <c r="D59">
        <v>176.85000600000001</v>
      </c>
      <c r="E59">
        <v>175.270004</v>
      </c>
      <c r="F59">
        <v>176.279999</v>
      </c>
      <c r="G59">
        <v>176.05569499999999</v>
      </c>
      <c r="H59">
        <v>68356600</v>
      </c>
      <c r="J59">
        <f t="shared" si="0"/>
        <v>3.6438475595202977E-3</v>
      </c>
    </row>
    <row r="60" spans="2:10" x14ac:dyDescent="0.3">
      <c r="B60">
        <v>44557</v>
      </c>
      <c r="C60">
        <v>177.08999600000001</v>
      </c>
      <c r="D60">
        <v>180.41999799999999</v>
      </c>
      <c r="E60">
        <v>177.070007</v>
      </c>
      <c r="F60">
        <v>180.33000200000001</v>
      </c>
      <c r="G60">
        <v>180.10054</v>
      </c>
      <c r="H60">
        <v>74919600</v>
      </c>
      <c r="J60">
        <f t="shared" si="0"/>
        <v>2.2974803513172406E-2</v>
      </c>
    </row>
    <row r="61" spans="2:10" x14ac:dyDescent="0.3">
      <c r="B61">
        <v>44558</v>
      </c>
      <c r="C61">
        <v>180.16000399999999</v>
      </c>
      <c r="D61">
        <v>181.33000200000001</v>
      </c>
      <c r="E61">
        <v>178.529999</v>
      </c>
      <c r="F61">
        <v>179.28999300000001</v>
      </c>
      <c r="G61">
        <v>179.061859</v>
      </c>
      <c r="H61">
        <v>79144300</v>
      </c>
      <c r="J61">
        <f t="shared" si="0"/>
        <v>-5.7672286823792808E-3</v>
      </c>
    </row>
    <row r="62" spans="2:10" x14ac:dyDescent="0.3">
      <c r="B62">
        <v>44559</v>
      </c>
      <c r="C62">
        <v>179.33000200000001</v>
      </c>
      <c r="D62">
        <v>180.63000500000001</v>
      </c>
      <c r="E62">
        <v>178.13999899999999</v>
      </c>
      <c r="F62">
        <v>179.38000500000001</v>
      </c>
      <c r="G62">
        <v>179.151749</v>
      </c>
      <c r="H62">
        <v>62348900</v>
      </c>
      <c r="J62">
        <f t="shared" si="0"/>
        <v>5.0200528745765406E-4</v>
      </c>
    </row>
    <row r="63" spans="2:10" x14ac:dyDescent="0.3">
      <c r="B63">
        <v>44560</v>
      </c>
      <c r="C63">
        <v>179.470001</v>
      </c>
      <c r="D63">
        <v>180.570007</v>
      </c>
      <c r="E63">
        <v>178.08999600000001</v>
      </c>
      <c r="F63">
        <v>178.199997</v>
      </c>
      <c r="G63">
        <v>177.973251</v>
      </c>
      <c r="H63">
        <v>59773000</v>
      </c>
      <c r="J63">
        <f t="shared" si="0"/>
        <v>-6.5782109668378989E-3</v>
      </c>
    </row>
    <row r="64" spans="2:10" x14ac:dyDescent="0.3">
      <c r="B64">
        <v>44561</v>
      </c>
      <c r="C64">
        <v>178.08999600000001</v>
      </c>
      <c r="D64">
        <v>179.229996</v>
      </c>
      <c r="E64">
        <v>177.259995</v>
      </c>
      <c r="F64">
        <v>177.570007</v>
      </c>
      <c r="G64">
        <v>177.344055</v>
      </c>
      <c r="H64">
        <v>64062300</v>
      </c>
      <c r="J64">
        <f t="shared" si="0"/>
        <v>-3.5353402630151844E-3</v>
      </c>
    </row>
    <row r="65" spans="2:10" x14ac:dyDescent="0.3">
      <c r="B65">
        <v>44564</v>
      </c>
      <c r="C65">
        <v>177.83000200000001</v>
      </c>
      <c r="D65">
        <v>182.88000500000001</v>
      </c>
      <c r="E65">
        <v>177.71000699999999</v>
      </c>
      <c r="F65">
        <v>182.009995</v>
      </c>
      <c r="G65">
        <v>181.77839700000001</v>
      </c>
      <c r="H65">
        <v>104487900</v>
      </c>
      <c r="J65">
        <f t="shared" si="0"/>
        <v>2.5004176204271495E-2</v>
      </c>
    </row>
    <row r="66" spans="2:10" x14ac:dyDescent="0.3">
      <c r="B66">
        <v>44565</v>
      </c>
      <c r="C66">
        <v>182.63000500000001</v>
      </c>
      <c r="D66">
        <v>182.94000199999999</v>
      </c>
      <c r="E66">
        <v>179.11999499999999</v>
      </c>
      <c r="F66">
        <v>179.699997</v>
      </c>
      <c r="G66">
        <v>179.47134399999999</v>
      </c>
      <c r="H66">
        <v>99310400</v>
      </c>
      <c r="J66">
        <f t="shared" si="0"/>
        <v>-1.2691568624626086E-2</v>
      </c>
    </row>
    <row r="67" spans="2:10" x14ac:dyDescent="0.3">
      <c r="B67">
        <v>44566</v>
      </c>
      <c r="C67">
        <v>179.61000100000001</v>
      </c>
      <c r="D67">
        <v>180.16999799999999</v>
      </c>
      <c r="E67">
        <v>174.63999899999999</v>
      </c>
      <c r="F67">
        <v>174.91999799999999</v>
      </c>
      <c r="G67">
        <v>174.697418</v>
      </c>
      <c r="H67">
        <v>94537600</v>
      </c>
      <c r="J67">
        <f t="shared" si="0"/>
        <v>-2.6599934527709278E-2</v>
      </c>
    </row>
    <row r="68" spans="2:10" x14ac:dyDescent="0.3">
      <c r="B68">
        <v>44567</v>
      </c>
      <c r="C68">
        <v>172.699997</v>
      </c>
      <c r="D68">
        <v>175.300003</v>
      </c>
      <c r="E68">
        <v>171.63999899999999</v>
      </c>
      <c r="F68">
        <v>172</v>
      </c>
      <c r="G68">
        <v>171.78114299999999</v>
      </c>
      <c r="H68">
        <v>96904000</v>
      </c>
      <c r="J68">
        <f t="shared" si="0"/>
        <v>-1.6693291940926187E-2</v>
      </c>
    </row>
    <row r="69" spans="2:10" x14ac:dyDescent="0.3">
      <c r="B69">
        <v>44568</v>
      </c>
      <c r="C69">
        <v>172.88999899999999</v>
      </c>
      <c r="D69">
        <v>174.13999899999999</v>
      </c>
      <c r="E69">
        <v>171.029999</v>
      </c>
      <c r="F69">
        <v>172.16999799999999</v>
      </c>
      <c r="G69">
        <v>171.950928</v>
      </c>
      <c r="H69">
        <v>86709100</v>
      </c>
      <c r="J69">
        <f t="shared" si="0"/>
        <v>9.8837973152861563E-4</v>
      </c>
    </row>
    <row r="70" spans="2:10" x14ac:dyDescent="0.3">
      <c r="B70">
        <v>44571</v>
      </c>
      <c r="C70">
        <v>169.08000200000001</v>
      </c>
      <c r="D70">
        <v>172.5</v>
      </c>
      <c r="E70">
        <v>168.16999799999999</v>
      </c>
      <c r="F70">
        <v>172.19000199999999</v>
      </c>
      <c r="G70">
        <v>171.970901</v>
      </c>
      <c r="H70">
        <v>106765600</v>
      </c>
      <c r="J70">
        <f t="shared" si="0"/>
        <v>1.1615523238114269E-4</v>
      </c>
    </row>
    <row r="71" spans="2:10" x14ac:dyDescent="0.3">
      <c r="B71">
        <v>44572</v>
      </c>
      <c r="C71">
        <v>172.320007</v>
      </c>
      <c r="D71">
        <v>175.179993</v>
      </c>
      <c r="E71">
        <v>170.820007</v>
      </c>
      <c r="F71">
        <v>175.08000200000001</v>
      </c>
      <c r="G71">
        <v>174.857224</v>
      </c>
      <c r="H71">
        <v>76138300</v>
      </c>
      <c r="J71">
        <f t="shared" si="0"/>
        <v>1.6783787159433471E-2</v>
      </c>
    </row>
    <row r="72" spans="2:10" x14ac:dyDescent="0.3">
      <c r="B72">
        <v>44573</v>
      </c>
      <c r="C72">
        <v>176.11999499999999</v>
      </c>
      <c r="D72">
        <v>177.179993</v>
      </c>
      <c r="E72">
        <v>174.820007</v>
      </c>
      <c r="F72">
        <v>175.529999</v>
      </c>
      <c r="G72">
        <v>175.30664100000001</v>
      </c>
      <c r="H72">
        <v>74805200</v>
      </c>
      <c r="J72">
        <f t="shared" ref="J72:J131" si="1">(G72-G71)/G71</f>
        <v>2.5701940687335345E-3</v>
      </c>
    </row>
    <row r="73" spans="2:10" x14ac:dyDescent="0.3">
      <c r="B73">
        <v>44574</v>
      </c>
      <c r="C73">
        <v>175.779999</v>
      </c>
      <c r="D73">
        <v>176.61999499999999</v>
      </c>
      <c r="E73">
        <v>171.78999300000001</v>
      </c>
      <c r="F73">
        <v>172.19000199999999</v>
      </c>
      <c r="G73">
        <v>171.970901</v>
      </c>
      <c r="H73">
        <v>84505800</v>
      </c>
      <c r="J73">
        <f t="shared" si="1"/>
        <v>-1.9028029862257274E-2</v>
      </c>
    </row>
    <row r="74" spans="2:10" x14ac:dyDescent="0.3">
      <c r="B74">
        <v>44575</v>
      </c>
      <c r="C74">
        <v>171.33999600000001</v>
      </c>
      <c r="D74">
        <v>173.779999</v>
      </c>
      <c r="E74">
        <v>171.08999600000001</v>
      </c>
      <c r="F74">
        <v>173.070007</v>
      </c>
      <c r="G74">
        <v>172.84979200000001</v>
      </c>
      <c r="H74">
        <v>80440800</v>
      </c>
      <c r="J74">
        <f t="shared" si="1"/>
        <v>5.1106960240907854E-3</v>
      </c>
    </row>
    <row r="75" spans="2:10" x14ac:dyDescent="0.3">
      <c r="B75">
        <v>44579</v>
      </c>
      <c r="C75">
        <v>171.509995</v>
      </c>
      <c r="D75">
        <v>172.53999300000001</v>
      </c>
      <c r="E75">
        <v>169.41000399999999</v>
      </c>
      <c r="F75">
        <v>169.800003</v>
      </c>
      <c r="G75">
        <v>169.58393899999999</v>
      </c>
      <c r="H75">
        <v>90956700</v>
      </c>
      <c r="J75">
        <f t="shared" si="1"/>
        <v>-1.8894167949013333E-2</v>
      </c>
    </row>
    <row r="76" spans="2:10" x14ac:dyDescent="0.3">
      <c r="B76">
        <v>44580</v>
      </c>
      <c r="C76">
        <v>170</v>
      </c>
      <c r="D76">
        <v>171.08000200000001</v>
      </c>
      <c r="E76">
        <v>165.94000199999999</v>
      </c>
      <c r="F76">
        <v>166.229996</v>
      </c>
      <c r="G76">
        <v>166.01847799999999</v>
      </c>
      <c r="H76">
        <v>94815000</v>
      </c>
      <c r="J76">
        <f t="shared" si="1"/>
        <v>-2.1024756359739938E-2</v>
      </c>
    </row>
    <row r="77" spans="2:10" x14ac:dyDescent="0.3">
      <c r="B77">
        <v>44581</v>
      </c>
      <c r="C77">
        <v>166.979996</v>
      </c>
      <c r="D77">
        <v>169.679993</v>
      </c>
      <c r="E77">
        <v>164.179993</v>
      </c>
      <c r="F77">
        <v>164.509995</v>
      </c>
      <c r="G77">
        <v>164.300659</v>
      </c>
      <c r="H77">
        <v>91420500</v>
      </c>
      <c r="J77">
        <f t="shared" si="1"/>
        <v>-1.0347155453382675E-2</v>
      </c>
    </row>
    <row r="78" spans="2:10" x14ac:dyDescent="0.3">
      <c r="B78">
        <v>44582</v>
      </c>
      <c r="C78">
        <v>164.41999799999999</v>
      </c>
      <c r="D78">
        <v>166.33000200000001</v>
      </c>
      <c r="E78">
        <v>162.300003</v>
      </c>
      <c r="F78">
        <v>162.41000399999999</v>
      </c>
      <c r="G78">
        <v>162.20335399999999</v>
      </c>
      <c r="H78">
        <v>122848900</v>
      </c>
      <c r="J78">
        <f t="shared" si="1"/>
        <v>-1.2765043139601806E-2</v>
      </c>
    </row>
    <row r="79" spans="2:10" x14ac:dyDescent="0.3">
      <c r="B79">
        <v>44585</v>
      </c>
      <c r="C79">
        <v>160.020004</v>
      </c>
      <c r="D79">
        <v>162.300003</v>
      </c>
      <c r="E79">
        <v>154.699997</v>
      </c>
      <c r="F79">
        <v>161.61999499999999</v>
      </c>
      <c r="G79">
        <v>161.41433699999999</v>
      </c>
      <c r="H79">
        <v>162294600</v>
      </c>
      <c r="J79">
        <f t="shared" si="1"/>
        <v>-4.864369204104135E-3</v>
      </c>
    </row>
    <row r="80" spans="2:10" x14ac:dyDescent="0.3">
      <c r="B80">
        <v>44586</v>
      </c>
      <c r="C80">
        <v>158.979996</v>
      </c>
      <c r="D80">
        <v>162.759995</v>
      </c>
      <c r="E80">
        <v>157.020004</v>
      </c>
      <c r="F80">
        <v>159.779999</v>
      </c>
      <c r="G80">
        <v>159.57669100000001</v>
      </c>
      <c r="H80">
        <v>115798400</v>
      </c>
      <c r="J80">
        <f t="shared" si="1"/>
        <v>-1.138465166201425E-2</v>
      </c>
    </row>
    <row r="81" spans="2:10" x14ac:dyDescent="0.3">
      <c r="B81">
        <v>44587</v>
      </c>
      <c r="C81">
        <v>163.5</v>
      </c>
      <c r="D81">
        <v>164.38999899999999</v>
      </c>
      <c r="E81">
        <v>157.820007</v>
      </c>
      <c r="F81">
        <v>159.69000199999999</v>
      </c>
      <c r="G81">
        <v>159.48680100000001</v>
      </c>
      <c r="H81">
        <v>108275300</v>
      </c>
      <c r="J81">
        <f t="shared" si="1"/>
        <v>-5.6330281970815466E-4</v>
      </c>
    </row>
    <row r="82" spans="2:10" x14ac:dyDescent="0.3">
      <c r="B82">
        <v>44588</v>
      </c>
      <c r="C82">
        <v>162.449997</v>
      </c>
      <c r="D82">
        <v>163.83999600000001</v>
      </c>
      <c r="E82">
        <v>158.279999</v>
      </c>
      <c r="F82">
        <v>159.220001</v>
      </c>
      <c r="G82">
        <v>159.01741000000001</v>
      </c>
      <c r="H82">
        <v>121954600</v>
      </c>
      <c r="J82">
        <f t="shared" si="1"/>
        <v>-2.9431338333759773E-3</v>
      </c>
    </row>
    <row r="83" spans="2:10" x14ac:dyDescent="0.3">
      <c r="B83">
        <v>44589</v>
      </c>
      <c r="C83">
        <v>165.71000699999999</v>
      </c>
      <c r="D83">
        <v>170.35000600000001</v>
      </c>
      <c r="E83">
        <v>162.800003</v>
      </c>
      <c r="F83">
        <v>170.33000200000001</v>
      </c>
      <c r="G83">
        <v>170.11326600000001</v>
      </c>
      <c r="H83">
        <v>179935700</v>
      </c>
      <c r="J83">
        <f t="shared" si="1"/>
        <v>6.9777617431952876E-2</v>
      </c>
    </row>
    <row r="84" spans="2:10" x14ac:dyDescent="0.3">
      <c r="B84">
        <v>44592</v>
      </c>
      <c r="C84">
        <v>170.16000399999999</v>
      </c>
      <c r="D84">
        <v>175</v>
      </c>
      <c r="E84">
        <v>169.509995</v>
      </c>
      <c r="F84">
        <v>174.779999</v>
      </c>
      <c r="G84">
        <v>174.557602</v>
      </c>
      <c r="H84">
        <v>115541600</v>
      </c>
      <c r="J84">
        <f t="shared" si="1"/>
        <v>2.6125746124937677E-2</v>
      </c>
    </row>
    <row r="85" spans="2:10" x14ac:dyDescent="0.3">
      <c r="B85">
        <v>44593</v>
      </c>
      <c r="C85">
        <v>174.009995</v>
      </c>
      <c r="D85">
        <v>174.83999600000001</v>
      </c>
      <c r="E85">
        <v>172.30999800000001</v>
      </c>
      <c r="F85">
        <v>174.61000100000001</v>
      </c>
      <c r="G85">
        <v>174.38781700000001</v>
      </c>
      <c r="H85">
        <v>86213900</v>
      </c>
      <c r="J85">
        <f t="shared" si="1"/>
        <v>-9.7265887050848869E-4</v>
      </c>
    </row>
    <row r="86" spans="2:10" x14ac:dyDescent="0.3">
      <c r="B86">
        <v>44594</v>
      </c>
      <c r="C86">
        <v>174.75</v>
      </c>
      <c r="D86">
        <v>175.88000500000001</v>
      </c>
      <c r="E86">
        <v>173.33000200000001</v>
      </c>
      <c r="F86">
        <v>175.83999600000001</v>
      </c>
      <c r="G86">
        <v>175.61625699999999</v>
      </c>
      <c r="H86">
        <v>84914300</v>
      </c>
      <c r="J86">
        <f t="shared" si="1"/>
        <v>7.0442994306189272E-3</v>
      </c>
    </row>
    <row r="87" spans="2:10" x14ac:dyDescent="0.3">
      <c r="B87">
        <v>44595</v>
      </c>
      <c r="C87">
        <v>174.479996</v>
      </c>
      <c r="D87">
        <v>176.240005</v>
      </c>
      <c r="E87">
        <v>172.11999499999999</v>
      </c>
      <c r="F87">
        <v>172.89999399999999</v>
      </c>
      <c r="G87">
        <v>172.679993</v>
      </c>
      <c r="H87">
        <v>89418100</v>
      </c>
      <c r="J87">
        <f t="shared" si="1"/>
        <v>-1.671977327247098E-2</v>
      </c>
    </row>
    <row r="88" spans="2:10" x14ac:dyDescent="0.3">
      <c r="B88">
        <v>44596</v>
      </c>
      <c r="C88">
        <v>171.679993</v>
      </c>
      <c r="D88">
        <v>174.10000600000001</v>
      </c>
      <c r="E88">
        <v>170.679993</v>
      </c>
      <c r="F88">
        <v>172.38999899999999</v>
      </c>
      <c r="G88">
        <v>172.38999899999999</v>
      </c>
      <c r="H88">
        <v>82465400</v>
      </c>
      <c r="J88">
        <f t="shared" si="1"/>
        <v>-1.6793723173246086E-3</v>
      </c>
    </row>
    <row r="89" spans="2:10" x14ac:dyDescent="0.3">
      <c r="B89">
        <v>44599</v>
      </c>
      <c r="C89">
        <v>172.86000100000001</v>
      </c>
      <c r="D89">
        <v>173.949997</v>
      </c>
      <c r="E89">
        <v>170.949997</v>
      </c>
      <c r="F89">
        <v>171.66000399999999</v>
      </c>
      <c r="G89">
        <v>171.66000399999999</v>
      </c>
      <c r="H89">
        <v>77251200</v>
      </c>
      <c r="J89">
        <f t="shared" si="1"/>
        <v>-4.2345553932046981E-3</v>
      </c>
    </row>
    <row r="90" spans="2:10" x14ac:dyDescent="0.3">
      <c r="B90">
        <v>44600</v>
      </c>
      <c r="C90">
        <v>171.729996</v>
      </c>
      <c r="D90">
        <v>175.35000600000001</v>
      </c>
      <c r="E90">
        <v>171.429993</v>
      </c>
      <c r="F90">
        <v>174.83000200000001</v>
      </c>
      <c r="G90">
        <v>174.83000200000001</v>
      </c>
      <c r="H90">
        <v>74829200</v>
      </c>
      <c r="J90">
        <f t="shared" si="1"/>
        <v>1.8466724491046971E-2</v>
      </c>
    </row>
    <row r="91" spans="2:10" x14ac:dyDescent="0.3">
      <c r="B91">
        <v>44601</v>
      </c>
      <c r="C91">
        <v>176.050003</v>
      </c>
      <c r="D91">
        <v>176.64999399999999</v>
      </c>
      <c r="E91">
        <v>174.89999399999999</v>
      </c>
      <c r="F91">
        <v>176.279999</v>
      </c>
      <c r="G91">
        <v>176.279999</v>
      </c>
      <c r="H91">
        <v>71285000</v>
      </c>
      <c r="J91">
        <f t="shared" si="1"/>
        <v>8.2937538375135178E-3</v>
      </c>
    </row>
    <row r="92" spans="2:10" x14ac:dyDescent="0.3">
      <c r="B92">
        <v>44602</v>
      </c>
      <c r="C92">
        <v>174.13999899999999</v>
      </c>
      <c r="D92">
        <v>175.479996</v>
      </c>
      <c r="E92">
        <v>171.550003</v>
      </c>
      <c r="F92">
        <v>172.11999499999999</v>
      </c>
      <c r="G92">
        <v>172.11999499999999</v>
      </c>
      <c r="H92">
        <v>90865900</v>
      </c>
      <c r="J92">
        <f t="shared" si="1"/>
        <v>-2.3598842884041626E-2</v>
      </c>
    </row>
    <row r="93" spans="2:10" x14ac:dyDescent="0.3">
      <c r="B93">
        <v>44603</v>
      </c>
      <c r="C93">
        <v>172.33000200000001</v>
      </c>
      <c r="D93">
        <v>173.08000200000001</v>
      </c>
      <c r="E93">
        <v>168.03999300000001</v>
      </c>
      <c r="F93">
        <v>168.63999899999999</v>
      </c>
      <c r="G93">
        <v>168.63999899999999</v>
      </c>
      <c r="H93">
        <v>98670700</v>
      </c>
      <c r="J93">
        <f t="shared" si="1"/>
        <v>-2.0218429590356427E-2</v>
      </c>
    </row>
    <row r="94" spans="2:10" x14ac:dyDescent="0.3">
      <c r="B94">
        <v>44606</v>
      </c>
      <c r="C94">
        <v>167.36999499999999</v>
      </c>
      <c r="D94">
        <v>169.58000200000001</v>
      </c>
      <c r="E94">
        <v>166.55999800000001</v>
      </c>
      <c r="F94">
        <v>168.88000500000001</v>
      </c>
      <c r="G94">
        <v>168.88000500000001</v>
      </c>
      <c r="H94">
        <v>86185500</v>
      </c>
      <c r="J94">
        <f t="shared" si="1"/>
        <v>1.4231854923102934E-3</v>
      </c>
    </row>
    <row r="95" spans="2:10" x14ac:dyDescent="0.3">
      <c r="B95">
        <v>44607</v>
      </c>
      <c r="C95">
        <v>170.970001</v>
      </c>
      <c r="D95">
        <v>172.949997</v>
      </c>
      <c r="E95">
        <v>170.25</v>
      </c>
      <c r="F95">
        <v>172.78999300000001</v>
      </c>
      <c r="G95">
        <v>172.78999300000001</v>
      </c>
      <c r="H95">
        <v>62527400</v>
      </c>
      <c r="J95">
        <f t="shared" si="1"/>
        <v>2.3152462602070614E-2</v>
      </c>
    </row>
    <row r="96" spans="2:10" x14ac:dyDescent="0.3">
      <c r="B96">
        <v>44608</v>
      </c>
      <c r="C96">
        <v>171.85000600000001</v>
      </c>
      <c r="D96">
        <v>173.33999600000001</v>
      </c>
      <c r="E96">
        <v>170.050003</v>
      </c>
      <c r="F96">
        <v>172.550003</v>
      </c>
      <c r="G96">
        <v>172.550003</v>
      </c>
      <c r="H96">
        <v>61177400</v>
      </c>
      <c r="J96">
        <f t="shared" si="1"/>
        <v>-1.3889114516024426E-3</v>
      </c>
    </row>
    <row r="97" spans="2:10" x14ac:dyDescent="0.3">
      <c r="B97">
        <v>44609</v>
      </c>
      <c r="C97">
        <v>171.029999</v>
      </c>
      <c r="D97">
        <v>171.91000399999999</v>
      </c>
      <c r="E97">
        <v>168.470001</v>
      </c>
      <c r="F97">
        <v>168.88000500000001</v>
      </c>
      <c r="G97">
        <v>168.88000500000001</v>
      </c>
      <c r="H97">
        <v>69589300</v>
      </c>
      <c r="J97">
        <f t="shared" si="1"/>
        <v>-2.126918537347109E-2</v>
      </c>
    </row>
    <row r="98" spans="2:10" x14ac:dyDescent="0.3">
      <c r="B98">
        <v>44610</v>
      </c>
      <c r="C98">
        <v>169.820007</v>
      </c>
      <c r="D98">
        <v>170.53999300000001</v>
      </c>
      <c r="E98">
        <v>166.19000199999999</v>
      </c>
      <c r="F98">
        <v>167.300003</v>
      </c>
      <c r="G98">
        <v>167.300003</v>
      </c>
      <c r="H98">
        <v>82772700</v>
      </c>
      <c r="J98">
        <f t="shared" si="1"/>
        <v>-9.3557671318165066E-3</v>
      </c>
    </row>
    <row r="99" spans="2:10" x14ac:dyDescent="0.3">
      <c r="B99">
        <v>44614</v>
      </c>
      <c r="C99">
        <v>164.979996</v>
      </c>
      <c r="D99">
        <v>166.69000199999999</v>
      </c>
      <c r="E99">
        <v>162.14999399999999</v>
      </c>
      <c r="F99">
        <v>164.320007</v>
      </c>
      <c r="G99">
        <v>164.320007</v>
      </c>
      <c r="H99">
        <v>91162800</v>
      </c>
      <c r="J99">
        <f t="shared" si="1"/>
        <v>-1.7812288981250046E-2</v>
      </c>
    </row>
    <row r="100" spans="2:10" x14ac:dyDescent="0.3">
      <c r="B100">
        <v>44615</v>
      </c>
      <c r="C100">
        <v>165.53999300000001</v>
      </c>
      <c r="D100">
        <v>166.14999399999999</v>
      </c>
      <c r="E100">
        <v>159.75</v>
      </c>
      <c r="F100">
        <v>160.070007</v>
      </c>
      <c r="G100">
        <v>160.070007</v>
      </c>
      <c r="H100">
        <v>90009200</v>
      </c>
      <c r="J100">
        <f t="shared" si="1"/>
        <v>-2.5864166376283079E-2</v>
      </c>
    </row>
    <row r="101" spans="2:10" x14ac:dyDescent="0.3">
      <c r="B101">
        <v>44616</v>
      </c>
      <c r="C101">
        <v>152.58000200000001</v>
      </c>
      <c r="D101">
        <v>162.85000600000001</v>
      </c>
      <c r="E101">
        <v>152</v>
      </c>
      <c r="F101">
        <v>162.740005</v>
      </c>
      <c r="G101">
        <v>162.740005</v>
      </c>
      <c r="H101">
        <v>141147500</v>
      </c>
      <c r="J101">
        <f t="shared" si="1"/>
        <v>1.6680189187472157E-2</v>
      </c>
    </row>
    <row r="102" spans="2:10" x14ac:dyDescent="0.3">
      <c r="B102">
        <v>44617</v>
      </c>
      <c r="C102">
        <v>163.83999600000001</v>
      </c>
      <c r="D102">
        <v>165.11999499999999</v>
      </c>
      <c r="E102">
        <v>160.86999499999999</v>
      </c>
      <c r="F102">
        <v>164.85000600000001</v>
      </c>
      <c r="G102">
        <v>164.85000600000001</v>
      </c>
      <c r="H102">
        <v>91974200</v>
      </c>
      <c r="J102">
        <f t="shared" si="1"/>
        <v>1.296547213452532E-2</v>
      </c>
    </row>
    <row r="103" spans="2:10" x14ac:dyDescent="0.3">
      <c r="B103">
        <v>44620</v>
      </c>
      <c r="C103">
        <v>163.05999800000001</v>
      </c>
      <c r="D103">
        <v>165.41999799999999</v>
      </c>
      <c r="E103">
        <v>162.429993</v>
      </c>
      <c r="F103">
        <v>165.11999499999999</v>
      </c>
      <c r="G103">
        <v>165.11999499999999</v>
      </c>
      <c r="H103">
        <v>95056600</v>
      </c>
      <c r="J103">
        <f t="shared" si="1"/>
        <v>1.6377858063285793E-3</v>
      </c>
    </row>
    <row r="104" spans="2:10" x14ac:dyDescent="0.3">
      <c r="B104">
        <v>44621</v>
      </c>
      <c r="C104">
        <v>164.699997</v>
      </c>
      <c r="D104">
        <v>166.60000600000001</v>
      </c>
      <c r="E104">
        <v>161.970001</v>
      </c>
      <c r="F104">
        <v>163.199997</v>
      </c>
      <c r="G104">
        <v>163.199997</v>
      </c>
      <c r="H104">
        <v>83474400</v>
      </c>
      <c r="J104">
        <f t="shared" si="1"/>
        <v>-1.1627895216445427E-2</v>
      </c>
    </row>
    <row r="105" spans="2:10" x14ac:dyDescent="0.3">
      <c r="B105">
        <v>44622</v>
      </c>
      <c r="C105">
        <v>164.38999899999999</v>
      </c>
      <c r="D105">
        <v>167.36000100000001</v>
      </c>
      <c r="E105">
        <v>162.949997</v>
      </c>
      <c r="F105">
        <v>166.55999800000001</v>
      </c>
      <c r="G105">
        <v>166.55999800000001</v>
      </c>
      <c r="H105">
        <v>79724800</v>
      </c>
      <c r="J105">
        <f t="shared" si="1"/>
        <v>2.0588241800029022E-2</v>
      </c>
    </row>
    <row r="106" spans="2:10" x14ac:dyDescent="0.3">
      <c r="B106">
        <v>44623</v>
      </c>
      <c r="C106">
        <v>168.470001</v>
      </c>
      <c r="D106">
        <v>168.91000399999999</v>
      </c>
      <c r="E106">
        <v>165.550003</v>
      </c>
      <c r="F106">
        <v>166.229996</v>
      </c>
      <c r="G106">
        <v>166.229996</v>
      </c>
      <c r="H106">
        <v>76678400</v>
      </c>
      <c r="J106">
        <f t="shared" si="1"/>
        <v>-1.9812800430029269E-3</v>
      </c>
    </row>
    <row r="107" spans="2:10" x14ac:dyDescent="0.3">
      <c r="B107">
        <v>44624</v>
      </c>
      <c r="C107">
        <v>164.490005</v>
      </c>
      <c r="D107">
        <v>165.550003</v>
      </c>
      <c r="E107">
        <v>162.10000600000001</v>
      </c>
      <c r="F107">
        <v>163.16999799999999</v>
      </c>
      <c r="G107">
        <v>163.16999799999999</v>
      </c>
      <c r="H107">
        <v>83737200</v>
      </c>
      <c r="J107">
        <f t="shared" si="1"/>
        <v>-1.8408217972886238E-2</v>
      </c>
    </row>
    <row r="108" spans="2:10" x14ac:dyDescent="0.3">
      <c r="B108">
        <v>44627</v>
      </c>
      <c r="C108">
        <v>163.36000100000001</v>
      </c>
      <c r="D108">
        <v>165.020004</v>
      </c>
      <c r="E108">
        <v>159.03999300000001</v>
      </c>
      <c r="F108">
        <v>159.300003</v>
      </c>
      <c r="G108">
        <v>159.300003</v>
      </c>
      <c r="H108">
        <v>96418800</v>
      </c>
      <c r="J108">
        <f t="shared" si="1"/>
        <v>-2.371756479398859E-2</v>
      </c>
    </row>
    <row r="109" spans="2:10" x14ac:dyDescent="0.3">
      <c r="B109">
        <v>44628</v>
      </c>
      <c r="C109">
        <v>158.820007</v>
      </c>
      <c r="D109">
        <v>162.88000500000001</v>
      </c>
      <c r="E109">
        <v>155.800003</v>
      </c>
      <c r="F109">
        <v>157.44000199999999</v>
      </c>
      <c r="G109">
        <v>157.44000199999999</v>
      </c>
      <c r="H109">
        <v>131148300</v>
      </c>
      <c r="J109">
        <f t="shared" si="1"/>
        <v>-1.1676088920098835E-2</v>
      </c>
    </row>
    <row r="110" spans="2:10" x14ac:dyDescent="0.3">
      <c r="B110">
        <v>44629</v>
      </c>
      <c r="C110">
        <v>161.479996</v>
      </c>
      <c r="D110">
        <v>163.41000399999999</v>
      </c>
      <c r="E110">
        <v>159.41000399999999</v>
      </c>
      <c r="F110">
        <v>162.949997</v>
      </c>
      <c r="G110">
        <v>162.949997</v>
      </c>
      <c r="H110">
        <v>91454900</v>
      </c>
      <c r="J110">
        <f t="shared" si="1"/>
        <v>3.4997427146882303E-2</v>
      </c>
    </row>
    <row r="111" spans="2:10" x14ac:dyDescent="0.3">
      <c r="B111">
        <v>44630</v>
      </c>
      <c r="C111">
        <v>160.199997</v>
      </c>
      <c r="D111">
        <v>160.38999899999999</v>
      </c>
      <c r="E111">
        <v>155.979996</v>
      </c>
      <c r="F111">
        <v>158.520004</v>
      </c>
      <c r="G111">
        <v>158.520004</v>
      </c>
      <c r="H111">
        <v>105342000</v>
      </c>
      <c r="J111">
        <f t="shared" si="1"/>
        <v>-2.7186210994529791E-2</v>
      </c>
    </row>
    <row r="112" spans="2:10" x14ac:dyDescent="0.3">
      <c r="B112">
        <v>44631</v>
      </c>
      <c r="C112">
        <v>158.929993</v>
      </c>
      <c r="D112">
        <v>159.279999</v>
      </c>
      <c r="E112">
        <v>154.5</v>
      </c>
      <c r="F112">
        <v>154.729996</v>
      </c>
      <c r="G112">
        <v>154.729996</v>
      </c>
      <c r="H112">
        <v>96970100</v>
      </c>
      <c r="J112">
        <f t="shared" si="1"/>
        <v>-2.390870492281845E-2</v>
      </c>
    </row>
    <row r="113" spans="2:10" x14ac:dyDescent="0.3">
      <c r="B113">
        <v>44634</v>
      </c>
      <c r="C113">
        <v>151.449997</v>
      </c>
      <c r="D113">
        <v>154.11999499999999</v>
      </c>
      <c r="E113">
        <v>150.10000600000001</v>
      </c>
      <c r="F113">
        <v>150.61999499999999</v>
      </c>
      <c r="G113">
        <v>150.61999499999999</v>
      </c>
      <c r="H113">
        <v>108732100</v>
      </c>
      <c r="J113">
        <f t="shared" si="1"/>
        <v>-2.6562406167192115E-2</v>
      </c>
    </row>
    <row r="114" spans="2:10" x14ac:dyDescent="0.3">
      <c r="B114">
        <v>44635</v>
      </c>
      <c r="C114">
        <v>150.89999399999999</v>
      </c>
      <c r="D114">
        <v>155.570007</v>
      </c>
      <c r="E114">
        <v>150.38000500000001</v>
      </c>
      <c r="F114">
        <v>155.08999600000001</v>
      </c>
      <c r="G114">
        <v>155.08999600000001</v>
      </c>
      <c r="H114">
        <v>92964300</v>
      </c>
      <c r="J114">
        <f t="shared" si="1"/>
        <v>2.9677341311822678E-2</v>
      </c>
    </row>
    <row r="115" spans="2:10" x14ac:dyDescent="0.3">
      <c r="B115">
        <v>44636</v>
      </c>
      <c r="C115">
        <v>157.050003</v>
      </c>
      <c r="D115">
        <v>160</v>
      </c>
      <c r="E115">
        <v>154.46000699999999</v>
      </c>
      <c r="F115">
        <v>159.58999600000001</v>
      </c>
      <c r="G115">
        <v>159.58999600000001</v>
      </c>
      <c r="H115">
        <v>102300200</v>
      </c>
      <c r="J115">
        <f t="shared" si="1"/>
        <v>2.9015411155210807E-2</v>
      </c>
    </row>
    <row r="116" spans="2:10" x14ac:dyDescent="0.3">
      <c r="B116">
        <v>44637</v>
      </c>
      <c r="C116">
        <v>158.61000100000001</v>
      </c>
      <c r="D116">
        <v>161</v>
      </c>
      <c r="E116">
        <v>157.63000500000001</v>
      </c>
      <c r="F116">
        <v>160.61999499999999</v>
      </c>
      <c r="G116">
        <v>160.61999499999999</v>
      </c>
      <c r="H116">
        <v>75615400</v>
      </c>
      <c r="J116">
        <f t="shared" si="1"/>
        <v>6.4540323692969777E-3</v>
      </c>
    </row>
    <row r="117" spans="2:10" x14ac:dyDescent="0.3">
      <c r="B117">
        <v>44638</v>
      </c>
      <c r="C117">
        <v>160.509995</v>
      </c>
      <c r="D117">
        <v>164.479996</v>
      </c>
      <c r="E117">
        <v>159.759995</v>
      </c>
      <c r="F117">
        <v>163.979996</v>
      </c>
      <c r="G117">
        <v>163.979996</v>
      </c>
      <c r="H117">
        <v>123511700</v>
      </c>
      <c r="J117">
        <f t="shared" si="1"/>
        <v>2.0918945988013582E-2</v>
      </c>
    </row>
    <row r="118" spans="2:10" x14ac:dyDescent="0.3">
      <c r="B118">
        <v>44641</v>
      </c>
      <c r="C118">
        <v>163.509995</v>
      </c>
      <c r="D118">
        <v>166.35000600000001</v>
      </c>
      <c r="E118">
        <v>163.009995</v>
      </c>
      <c r="F118">
        <v>165.38000500000001</v>
      </c>
      <c r="G118">
        <v>165.38000500000001</v>
      </c>
      <c r="H118">
        <v>95811400</v>
      </c>
      <c r="J118">
        <f t="shared" si="1"/>
        <v>8.537681632825575E-3</v>
      </c>
    </row>
    <row r="119" spans="2:10" x14ac:dyDescent="0.3">
      <c r="B119">
        <v>44642</v>
      </c>
      <c r="C119">
        <v>165.509995</v>
      </c>
      <c r="D119">
        <v>169.41999799999999</v>
      </c>
      <c r="E119">
        <v>164.91000399999999</v>
      </c>
      <c r="F119">
        <v>168.820007</v>
      </c>
      <c r="G119">
        <v>168.820007</v>
      </c>
      <c r="H119">
        <v>81532000</v>
      </c>
      <c r="J119">
        <f t="shared" si="1"/>
        <v>2.08005919458038E-2</v>
      </c>
    </row>
    <row r="120" spans="2:10" x14ac:dyDescent="0.3">
      <c r="B120">
        <v>44643</v>
      </c>
      <c r="C120">
        <v>167.990005</v>
      </c>
      <c r="D120">
        <v>172.63999899999999</v>
      </c>
      <c r="E120">
        <v>167.64999399999999</v>
      </c>
      <c r="F120">
        <v>170.21000699999999</v>
      </c>
      <c r="G120">
        <v>170.21000699999999</v>
      </c>
      <c r="H120">
        <v>98062700</v>
      </c>
      <c r="J120">
        <f t="shared" si="1"/>
        <v>8.2336212674128505E-3</v>
      </c>
    </row>
    <row r="121" spans="2:10" x14ac:dyDescent="0.3">
      <c r="B121">
        <v>44644</v>
      </c>
      <c r="C121">
        <v>171.05999800000001</v>
      </c>
      <c r="D121">
        <v>174.13999899999999</v>
      </c>
      <c r="E121">
        <v>170.21000699999999</v>
      </c>
      <c r="F121">
        <v>174.070007</v>
      </c>
      <c r="G121">
        <v>174.070007</v>
      </c>
      <c r="H121">
        <v>90131400</v>
      </c>
      <c r="J121">
        <f t="shared" si="1"/>
        <v>2.2677867582720997E-2</v>
      </c>
    </row>
    <row r="122" spans="2:10" x14ac:dyDescent="0.3">
      <c r="B122">
        <v>44645</v>
      </c>
      <c r="C122">
        <v>173.88000500000001</v>
      </c>
      <c r="D122">
        <v>175.279999</v>
      </c>
      <c r="E122">
        <v>172.75</v>
      </c>
      <c r="F122">
        <v>174.720001</v>
      </c>
      <c r="G122">
        <v>174.720001</v>
      </c>
      <c r="H122">
        <v>80546200</v>
      </c>
      <c r="J122">
        <f t="shared" si="1"/>
        <v>3.7340953286684958E-3</v>
      </c>
    </row>
    <row r="123" spans="2:10" x14ac:dyDescent="0.3">
      <c r="B123">
        <v>44648</v>
      </c>
      <c r="C123">
        <v>172.16999799999999</v>
      </c>
      <c r="D123">
        <v>175.729996</v>
      </c>
      <c r="E123">
        <v>172</v>
      </c>
      <c r="F123">
        <v>175.60000600000001</v>
      </c>
      <c r="G123">
        <v>175.60000600000001</v>
      </c>
      <c r="H123">
        <v>90371900</v>
      </c>
      <c r="J123">
        <f t="shared" si="1"/>
        <v>5.0366586250191886E-3</v>
      </c>
    </row>
    <row r="124" spans="2:10" x14ac:dyDescent="0.3">
      <c r="B124">
        <v>44649</v>
      </c>
      <c r="C124">
        <v>176.69000199999999</v>
      </c>
      <c r="D124">
        <v>179.009995</v>
      </c>
      <c r="E124">
        <v>176.33999600000001</v>
      </c>
      <c r="F124">
        <v>178.96000699999999</v>
      </c>
      <c r="G124">
        <v>178.96000699999999</v>
      </c>
      <c r="H124">
        <v>100589400</v>
      </c>
      <c r="J124">
        <f t="shared" si="1"/>
        <v>1.9134401396318758E-2</v>
      </c>
    </row>
    <row r="125" spans="2:10" x14ac:dyDescent="0.3">
      <c r="B125">
        <v>44650</v>
      </c>
      <c r="C125">
        <v>178.550003</v>
      </c>
      <c r="D125">
        <v>179.61000100000001</v>
      </c>
      <c r="E125">
        <v>176.699997</v>
      </c>
      <c r="F125">
        <v>177.770004</v>
      </c>
      <c r="G125">
        <v>177.770004</v>
      </c>
      <c r="H125">
        <v>92633200</v>
      </c>
      <c r="J125">
        <f t="shared" si="1"/>
        <v>-6.6495471247941459E-3</v>
      </c>
    </row>
    <row r="126" spans="2:10" x14ac:dyDescent="0.3">
      <c r="B126">
        <v>44651</v>
      </c>
      <c r="C126">
        <v>177.83999600000001</v>
      </c>
      <c r="D126">
        <v>178.029999</v>
      </c>
      <c r="E126">
        <v>174.39999399999999</v>
      </c>
      <c r="F126">
        <v>174.61000100000001</v>
      </c>
      <c r="G126">
        <v>174.61000100000001</v>
      </c>
      <c r="H126">
        <v>103049300</v>
      </c>
      <c r="J126">
        <f t="shared" si="1"/>
        <v>-1.7775794166039333E-2</v>
      </c>
    </row>
    <row r="127" spans="2:10" x14ac:dyDescent="0.3">
      <c r="B127">
        <v>44652</v>
      </c>
      <c r="C127">
        <v>174.029999</v>
      </c>
      <c r="D127">
        <v>174.88000500000001</v>
      </c>
      <c r="E127">
        <v>171.94000199999999</v>
      </c>
      <c r="F127">
        <v>174.30999800000001</v>
      </c>
      <c r="G127">
        <v>174.30999800000001</v>
      </c>
      <c r="H127">
        <v>78699800</v>
      </c>
      <c r="J127">
        <f t="shared" si="1"/>
        <v>-1.7181318268247635E-3</v>
      </c>
    </row>
    <row r="128" spans="2:10" x14ac:dyDescent="0.3">
      <c r="B128">
        <v>44655</v>
      </c>
      <c r="C128">
        <v>174.570007</v>
      </c>
      <c r="D128">
        <v>178.490005</v>
      </c>
      <c r="E128">
        <v>174.44000199999999</v>
      </c>
      <c r="F128">
        <v>178.44000199999999</v>
      </c>
      <c r="G128">
        <v>178.44000199999999</v>
      </c>
      <c r="H128">
        <v>76468400</v>
      </c>
      <c r="J128">
        <f t="shared" si="1"/>
        <v>2.3693442988852453E-2</v>
      </c>
    </row>
    <row r="129" spans="2:10" x14ac:dyDescent="0.3">
      <c r="B129">
        <v>44656</v>
      </c>
      <c r="C129">
        <v>177.5</v>
      </c>
      <c r="D129">
        <v>178.300003</v>
      </c>
      <c r="E129">
        <v>174.41999799999999</v>
      </c>
      <c r="F129">
        <v>175.05999800000001</v>
      </c>
      <c r="G129">
        <v>175.05999800000001</v>
      </c>
      <c r="H129">
        <v>73401800</v>
      </c>
      <c r="J129">
        <f t="shared" si="1"/>
        <v>-1.894196347296603E-2</v>
      </c>
    </row>
    <row r="130" spans="2:10" x14ac:dyDescent="0.3">
      <c r="B130">
        <v>44657</v>
      </c>
      <c r="C130">
        <v>172.36000100000001</v>
      </c>
      <c r="D130">
        <v>173.63000500000001</v>
      </c>
      <c r="E130">
        <v>170.13000500000001</v>
      </c>
      <c r="F130">
        <v>171.83000200000001</v>
      </c>
      <c r="G130">
        <v>171.83000200000001</v>
      </c>
      <c r="H130">
        <v>89058800</v>
      </c>
      <c r="J130">
        <f t="shared" si="1"/>
        <v>-1.8450794224275039E-2</v>
      </c>
    </row>
    <row r="131" spans="2:10" x14ac:dyDescent="0.3">
      <c r="B131">
        <v>44658</v>
      </c>
      <c r="C131">
        <v>171.16000399999999</v>
      </c>
      <c r="D131">
        <v>173.36000100000001</v>
      </c>
      <c r="E131">
        <v>169.85000600000001</v>
      </c>
      <c r="F131">
        <v>172.13999899999999</v>
      </c>
      <c r="G131">
        <v>172.13999899999999</v>
      </c>
      <c r="H131">
        <v>77594700</v>
      </c>
      <c r="J131">
        <f t="shared" si="1"/>
        <v>1.8040912319839315E-3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8894F-5446-4EC2-9CFA-635DC758F064}">
  <sheetPr codeName="Sheet2"/>
  <dimension ref="C2:BE22"/>
  <sheetViews>
    <sheetView zoomScale="90" zoomScaleNormal="90" workbookViewId="0">
      <selection activeCell="BC29" sqref="BC29"/>
    </sheetView>
  </sheetViews>
  <sheetFormatPr defaultRowHeight="14.4" x14ac:dyDescent="0.3"/>
  <cols>
    <col min="10" max="19" width="12" bestFit="1" customWidth="1"/>
    <col min="20" max="23" width="12" customWidth="1"/>
    <col min="27" max="29" width="12" bestFit="1" customWidth="1"/>
    <col min="44" max="44" width="12" bestFit="1" customWidth="1"/>
    <col min="45" max="46" width="13.109375" bestFit="1" customWidth="1"/>
    <col min="47" max="47" width="12" bestFit="1" customWidth="1"/>
    <col min="48" max="53" width="13.109375" bestFit="1" customWidth="1"/>
  </cols>
  <sheetData>
    <row r="2" spans="3:57" x14ac:dyDescent="0.3">
      <c r="Z2" t="s">
        <v>27</v>
      </c>
      <c r="AA2">
        <v>0.3</v>
      </c>
      <c r="AQ2" t="s">
        <v>27</v>
      </c>
      <c r="AR2">
        <v>0.1</v>
      </c>
    </row>
    <row r="3" spans="3:57" x14ac:dyDescent="0.3">
      <c r="C3" t="s">
        <v>22</v>
      </c>
    </row>
    <row r="4" spans="3:57" x14ac:dyDescent="0.3">
      <c r="I4" t="s">
        <v>31</v>
      </c>
      <c r="J4">
        <v>0.1</v>
      </c>
      <c r="K4">
        <v>0.2</v>
      </c>
      <c r="L4">
        <v>0.3</v>
      </c>
      <c r="M4">
        <v>0.4</v>
      </c>
      <c r="N4">
        <v>0.5</v>
      </c>
      <c r="O4">
        <v>0.6</v>
      </c>
      <c r="P4">
        <v>0.7</v>
      </c>
      <c r="Q4">
        <v>0.8</v>
      </c>
      <c r="R4">
        <v>0.9</v>
      </c>
      <c r="S4">
        <v>1</v>
      </c>
      <c r="T4">
        <v>2</v>
      </c>
      <c r="U4">
        <v>3</v>
      </c>
      <c r="V4">
        <v>4</v>
      </c>
      <c r="W4">
        <v>5</v>
      </c>
      <c r="Z4" t="s">
        <v>31</v>
      </c>
      <c r="AA4">
        <v>0.1</v>
      </c>
      <c r="AB4">
        <v>0.2</v>
      </c>
      <c r="AC4">
        <v>0.3</v>
      </c>
      <c r="AD4">
        <v>0.4</v>
      </c>
      <c r="AE4">
        <v>0.5</v>
      </c>
      <c r="AF4">
        <v>0.6</v>
      </c>
      <c r="AG4">
        <v>0.7</v>
      </c>
      <c r="AH4">
        <v>0.8</v>
      </c>
      <c r="AI4">
        <v>0.9</v>
      </c>
      <c r="AJ4">
        <v>1</v>
      </c>
      <c r="AK4">
        <v>2</v>
      </c>
      <c r="AL4">
        <v>3</v>
      </c>
      <c r="AM4">
        <v>4</v>
      </c>
      <c r="AN4">
        <v>5</v>
      </c>
      <c r="AQ4" t="s">
        <v>31</v>
      </c>
      <c r="AR4">
        <v>0.1</v>
      </c>
      <c r="AS4">
        <v>0.2</v>
      </c>
      <c r="AT4">
        <v>0.3</v>
      </c>
      <c r="AU4">
        <v>0.4</v>
      </c>
      <c r="AV4">
        <v>0.5</v>
      </c>
      <c r="AW4">
        <v>0.6</v>
      </c>
      <c r="AX4">
        <v>0.7</v>
      </c>
      <c r="AY4">
        <v>0.8</v>
      </c>
      <c r="AZ4">
        <v>0.9</v>
      </c>
      <c r="BA4">
        <v>1</v>
      </c>
      <c r="BB4">
        <v>2</v>
      </c>
      <c r="BC4">
        <v>3</v>
      </c>
      <c r="BD4">
        <v>4</v>
      </c>
      <c r="BE4">
        <v>5</v>
      </c>
    </row>
    <row r="5" spans="3:57" x14ac:dyDescent="0.3">
      <c r="H5" t="s">
        <v>24</v>
      </c>
      <c r="Y5" t="s">
        <v>24</v>
      </c>
      <c r="AP5" t="s">
        <v>24</v>
      </c>
    </row>
    <row r="6" spans="3:57" x14ac:dyDescent="0.3">
      <c r="C6" t="s">
        <v>23</v>
      </c>
      <c r="E6" t="s">
        <v>30</v>
      </c>
      <c r="H6">
        <v>60</v>
      </c>
      <c r="J6">
        <f>OptionDelta($E$6,H6,$E$8,$J$4,$E$11,$E$10,$E$12)</f>
        <v>4.8964030371399111E-16</v>
      </c>
      <c r="K6">
        <f>OptionDelta($E$6,H6,$E$8,$K$4,$E$11,$E$10,$E$12)</f>
        <v>8.3013130785334355E-9</v>
      </c>
      <c r="L6">
        <f>OptionDelta($E$6,H6,$E$8,$L$4,$E$11,$E$10,$E$12)</f>
        <v>2.3135653326617214E-6</v>
      </c>
      <c r="M6">
        <f>OptionDelta($E$6,H6,$E$8,$M$4,$E$11,$E$10,$E$12)</f>
        <v>4.0139975424484934E-5</v>
      </c>
      <c r="N6">
        <f>OptionDelta($E$6,H6,$E$8,$N$4,$E$11,$E$10,$E$12)</f>
        <v>2.2743341786876357E-4</v>
      </c>
      <c r="O6">
        <f>OptionDelta($E$6,H6,$E$8,$O$4,$E$11,$E$10,$E$12)</f>
        <v>7.3339315349598864E-4</v>
      </c>
      <c r="P6">
        <f>OptionDelta($E$6,H6,$E$8,$P$4,$E$11,$E$10,$E$12)</f>
        <v>1.7097704105366416E-3</v>
      </c>
      <c r="Q6">
        <f>OptionDelta($E$6,H6,$E$8,$Q$4,$E$11,$E$10,$E$12)</f>
        <v>3.2499291224938613E-3</v>
      </c>
      <c r="R6">
        <f>OptionDelta($E$6,H6,$E$8,$R$4,$E$11,$E$10,$E$12)</f>
        <v>5.3863786913071277E-3</v>
      </c>
      <c r="S6">
        <f>OptionDelta($E$6,H6,$E$8,$S$4,$E$11,$E$10,$E$12)</f>
        <v>8.1055453543928818E-3</v>
      </c>
      <c r="T6">
        <f>OptionDelta($E$6,H6,$E$8,$T$4,$E$11,$E$10,$E$12)</f>
        <v>5.5478177979400571E-2</v>
      </c>
      <c r="U6">
        <f>OptionDelta($E$6,H6,$E$8,$U$4,$E$11,$E$10,$E$12)</f>
        <v>0.11221757852337162</v>
      </c>
      <c r="V6">
        <f>OptionDelta($E$6,H6,$E$8,$V$4,$E$11,$E$10,$E$12)</f>
        <v>0.16426871972840887</v>
      </c>
      <c r="W6">
        <f>OptionDelta($E$6,H6,$E$8,$W$4,$E$11,$E$10,$E$12)</f>
        <v>0.20988203686100165</v>
      </c>
      <c r="Y6">
        <v>60</v>
      </c>
      <c r="AA6">
        <f>OptionDelta($E$6,Y6,$E$8,$AA$4,$E$11,$AA$2,$E$12)</f>
        <v>5.0034162369055407E-8</v>
      </c>
      <c r="AB6">
        <f>OptionDelta($E$6,Y6,$E$8,$AB$4,$E$11,$AA$2,$E$12)</f>
        <v>9.7471862538906133E-5</v>
      </c>
      <c r="AC6">
        <f>OptionDelta($E$6,Y6,$E$8,$AC$4,$E$11,$AA$2,$E$12)</f>
        <v>1.3132659794663289E-3</v>
      </c>
      <c r="AD6">
        <f>OptionDelta($E$6,Y6,$E$8,$AD$4,$E$11,$AA$2,$E$12)</f>
        <v>4.992660033900336E-3</v>
      </c>
      <c r="AE6">
        <f>OptionDelta($E$6,Y6,$E$8,$AE$4,$E$11,$AA$2,$E$12)</f>
        <v>1.1350817464731676E-2</v>
      </c>
      <c r="AF6">
        <f>OptionDelta($E$6,Y6,$E$8,$AF$4,$E$11,$AA$2,$E$12)</f>
        <v>1.9879978802043376E-2</v>
      </c>
      <c r="AG6">
        <f>OptionDelta($E$6,Y6,$E$8,$AG$4,$E$11,$AA$2,$E$12)</f>
        <v>2.9932244764737284E-2</v>
      </c>
      <c r="AH6">
        <f>OptionDelta($E$6,Y6,$E$8,$AH$4,$E$11,$AA$2,$E$12)</f>
        <v>4.0950902335764483E-2</v>
      </c>
      <c r="AI6">
        <f>OptionDelta($E$6,Y6,$E$8,$AI$4,$E$11,$AA$2,$E$12)</f>
        <v>5.2516002614189643E-2</v>
      </c>
      <c r="AJ6">
        <f>OptionDelta($E$6,Y6,$E$8,$AJ$4,$E$11,$AA$2,$E$12)</f>
        <v>6.4328563178375001E-2</v>
      </c>
      <c r="AK6">
        <f>OptionDelta($E$6,Y6,$E$8,$AK$4,$E$11,$AA$2,$E$12)</f>
        <v>0.17239197114368851</v>
      </c>
      <c r="AL6">
        <f>OptionDelta($E$6,Y6,$E$8,$AL$4,$E$11,$AA$2,$E$12)</f>
        <v>0.25285203319023192</v>
      </c>
      <c r="AM6">
        <f>OptionDelta($E$6,Y6,$E$8,$AM$4,$E$11,$AA$2,$E$12)</f>
        <v>0.31394125841594145</v>
      </c>
      <c r="AN6">
        <f>OptionDelta($E$6,Y6,$E$8,$AN$4,$E$11,$AA$2,$E$12)</f>
        <v>0.3625886029317465</v>
      </c>
      <c r="AP6">
        <v>60</v>
      </c>
      <c r="AR6">
        <f>OptionDelta($E$6,AP6,$E$8,$AA$4,$E$11,$AR$2,$E$12)</f>
        <v>1.152199866581175E-58</v>
      </c>
      <c r="AS6">
        <f>OptionDelta($E$6,AP6,$E$8,$AB$4,$E$11,$AR$2,$E$12)</f>
        <v>3.4889502026674058E-30</v>
      </c>
      <c r="AT6">
        <f>OptionDelta($E$6,AP6,$E$8,$AC$4,$E$11,$AR$2,$E$12)</f>
        <v>1.1850476086013734E-20</v>
      </c>
      <c r="AU6">
        <f>OptionDelta($E$6,AP6,$E$8,$AD$4,$E$11,$AR$2,$E$12)</f>
        <v>7.1994037560856956E-16</v>
      </c>
      <c r="AV6">
        <f>OptionDelta($E$6,AP6,$E$8,$AE$4,$E$11,$AR$2,$E$12)</f>
        <v>5.4712789718468615E-13</v>
      </c>
      <c r="AW6">
        <f>OptionDelta($E$6,AP6,$E$8,$AF$4,$E$11,$AR$2,$E$12)</f>
        <v>4.6306900470662182E-11</v>
      </c>
      <c r="AX6">
        <f>OptionDelta($E$6,AP6,$E$8,$AG$4,$E$11,$AR$2,$E$12)</f>
        <v>1.1154484392717851E-9</v>
      </c>
      <c r="AY6">
        <f>OptionDelta($E$6,AP6,$E$8,$AH$4,$E$11,$AR$2,$E$12)</f>
        <v>1.2232280237899387E-8</v>
      </c>
      <c r="AZ6">
        <f>OptionDelta($E$6,AP6,$E$8,$AI$4,$E$11,$AR$2,$E$12)</f>
        <v>7.9305503738124766E-8</v>
      </c>
      <c r="BA6">
        <f>OptionDelta($E$6,AP6,$E$8,$AJ$4,$E$11,$AR$2,$E$12)</f>
        <v>3.5564355541459722E-7</v>
      </c>
      <c r="BB6">
        <f>OptionDelta($E$6,AP6,$E$8,$AK$4,$E$11,$AR$2,$E$12)</f>
        <v>3.3699015309893697E-4</v>
      </c>
      <c r="BC6">
        <f>OptionDelta($E$6,AP6,$E$8,$AL$4,$E$11,$AR$2,$E$12)</f>
        <v>3.5785417129918693E-3</v>
      </c>
      <c r="BD6">
        <f>OptionDelta($E$6,AP6,$E$8,$AM$4,$E$11,$AR$2,$E$12)</f>
        <v>1.2094054588474413E-2</v>
      </c>
      <c r="BE6">
        <f>OptionDelta($E$6,AP6,$E$8,$AN$4,$E$11,$AR$2,$E$12)</f>
        <v>2.564344677496205E-2</v>
      </c>
    </row>
    <row r="7" spans="3:57" x14ac:dyDescent="0.3">
      <c r="C7" t="s">
        <v>24</v>
      </c>
      <c r="E7">
        <v>100</v>
      </c>
      <c r="H7">
        <v>65</v>
      </c>
      <c r="J7">
        <f t="shared" ref="J7:J22" si="0">OptionDelta($E$6,H7,$E$8,$J$4,$E$11,$E$10,$E$12)</f>
        <v>6.7189909908190016E-12</v>
      </c>
      <c r="K7">
        <f t="shared" ref="K7:K22" si="1">OptionDelta($E$6,H7,$E$8,$K$4,$E$11,$E$10,$E$12)</f>
        <v>1.0210267589266487E-6</v>
      </c>
      <c r="L7">
        <f t="shared" ref="L7:L22" si="2">OptionDelta($E$6,H7,$E$8,$L$4,$E$11,$E$10,$E$12)</f>
        <v>5.8978518150786922E-5</v>
      </c>
      <c r="M7">
        <f t="shared" ref="M7:M22" si="3">OptionDelta($E$6,H7,$E$8,$M$4,$E$11,$E$10,$E$12)</f>
        <v>4.6519881412379274E-4</v>
      </c>
      <c r="N7">
        <f t="shared" ref="N7:N22" si="4">OptionDelta($E$6,H7,$E$8,$N$4,$E$11,$E$10,$E$12)</f>
        <v>1.6409066155964737E-3</v>
      </c>
      <c r="O7">
        <f t="shared" ref="O7:O22" si="5">OptionDelta($E$6,H7,$E$8,$O$4,$E$11,$E$10,$E$12)</f>
        <v>3.8551173459696964E-3</v>
      </c>
      <c r="P7">
        <f t="shared" ref="P7:P22" si="6">OptionDelta($E$6,H7,$E$8,$P$4,$E$11,$E$10,$E$12)</f>
        <v>7.1642370961297339E-3</v>
      </c>
      <c r="Q7">
        <f t="shared" ref="Q7:Q22" si="7">OptionDelta($E$6,H7,$E$8,$Q$4,$E$11,$E$10,$E$12)</f>
        <v>1.1483425231958777E-2</v>
      </c>
      <c r="R7">
        <f t="shared" ref="R7:R22" si="8">OptionDelta($E$6,H7,$E$8,$R$4,$E$11,$E$10,$E$12)</f>
        <v>1.6663450654240821E-2</v>
      </c>
      <c r="S7">
        <f t="shared" ref="S7:S22" si="9">OptionDelta($E$6,H7,$E$8,$S$4,$E$11,$E$10,$E$12)</f>
        <v>2.2539605701555526E-2</v>
      </c>
      <c r="T7">
        <f t="shared" ref="T7:T22" si="10">OptionDelta($E$6,H7,$E$8,$T$4,$E$11,$E$10,$E$12)</f>
        <v>9.4943144684704661E-2</v>
      </c>
      <c r="U7">
        <f t="shared" ref="U7:U22" si="11">OptionDelta($E$6,H7,$E$8,$U$4,$E$11,$E$10,$E$12)</f>
        <v>0.16261786177644788</v>
      </c>
      <c r="V7">
        <f t="shared" ref="V7:V22" si="12">OptionDelta($E$6,H7,$E$8,$V$4,$E$11,$E$10,$E$12)</f>
        <v>0.21859198446496683</v>
      </c>
      <c r="W7">
        <f t="shared" ref="W7:W22" si="13">OptionDelta($E$6,H7,$E$8,$W$4,$E$11,$E$10,$E$12)</f>
        <v>0.26505120645503799</v>
      </c>
      <c r="Y7">
        <v>65</v>
      </c>
      <c r="AA7">
        <f t="shared" ref="AA7:AA22" si="14">OptionDelta($E$6,Y7,$E$8,$AA$4,$E$11,$AA$2,$E$12)</f>
        <v>3.6821940892309305E-6</v>
      </c>
      <c r="AB7">
        <f t="shared" ref="AB7:AB22" si="15">OptionDelta($E$6,Y7,$E$8,$AB$4,$E$11,$AA$2,$E$12)</f>
        <v>8.7737836912211542E-4</v>
      </c>
      <c r="AC7">
        <f t="shared" ref="AC7:AC22" si="16">OptionDelta($E$6,Y7,$E$8,$AC$4,$E$11,$AA$2,$E$12)</f>
        <v>5.847011044032159E-3</v>
      </c>
      <c r="AD7">
        <f t="shared" ref="AD7:AD22" si="17">OptionDelta($E$6,Y7,$E$8,$AD$4,$E$11,$AA$2,$E$12)</f>
        <v>1.5601464786896047E-2</v>
      </c>
      <c r="AE7">
        <f t="shared" ref="AE7:AE22" si="18">OptionDelta($E$6,Y7,$E$8,$AE$4,$E$11,$AA$2,$E$12)</f>
        <v>2.8644857358513225E-2</v>
      </c>
      <c r="AF7">
        <f t="shared" ref="AF7:AF22" si="19">OptionDelta($E$6,Y7,$E$8,$AF$4,$E$11,$AA$2,$E$12)</f>
        <v>4.3468137473605249E-2</v>
      </c>
      <c r="AG7">
        <f t="shared" ref="AG7:AG22" si="20">OptionDelta($E$6,Y7,$E$8,$AG$4,$E$11,$AA$2,$E$12)</f>
        <v>5.9038935425869576E-2</v>
      </c>
      <c r="AH7">
        <f t="shared" ref="AH7:AH22" si="21">OptionDelta($E$6,Y7,$E$8,$AH$4,$E$11,$AA$2,$E$12)</f>
        <v>7.4728116021825122E-2</v>
      </c>
      <c r="AI7">
        <f t="shared" ref="AI7:AI22" si="22">OptionDelta($E$6,Y7,$E$8,$AI$4,$E$11,$AA$2,$E$12)</f>
        <v>9.0172813400075422E-2</v>
      </c>
      <c r="AJ7">
        <f t="shared" ref="AJ7:AJ22" si="23">OptionDelta($E$6,Y7,$E$8,$AJ$4,$E$11,$AA$2,$E$12)</f>
        <v>0.10517388780770238</v>
      </c>
      <c r="AK7">
        <f t="shared" ref="AK7:AK22" si="24">OptionDelta($E$6,Y7,$E$8,$AK$4,$E$11,$AA$2,$E$12)</f>
        <v>0.22479684393807561</v>
      </c>
      <c r="AL7">
        <f t="shared" ref="AL7:AL22" si="25">OptionDelta($E$6,Y7,$E$8,$AL$4,$E$11,$AA$2,$E$12)</f>
        <v>0.3045006830407393</v>
      </c>
      <c r="AM7">
        <f t="shared" ref="AM7:AM22" si="26">OptionDelta($E$6,Y7,$E$8,$AM$4,$E$11,$AA$2,$E$12)</f>
        <v>0.36267982457804149</v>
      </c>
      <c r="AN7">
        <f t="shared" ref="AN7:AN22" si="27">OptionDelta($E$6,Y7,$E$8,$AN$4,$E$11,$AA$2,$E$12)</f>
        <v>0.4081806753100849</v>
      </c>
      <c r="AP7">
        <v>65</v>
      </c>
      <c r="AR7">
        <f t="shared" ref="AR7:AR22" si="28">OptionDelta($E$6,AP7,$E$8,$AA$4,$E$11,$AR$2,$E$12)</f>
        <v>2.8126612880569749E-42</v>
      </c>
      <c r="AS7">
        <f t="shared" ref="AS7:AS22" si="29">OptionDelta($E$6,AP7,$E$8,$AB$4,$E$11,$AR$2,$E$12)</f>
        <v>5.5821144851585946E-22</v>
      </c>
      <c r="AT7">
        <f t="shared" ref="AT7:AT22" si="30">OptionDelta($E$6,AP7,$E$8,$AC$4,$E$11,$AR$2,$E$12)</f>
        <v>3.5461176703588084E-15</v>
      </c>
      <c r="AU7">
        <f t="shared" ref="AU7:AU22" si="31">OptionDelta($E$6,AP7,$E$8,$AD$4,$E$11,$AR$2,$E$12)</f>
        <v>9.3129642843240566E-12</v>
      </c>
      <c r="AV7">
        <f t="shared" ref="AV7:AV22" si="32">OptionDelta($E$6,AP7,$E$8,$AE$4,$E$11,$AR$2,$E$12)</f>
        <v>1.0745001039870842E-9</v>
      </c>
      <c r="AW7">
        <f t="shared" ref="AW7:AW22" si="33">OptionDelta($E$6,AP7,$E$8,$AF$4,$E$11,$AR$2,$E$12)</f>
        <v>2.5874472084445203E-8</v>
      </c>
      <c r="AX7">
        <f t="shared" ref="AX7:AX22" si="34">OptionDelta($E$6,AP7,$E$8,$AG$4,$E$11,$AR$2,$E$12)</f>
        <v>2.5390046836316603E-7</v>
      </c>
      <c r="AY7">
        <f t="shared" ref="AY7:AY22" si="35">OptionDelta($E$6,AP7,$E$8,$AH$4,$E$11,$AR$2,$E$12)</f>
        <v>1.4195096494921114E-6</v>
      </c>
      <c r="AZ7">
        <f t="shared" ref="AZ7:AZ22" si="36">OptionDelta($E$6,AP7,$E$8,$AI$4,$E$11,$AR$2,$E$12)</f>
        <v>5.4488726576165721E-6</v>
      </c>
      <c r="BA7">
        <f t="shared" ref="BA7:BA22" si="37">OptionDelta($E$6,AP7,$E$8,$AJ$4,$E$11,$AR$2,$E$12)</f>
        <v>1.6064307266339651E-5</v>
      </c>
      <c r="BB7">
        <f t="shared" ref="BB7:BB22" si="38">OptionDelta($E$6,AP7,$E$8,$AK$4,$E$11,$AR$2,$E$12)</f>
        <v>2.2987314592982327E-3</v>
      </c>
      <c r="BC7">
        <f t="shared" ref="BC7:BC22" si="39">OptionDelta($E$6,AP7,$E$8,$AL$4,$E$11,$AR$2,$E$12)</f>
        <v>1.2962990657514536E-2</v>
      </c>
      <c r="BD7">
        <f t="shared" ref="BD7:BD22" si="40">OptionDelta($E$6,AP7,$E$8,$AM$4,$E$11,$AR$2,$E$12)</f>
        <v>3.1875690795675732E-2</v>
      </c>
      <c r="BE7">
        <f t="shared" ref="BE7:BE22" si="41">OptionDelta($E$6,AP7,$E$8,$AN$4,$E$11,$AR$2,$E$12)</f>
        <v>5.5792459445646918E-2</v>
      </c>
    </row>
    <row r="8" spans="3:57" x14ac:dyDescent="0.3">
      <c r="C8" t="s">
        <v>25</v>
      </c>
      <c r="E8">
        <v>100</v>
      </c>
      <c r="H8">
        <v>70</v>
      </c>
      <c r="J8">
        <f t="shared" si="0"/>
        <v>1.1217502453550677E-8</v>
      </c>
      <c r="K8">
        <f t="shared" si="1"/>
        <v>4.4152463014191854E-5</v>
      </c>
      <c r="L8">
        <f t="shared" si="2"/>
        <v>7.522257491842688E-4</v>
      </c>
      <c r="M8">
        <f t="shared" si="3"/>
        <v>3.2160999955850558E-3</v>
      </c>
      <c r="N8">
        <f t="shared" si="4"/>
        <v>7.8458863408448522E-3</v>
      </c>
      <c r="O8">
        <f t="shared" si="5"/>
        <v>1.4402778602930108E-2</v>
      </c>
      <c r="P8">
        <f t="shared" si="6"/>
        <v>2.242591118396205E-2</v>
      </c>
      <c r="Q8">
        <f t="shared" si="7"/>
        <v>3.1463320553836806E-2</v>
      </c>
      <c r="R8">
        <f t="shared" si="8"/>
        <v>4.1145992558525323E-2</v>
      </c>
      <c r="S8">
        <f t="shared" si="9"/>
        <v>5.1195105289887979E-2</v>
      </c>
      <c r="T8">
        <f t="shared" si="10"/>
        <v>0.14711107776501314</v>
      </c>
      <c r="U8">
        <f t="shared" si="11"/>
        <v>0.22070207540533249</v>
      </c>
      <c r="V8">
        <f t="shared" si="12"/>
        <v>0.27702998118727484</v>
      </c>
      <c r="W8">
        <f t="shared" si="13"/>
        <v>0.32199074177395015</v>
      </c>
      <c r="Y8">
        <v>70</v>
      </c>
      <c r="AA8">
        <f t="shared" si="14"/>
        <v>1.0707610281507444E-4</v>
      </c>
      <c r="AB8">
        <f t="shared" si="15"/>
        <v>4.9901816736536639E-3</v>
      </c>
      <c r="AC8">
        <f t="shared" si="16"/>
        <v>1.9214994632873059E-2</v>
      </c>
      <c r="AD8">
        <f t="shared" si="17"/>
        <v>3.8875096230606622E-2</v>
      </c>
      <c r="AE8">
        <f t="shared" si="18"/>
        <v>6.0361557489523619E-2</v>
      </c>
      <c r="AF8">
        <f t="shared" si="19"/>
        <v>8.1828768636166921E-2</v>
      </c>
      <c r="AG8">
        <f t="shared" si="20"/>
        <v>0.10246339188434647</v>
      </c>
      <c r="AH8">
        <f t="shared" si="21"/>
        <v>0.12195471445596062</v>
      </c>
      <c r="AI8">
        <f t="shared" si="22"/>
        <v>0.1402263966706617</v>
      </c>
      <c r="AJ8">
        <f t="shared" si="23"/>
        <v>0.15730806721544691</v>
      </c>
      <c r="AK8">
        <f t="shared" si="24"/>
        <v>0.28047924339879649</v>
      </c>
      <c r="AL8">
        <f t="shared" si="25"/>
        <v>0.35610910688425379</v>
      </c>
      <c r="AM8">
        <f t="shared" si="26"/>
        <v>0.40990413904026235</v>
      </c>
      <c r="AN8">
        <f t="shared" si="27"/>
        <v>0.45154699490085998</v>
      </c>
      <c r="AP8">
        <v>70</v>
      </c>
      <c r="AR8">
        <f t="shared" si="28"/>
        <v>1.4260381787834196E-29</v>
      </c>
      <c r="AS8">
        <f t="shared" si="29"/>
        <v>1.3034623767509508E-15</v>
      </c>
      <c r="AT8">
        <f t="shared" si="30"/>
        <v>6.3883719199083708E-11</v>
      </c>
      <c r="AU8">
        <f t="shared" si="31"/>
        <v>1.4726488482514407E-8</v>
      </c>
      <c r="AV8">
        <f t="shared" si="32"/>
        <v>3.9447858056893467E-7</v>
      </c>
      <c r="AW8">
        <f t="shared" si="33"/>
        <v>3.5869233961988741E-6</v>
      </c>
      <c r="AX8">
        <f t="shared" si="34"/>
        <v>1.7549254029347776E-5</v>
      </c>
      <c r="AY8">
        <f t="shared" si="35"/>
        <v>5.820088365787128E-5</v>
      </c>
      <c r="AZ8">
        <f t="shared" si="36"/>
        <v>1.4879923588186921E-4</v>
      </c>
      <c r="BA8">
        <f t="shared" si="37"/>
        <v>3.1686788675612499E-4</v>
      </c>
      <c r="BB8">
        <f t="shared" si="38"/>
        <v>1.0445719216560184E-2</v>
      </c>
      <c r="BC8">
        <f t="shared" si="39"/>
        <v>3.5973278929724156E-2</v>
      </c>
      <c r="BD8">
        <f t="shared" si="40"/>
        <v>6.8987440114615495E-2</v>
      </c>
      <c r="BE8">
        <f t="shared" si="41"/>
        <v>0.10389085170754279</v>
      </c>
    </row>
    <row r="9" spans="3:57" x14ac:dyDescent="0.3">
      <c r="C9" t="s">
        <v>26</v>
      </c>
      <c r="E9">
        <v>1</v>
      </c>
      <c r="H9">
        <v>75</v>
      </c>
      <c r="J9">
        <f t="shared" si="0"/>
        <v>3.3782456328086734E-6</v>
      </c>
      <c r="K9">
        <f t="shared" si="1"/>
        <v>8.1830678243053191E-4</v>
      </c>
      <c r="L9">
        <f t="shared" si="2"/>
        <v>5.4794346275411467E-3</v>
      </c>
      <c r="M9">
        <f t="shared" si="3"/>
        <v>1.4648825269289092E-2</v>
      </c>
      <c r="N9">
        <f t="shared" si="4"/>
        <v>2.6918022682862655E-2</v>
      </c>
      <c r="O9">
        <f t="shared" si="5"/>
        <v>4.0860172111759581E-2</v>
      </c>
      <c r="P9">
        <f t="shared" si="6"/>
        <v>5.5498237073536447E-2</v>
      </c>
      <c r="Q9">
        <f t="shared" si="7"/>
        <v>7.0237080583764377E-2</v>
      </c>
      <c r="R9">
        <f t="shared" si="8"/>
        <v>8.4734011793984806E-2</v>
      </c>
      <c r="S9">
        <f t="shared" si="9"/>
        <v>9.88015767617475E-2</v>
      </c>
      <c r="T9">
        <f t="shared" si="10"/>
        <v>0.21041627797587964</v>
      </c>
      <c r="U9">
        <f t="shared" si="11"/>
        <v>0.2841154119321706</v>
      </c>
      <c r="V9">
        <f t="shared" si="12"/>
        <v>0.33753309294546507</v>
      </c>
      <c r="W9">
        <f t="shared" si="13"/>
        <v>0.37909196897565967</v>
      </c>
      <c r="Y9">
        <v>75</v>
      </c>
      <c r="AA9">
        <f t="shared" si="14"/>
        <v>1.4675225785184831E-3</v>
      </c>
      <c r="AB9">
        <f t="shared" si="15"/>
        <v>1.9591189701574866E-2</v>
      </c>
      <c r="AC9">
        <f t="shared" si="16"/>
        <v>4.9434506570869327E-2</v>
      </c>
      <c r="AD9">
        <f t="shared" si="17"/>
        <v>8.0716619021007047E-2</v>
      </c>
      <c r="AE9">
        <f t="shared" si="18"/>
        <v>0.11000339750396831</v>
      </c>
      <c r="AF9">
        <f t="shared" si="19"/>
        <v>0.13654438951976758</v>
      </c>
      <c r="AG9">
        <f t="shared" si="20"/>
        <v>0.16041221101185985</v>
      </c>
      <c r="AH9">
        <f t="shared" si="21"/>
        <v>0.18189962970104834</v>
      </c>
      <c r="AI9">
        <f t="shared" si="22"/>
        <v>0.20132818570829822</v>
      </c>
      <c r="AJ9">
        <f t="shared" si="23"/>
        <v>0.21899056011833215</v>
      </c>
      <c r="AK9">
        <f t="shared" si="24"/>
        <v>0.33768091083242541</v>
      </c>
      <c r="AL9">
        <f t="shared" si="25"/>
        <v>0.40667685470200449</v>
      </c>
      <c r="AM9">
        <f t="shared" si="26"/>
        <v>0.45509318992994574</v>
      </c>
      <c r="AN9">
        <f t="shared" si="27"/>
        <v>0.49245831881467117</v>
      </c>
      <c r="AP9">
        <v>75</v>
      </c>
      <c r="AR9">
        <f t="shared" si="28"/>
        <v>7.1568181094979558E-20</v>
      </c>
      <c r="AS9">
        <f t="shared" si="29"/>
        <v>9.7210253802256359E-11</v>
      </c>
      <c r="AT9">
        <f t="shared" si="30"/>
        <v>1.1693829518833767E-7</v>
      </c>
      <c r="AU9">
        <f t="shared" si="31"/>
        <v>4.2184867637814504E-6</v>
      </c>
      <c r="AV9">
        <f t="shared" si="32"/>
        <v>3.7104262232348042E-5</v>
      </c>
      <c r="AW9">
        <f t="shared" si="33"/>
        <v>1.6047856986437615E-4</v>
      </c>
      <c r="AX9">
        <f t="shared" si="34"/>
        <v>4.6157184850289515E-4</v>
      </c>
      <c r="AY9">
        <f t="shared" si="35"/>
        <v>1.0273171406440292E-3</v>
      </c>
      <c r="AZ9">
        <f t="shared" si="36"/>
        <v>1.9253955209529885E-3</v>
      </c>
      <c r="BA9">
        <f t="shared" si="37"/>
        <v>3.1973886164727121E-3</v>
      </c>
      <c r="BB9">
        <f t="shared" si="38"/>
        <v>3.4220862001572698E-2</v>
      </c>
      <c r="BC9">
        <f t="shared" si="39"/>
        <v>8.0588258967957058E-2</v>
      </c>
      <c r="BD9">
        <f t="shared" si="40"/>
        <v>0.127474584567597</v>
      </c>
      <c r="BE9">
        <f t="shared" si="41"/>
        <v>0.17076585813219761</v>
      </c>
    </row>
    <row r="10" spans="3:57" x14ac:dyDescent="0.3">
      <c r="C10" t="s">
        <v>27</v>
      </c>
      <c r="E10">
        <v>0.2</v>
      </c>
      <c r="H10">
        <v>80</v>
      </c>
      <c r="J10">
        <f t="shared" si="0"/>
        <v>2.4998248472572982E-4</v>
      </c>
      <c r="K10">
        <f t="shared" si="1"/>
        <v>7.5966424381891306E-3</v>
      </c>
      <c r="L10">
        <f t="shared" si="2"/>
        <v>2.5300139283739118E-2</v>
      </c>
      <c r="M10">
        <f t="shared" si="3"/>
        <v>4.7535275559280651E-2</v>
      </c>
      <c r="N10">
        <f t="shared" si="4"/>
        <v>7.0537829580775729E-2</v>
      </c>
      <c r="O10">
        <f t="shared" si="5"/>
        <v>9.2718991154622718E-2</v>
      </c>
      <c r="P10">
        <f t="shared" si="6"/>
        <v>0.11351617326502472</v>
      </c>
      <c r="Q10">
        <f t="shared" si="7"/>
        <v>0.13280133237005642</v>
      </c>
      <c r="R10">
        <f t="shared" si="8"/>
        <v>0.1506224847545854</v>
      </c>
      <c r="S10">
        <f t="shared" si="9"/>
        <v>0.16709271590694216</v>
      </c>
      <c r="T10">
        <f t="shared" si="10"/>
        <v>0.2820374343620774</v>
      </c>
      <c r="U10">
        <f t="shared" si="11"/>
        <v>0.35035866509647884</v>
      </c>
      <c r="V10">
        <f t="shared" si="12"/>
        <v>0.39825791110296049</v>
      </c>
      <c r="W10">
        <f t="shared" si="13"/>
        <v>0.4350411483736476</v>
      </c>
      <c r="Y10">
        <v>80</v>
      </c>
      <c r="AA10">
        <f t="shared" si="14"/>
        <v>1.0890526735845741E-2</v>
      </c>
      <c r="AB10">
        <f t="shared" si="15"/>
        <v>5.6913337986291397E-2</v>
      </c>
      <c r="AC10">
        <f t="shared" si="16"/>
        <v>0.10426956463923276</v>
      </c>
      <c r="AD10">
        <f t="shared" si="17"/>
        <v>0.14454509647225661</v>
      </c>
      <c r="AE10">
        <f t="shared" si="18"/>
        <v>0.17819321540160804</v>
      </c>
      <c r="AF10">
        <f t="shared" si="19"/>
        <v>0.20660792036453604</v>
      </c>
      <c r="AG10">
        <f t="shared" si="20"/>
        <v>0.23097566222627239</v>
      </c>
      <c r="AH10">
        <f t="shared" si="21"/>
        <v>0.25218534923298636</v>
      </c>
      <c r="AI10">
        <f t="shared" si="22"/>
        <v>0.27089074616784536</v>
      </c>
      <c r="AJ10">
        <f t="shared" si="23"/>
        <v>0.28757654881407335</v>
      </c>
      <c r="AK10">
        <f t="shared" si="24"/>
        <v>0.39485704248118841</v>
      </c>
      <c r="AL10">
        <f t="shared" si="25"/>
        <v>0.45545241211238541</v>
      </c>
      <c r="AM10">
        <f t="shared" si="26"/>
        <v>0.49790985034594043</v>
      </c>
      <c r="AN10">
        <f t="shared" si="27"/>
        <v>0.53080875955769424</v>
      </c>
      <c r="AP10">
        <v>80</v>
      </c>
      <c r="AR10">
        <f t="shared" si="28"/>
        <v>1.2002701474206063E-12</v>
      </c>
      <c r="AS10">
        <f t="shared" si="29"/>
        <v>4.2709800292238633E-7</v>
      </c>
      <c r="AT10">
        <f t="shared" si="30"/>
        <v>3.2777591453569817E-5</v>
      </c>
      <c r="AU10">
        <f t="shared" si="31"/>
        <v>2.9809587513643615E-4</v>
      </c>
      <c r="AV10">
        <f t="shared" si="32"/>
        <v>1.1455014907192074E-3</v>
      </c>
      <c r="AW10">
        <f t="shared" si="33"/>
        <v>2.8497945838167173E-3</v>
      </c>
      <c r="AX10">
        <f t="shared" si="34"/>
        <v>5.5176887334378597E-3</v>
      </c>
      <c r="AY10">
        <f t="shared" si="35"/>
        <v>9.1213054737095019E-3</v>
      </c>
      <c r="AZ10">
        <f t="shared" si="36"/>
        <v>1.3558236229164227E-2</v>
      </c>
      <c r="BA10">
        <f t="shared" si="37"/>
        <v>1.8697030468110401E-2</v>
      </c>
      <c r="BB10">
        <f t="shared" si="38"/>
        <v>8.6011681908250856E-2</v>
      </c>
      <c r="BC10">
        <f t="shared" si="39"/>
        <v>0.15185446032881006</v>
      </c>
      <c r="BD10">
        <f t="shared" si="40"/>
        <v>0.20733079045218472</v>
      </c>
      <c r="BE10">
        <f t="shared" si="41"/>
        <v>0.25381961865942948</v>
      </c>
    </row>
    <row r="11" spans="3:57" x14ac:dyDescent="0.3">
      <c r="C11" t="s">
        <v>28</v>
      </c>
      <c r="E11">
        <v>0.01</v>
      </c>
      <c r="H11">
        <v>85</v>
      </c>
      <c r="J11">
        <f t="shared" si="0"/>
        <v>5.830908137902522E-3</v>
      </c>
      <c r="K11">
        <f t="shared" si="1"/>
        <v>4.006477982445996E-2</v>
      </c>
      <c r="L11">
        <f t="shared" si="2"/>
        <v>8.0542811303141587E-2</v>
      </c>
      <c r="M11">
        <f t="shared" si="3"/>
        <v>0.11703172121234477</v>
      </c>
      <c r="N11">
        <f t="shared" si="4"/>
        <v>0.14844720364554423</v>
      </c>
      <c r="O11">
        <f t="shared" si="5"/>
        <v>0.17544466250951118</v>
      </c>
      <c r="P11">
        <f t="shared" si="6"/>
        <v>0.19884963648426759</v>
      </c>
      <c r="Q11">
        <f t="shared" si="7"/>
        <v>0.21936358982447046</v>
      </c>
      <c r="R11">
        <f t="shared" si="8"/>
        <v>0.23753708342668733</v>
      </c>
      <c r="S11">
        <f t="shared" si="9"/>
        <v>0.2537950995737065</v>
      </c>
      <c r="T11">
        <f t="shared" si="10"/>
        <v>0.35850447187481504</v>
      </c>
      <c r="U11">
        <f t="shared" si="11"/>
        <v>0.41708980700977716</v>
      </c>
      <c r="V11">
        <f t="shared" si="12"/>
        <v>0.45767322745215844</v>
      </c>
      <c r="W11">
        <f t="shared" si="13"/>
        <v>0.48883379634600066</v>
      </c>
      <c r="Y11">
        <v>85</v>
      </c>
      <c r="AA11">
        <f t="shared" si="14"/>
        <v>4.8949588230018437E-2</v>
      </c>
      <c r="AB11">
        <f t="shared" si="15"/>
        <v>0.1293739652284181</v>
      </c>
      <c r="AC11">
        <f t="shared" si="16"/>
        <v>0.18709751221137344</v>
      </c>
      <c r="AD11">
        <f t="shared" si="17"/>
        <v>0.22946806891671254</v>
      </c>
      <c r="AE11">
        <f t="shared" si="18"/>
        <v>0.26223006736843324</v>
      </c>
      <c r="AF11">
        <f t="shared" si="19"/>
        <v>0.28864049524186719</v>
      </c>
      <c r="AG11">
        <f t="shared" si="20"/>
        <v>0.31061663415168483</v>
      </c>
      <c r="AH11">
        <f t="shared" si="21"/>
        <v>0.32935533629557545</v>
      </c>
      <c r="AI11">
        <f t="shared" si="22"/>
        <v>0.34564389568681986</v>
      </c>
      <c r="AJ11">
        <f t="shared" si="23"/>
        <v>0.36002333083467097</v>
      </c>
      <c r="AK11">
        <f t="shared" si="24"/>
        <v>0.45074144633462454</v>
      </c>
      <c r="AL11">
        <f t="shared" si="25"/>
        <v>0.50190487130170336</v>
      </c>
      <c r="AM11">
        <f t="shared" si="26"/>
        <v>0.53816099984174448</v>
      </c>
      <c r="AN11">
        <f t="shared" si="27"/>
        <v>0.56658125708655704</v>
      </c>
      <c r="AP11">
        <v>85</v>
      </c>
      <c r="AR11">
        <f t="shared" si="28"/>
        <v>1.7727866846205845E-7</v>
      </c>
      <c r="AS11">
        <f t="shared" si="29"/>
        <v>1.8057900763335621E-4</v>
      </c>
      <c r="AT11">
        <f t="shared" si="30"/>
        <v>1.9569580318317646E-3</v>
      </c>
      <c r="AU11">
        <f t="shared" si="31"/>
        <v>6.6658842436191712E-3</v>
      </c>
      <c r="AV11">
        <f t="shared" si="32"/>
        <v>1.4178971876106417E-2</v>
      </c>
      <c r="AW11">
        <f t="shared" si="33"/>
        <v>2.3744049559651273E-2</v>
      </c>
      <c r="AX11">
        <f t="shared" si="34"/>
        <v>3.4610567414057034E-2</v>
      </c>
      <c r="AY11">
        <f t="shared" si="35"/>
        <v>4.6201796215212594E-2</v>
      </c>
      <c r="AZ11">
        <f t="shared" si="36"/>
        <v>5.8114853573404297E-2</v>
      </c>
      <c r="BA11">
        <f t="shared" si="37"/>
        <v>7.0080829341433393E-2</v>
      </c>
      <c r="BB11">
        <f t="shared" si="38"/>
        <v>0.17436633291241277</v>
      </c>
      <c r="BC11">
        <f t="shared" si="39"/>
        <v>0.24872867527518139</v>
      </c>
      <c r="BD11">
        <f t="shared" si="40"/>
        <v>0.30411744905751403</v>
      </c>
      <c r="BE11">
        <f t="shared" si="41"/>
        <v>0.34775207052445578</v>
      </c>
    </row>
    <row r="12" spans="3:57" x14ac:dyDescent="0.3">
      <c r="C12" t="s">
        <v>29</v>
      </c>
      <c r="E12">
        <v>0</v>
      </c>
      <c r="H12">
        <v>90</v>
      </c>
      <c r="J12">
        <f t="shared" si="0"/>
        <v>5.2781549996934837E-2</v>
      </c>
      <c r="K12">
        <f t="shared" si="1"/>
        <v>0.13330906924780192</v>
      </c>
      <c r="L12">
        <f t="shared" si="2"/>
        <v>0.18952524812777746</v>
      </c>
      <c r="M12">
        <f t="shared" si="3"/>
        <v>0.23023301469857285</v>
      </c>
      <c r="N12">
        <f t="shared" si="4"/>
        <v>0.26142924756390218</v>
      </c>
      <c r="O12">
        <f t="shared" si="5"/>
        <v>0.28640779285454132</v>
      </c>
      <c r="P12">
        <f t="shared" si="6"/>
        <v>0.30707780777053395</v>
      </c>
      <c r="Q12">
        <f t="shared" si="7"/>
        <v>0.32461969070784658</v>
      </c>
      <c r="R12">
        <f t="shared" si="8"/>
        <v>0.3398047061837523</v>
      </c>
      <c r="S12">
        <f t="shared" si="9"/>
        <v>0.35316016226972924</v>
      </c>
      <c r="T12">
        <f t="shared" si="10"/>
        <v>0.43629337610345331</v>
      </c>
      <c r="U12">
        <f t="shared" si="11"/>
        <v>0.48231590099564647</v>
      </c>
      <c r="V12">
        <f t="shared" si="12"/>
        <v>0.51459751428423428</v>
      </c>
      <c r="W12">
        <f t="shared" si="13"/>
        <v>0.53975516312316763</v>
      </c>
      <c r="Y12">
        <v>90</v>
      </c>
      <c r="AA12">
        <f t="shared" si="14"/>
        <v>0.14625707559799994</v>
      </c>
      <c r="AB12">
        <f t="shared" si="15"/>
        <v>0.24092762709076576</v>
      </c>
      <c r="AC12">
        <f t="shared" si="16"/>
        <v>0.29432689998056172</v>
      </c>
      <c r="AD12">
        <f t="shared" si="17"/>
        <v>0.33020452050949323</v>
      </c>
      <c r="AE12">
        <f t="shared" si="18"/>
        <v>0.35679534006601854</v>
      </c>
      <c r="AF12">
        <f t="shared" si="19"/>
        <v>0.37775204713439936</v>
      </c>
      <c r="AG12">
        <f t="shared" si="20"/>
        <v>0.39497379522555537</v>
      </c>
      <c r="AH12">
        <f t="shared" si="21"/>
        <v>0.4095599317357414</v>
      </c>
      <c r="AI12">
        <f t="shared" si="22"/>
        <v>0.42219791583544131</v>
      </c>
      <c r="AJ12">
        <f t="shared" si="23"/>
        <v>0.43334341092094797</v>
      </c>
      <c r="AK12">
        <f t="shared" si="24"/>
        <v>0.50436249428511837</v>
      </c>
      <c r="AL12">
        <f t="shared" si="25"/>
        <v>0.54568875929400229</v>
      </c>
      <c r="AM12">
        <f t="shared" si="26"/>
        <v>0.57576298201651444</v>
      </c>
      <c r="AN12">
        <f t="shared" si="27"/>
        <v>0.59982092332225356</v>
      </c>
      <c r="AP12">
        <v>90</v>
      </c>
      <c r="AR12">
        <f t="shared" si="28"/>
        <v>5.1107517146906892E-4</v>
      </c>
      <c r="AS12">
        <f t="shared" si="29"/>
        <v>1.1044013907594808E-2</v>
      </c>
      <c r="AT12">
        <f t="shared" si="30"/>
        <v>3.2777626460408021E-2</v>
      </c>
      <c r="AU12">
        <f t="shared" si="31"/>
        <v>5.8088107987320343E-2</v>
      </c>
      <c r="AV12">
        <f t="shared" si="32"/>
        <v>8.3185859132694412E-2</v>
      </c>
      <c r="AW12">
        <f t="shared" si="33"/>
        <v>0.10674814223186854</v>
      </c>
      <c r="AX12">
        <f t="shared" si="34"/>
        <v>0.12843922086837081</v>
      </c>
      <c r="AY12">
        <f t="shared" si="35"/>
        <v>0.14828843430084723</v>
      </c>
      <c r="AZ12">
        <f t="shared" si="36"/>
        <v>0.1664485667707323</v>
      </c>
      <c r="BA12">
        <f t="shared" si="37"/>
        <v>0.18310240300676622</v>
      </c>
      <c r="BB12">
        <f t="shared" si="38"/>
        <v>0.29705856189617313</v>
      </c>
      <c r="BC12">
        <f t="shared" si="39"/>
        <v>0.36373551072271876</v>
      </c>
      <c r="BD12">
        <f t="shared" si="40"/>
        <v>0.4102886293803284</v>
      </c>
      <c r="BE12">
        <f t="shared" si="41"/>
        <v>0.44599904247550076</v>
      </c>
    </row>
    <row r="13" spans="3:57" x14ac:dyDescent="0.3">
      <c r="H13">
        <v>95</v>
      </c>
      <c r="J13">
        <f t="shared" si="0"/>
        <v>0.22255758462414449</v>
      </c>
      <c r="K13">
        <f t="shared" si="1"/>
        <v>0.3062898934344146</v>
      </c>
      <c r="L13">
        <f t="shared" si="2"/>
        <v>0.34971752968021519</v>
      </c>
      <c r="M13">
        <f t="shared" si="3"/>
        <v>0.3780368656656477</v>
      </c>
      <c r="N13">
        <f t="shared" si="4"/>
        <v>0.39873130138189328</v>
      </c>
      <c r="O13">
        <f t="shared" si="5"/>
        <v>0.41491980008730484</v>
      </c>
      <c r="P13">
        <f t="shared" si="6"/>
        <v>0.42816924322332078</v>
      </c>
      <c r="Q13">
        <f t="shared" si="7"/>
        <v>0.4393670542417723</v>
      </c>
      <c r="R13">
        <f t="shared" si="8"/>
        <v>0.4490598842795181</v>
      </c>
      <c r="S13">
        <f t="shared" si="9"/>
        <v>0.45760612784927152</v>
      </c>
      <c r="T13">
        <f t="shared" si="10"/>
        <v>0.51227864232904818</v>
      </c>
      <c r="U13">
        <f t="shared" si="11"/>
        <v>0.54448388447384266</v>
      </c>
      <c r="V13">
        <f t="shared" si="12"/>
        <v>0.56818955220522305</v>
      </c>
      <c r="W13">
        <f t="shared" si="13"/>
        <v>0.58734278687654107</v>
      </c>
      <c r="Y13">
        <v>95</v>
      </c>
      <c r="AA13">
        <f t="shared" si="14"/>
        <v>0.31465306570218488</v>
      </c>
      <c r="AB13">
        <f t="shared" si="15"/>
        <v>0.3819633040789554</v>
      </c>
      <c r="AC13">
        <f t="shared" si="16"/>
        <v>0.4161528933790935</v>
      </c>
      <c r="AD13">
        <f t="shared" si="17"/>
        <v>0.43865142750198133</v>
      </c>
      <c r="AE13">
        <f t="shared" si="18"/>
        <v>0.45534721551467583</v>
      </c>
      <c r="AF13">
        <f t="shared" si="19"/>
        <v>0.46862695070489663</v>
      </c>
      <c r="AG13">
        <f t="shared" si="20"/>
        <v>0.47967483058661126</v>
      </c>
      <c r="AH13">
        <f t="shared" si="21"/>
        <v>0.48915788300334873</v>
      </c>
      <c r="AI13">
        <f t="shared" si="22"/>
        <v>0.49748628363861275</v>
      </c>
      <c r="AJ13">
        <f t="shared" si="23"/>
        <v>0.50492907988438374</v>
      </c>
      <c r="AK13">
        <f t="shared" si="24"/>
        <v>0.55502719539571732</v>
      </c>
      <c r="AL13">
        <f t="shared" si="25"/>
        <v>0.58660823860191547</v>
      </c>
      <c r="AM13">
        <f t="shared" si="26"/>
        <v>0.61071300082010072</v>
      </c>
      <c r="AN13">
        <f t="shared" si="27"/>
        <v>0.63061486355917407</v>
      </c>
      <c r="AP13">
        <v>95</v>
      </c>
      <c r="AR13">
        <f t="shared" si="28"/>
        <v>5.7674144516076838E-2</v>
      </c>
      <c r="AS13">
        <f t="shared" si="29"/>
        <v>0.14009983864577802</v>
      </c>
      <c r="AT13">
        <f t="shared" si="30"/>
        <v>0.19646253524083446</v>
      </c>
      <c r="AU13">
        <f t="shared" si="31"/>
        <v>0.23694940812133697</v>
      </c>
      <c r="AV13">
        <f t="shared" si="32"/>
        <v>0.26784925915213059</v>
      </c>
      <c r="AW13">
        <f t="shared" si="33"/>
        <v>0.29253156538610559</v>
      </c>
      <c r="AX13">
        <f t="shared" si="34"/>
        <v>0.31292611764332445</v>
      </c>
      <c r="AY13">
        <f t="shared" si="35"/>
        <v>0.33021760012856716</v>
      </c>
      <c r="AZ13">
        <f t="shared" si="36"/>
        <v>0.34517641190667869</v>
      </c>
      <c r="BA13">
        <f t="shared" si="37"/>
        <v>0.35832748828828459</v>
      </c>
      <c r="BB13">
        <f t="shared" si="38"/>
        <v>0.44015891222205472</v>
      </c>
      <c r="BC13">
        <f t="shared" si="39"/>
        <v>0.48550787950516516</v>
      </c>
      <c r="BD13">
        <f t="shared" si="40"/>
        <v>0.51736188083892132</v>
      </c>
      <c r="BE13">
        <f t="shared" si="41"/>
        <v>0.54221660354441636</v>
      </c>
    </row>
    <row r="14" spans="3:57" x14ac:dyDescent="0.3">
      <c r="H14">
        <v>100</v>
      </c>
      <c r="J14">
        <f t="shared" si="0"/>
        <v>0.51891639999929629</v>
      </c>
      <c r="K14">
        <f t="shared" si="1"/>
        <v>0.5267418038869226</v>
      </c>
      <c r="L14">
        <f t="shared" si="2"/>
        <v>0.53273961671267711</v>
      </c>
      <c r="M14">
        <f t="shared" si="3"/>
        <v>0.53779029390666466</v>
      </c>
      <c r="N14">
        <f t="shared" si="4"/>
        <v>0.54223501331161406</v>
      </c>
      <c r="O14">
        <f t="shared" si="5"/>
        <v>0.54624882106468031</v>
      </c>
      <c r="P14">
        <f t="shared" si="6"/>
        <v>0.54993574324296035</v>
      </c>
      <c r="Q14">
        <f t="shared" si="7"/>
        <v>0.55336358492889404</v>
      </c>
      <c r="R14">
        <f t="shared" si="8"/>
        <v>0.55657946195545982</v>
      </c>
      <c r="S14">
        <f t="shared" si="9"/>
        <v>0.5596176923702425</v>
      </c>
      <c r="T14">
        <f t="shared" si="10"/>
        <v>0.58399798571368178</v>
      </c>
      <c r="U14">
        <f t="shared" si="11"/>
        <v>0.60249391401788099</v>
      </c>
      <c r="V14">
        <f t="shared" si="12"/>
        <v>0.61791142218895267</v>
      </c>
      <c r="W14">
        <f t="shared" si="13"/>
        <v>0.63134216139179089</v>
      </c>
      <c r="Y14">
        <v>100</v>
      </c>
      <c r="AA14">
        <f t="shared" si="14"/>
        <v>0.52311576495136336</v>
      </c>
      <c r="AB14">
        <f t="shared" si="15"/>
        <v>0.53267233292182181</v>
      </c>
      <c r="AC14">
        <f t="shared" si="16"/>
        <v>0.53999288758705544</v>
      </c>
      <c r="AD14">
        <f t="shared" si="17"/>
        <v>0.54615398735857779</v>
      </c>
      <c r="AE14">
        <f t="shared" si="18"/>
        <v>0.55157288637548119</v>
      </c>
      <c r="AF14">
        <f t="shared" si="19"/>
        <v>0.55646370539182832</v>
      </c>
      <c r="AG14">
        <f t="shared" si="20"/>
        <v>0.56095371673383299</v>
      </c>
      <c r="AH14">
        <f t="shared" si="21"/>
        <v>0.56512589389530654</v>
      </c>
      <c r="AI14">
        <f t="shared" si="22"/>
        <v>0.56903790416143729</v>
      </c>
      <c r="AJ14">
        <f t="shared" si="23"/>
        <v>0.57273175930304054</v>
      </c>
      <c r="AK14">
        <f t="shared" si="24"/>
        <v>0.60228749680470339</v>
      </c>
      <c r="AL14">
        <f t="shared" si="25"/>
        <v>0.62458405795544159</v>
      </c>
      <c r="AM14">
        <f t="shared" si="26"/>
        <v>0.64306616326250143</v>
      </c>
      <c r="AN14">
        <f t="shared" si="27"/>
        <v>0.65907714492767744</v>
      </c>
      <c r="AP14">
        <v>100</v>
      </c>
      <c r="AR14">
        <f t="shared" si="28"/>
        <v>0.51891639999929629</v>
      </c>
      <c r="AS14">
        <f t="shared" si="29"/>
        <v>0.5267418038869226</v>
      </c>
      <c r="AT14">
        <f t="shared" si="30"/>
        <v>0.53273961671267711</v>
      </c>
      <c r="AU14">
        <f t="shared" si="31"/>
        <v>0.53779029390666466</v>
      </c>
      <c r="AV14">
        <f t="shared" si="32"/>
        <v>0.54223501331161406</v>
      </c>
      <c r="AW14">
        <f t="shared" si="33"/>
        <v>0.54624882106468031</v>
      </c>
      <c r="AX14">
        <f t="shared" si="34"/>
        <v>0.54993574324296035</v>
      </c>
      <c r="AY14">
        <f t="shared" si="35"/>
        <v>0.55336358492889404</v>
      </c>
      <c r="AZ14">
        <f t="shared" si="36"/>
        <v>0.55657946195545982</v>
      </c>
      <c r="BA14">
        <f t="shared" si="37"/>
        <v>0.5596176923702425</v>
      </c>
      <c r="BB14">
        <f t="shared" si="38"/>
        <v>0.58399798571368178</v>
      </c>
      <c r="BC14">
        <f t="shared" si="39"/>
        <v>0.60249391401788088</v>
      </c>
      <c r="BD14">
        <f t="shared" si="40"/>
        <v>0.61791142218895267</v>
      </c>
      <c r="BE14">
        <f t="shared" si="41"/>
        <v>0.63134216139179089</v>
      </c>
    </row>
    <row r="15" spans="3:57" x14ac:dyDescent="0.3">
      <c r="H15">
        <v>105</v>
      </c>
      <c r="J15">
        <f t="shared" si="0"/>
        <v>0.79357096026156482</v>
      </c>
      <c r="K15">
        <f t="shared" si="1"/>
        <v>0.72992052908241489</v>
      </c>
      <c r="L15">
        <f t="shared" si="2"/>
        <v>0.70109401201543453</v>
      </c>
      <c r="M15">
        <f t="shared" si="3"/>
        <v>0.68459548536557624</v>
      </c>
      <c r="N15">
        <f t="shared" si="4"/>
        <v>0.67402849627857031</v>
      </c>
      <c r="O15">
        <f t="shared" si="5"/>
        <v>0.66681258720741177</v>
      </c>
      <c r="P15">
        <f t="shared" si="6"/>
        <v>0.66168859212232867</v>
      </c>
      <c r="Q15">
        <f t="shared" si="7"/>
        <v>0.65796272969308234</v>
      </c>
      <c r="R15">
        <f t="shared" si="8"/>
        <v>0.65521889020886737</v>
      </c>
      <c r="S15">
        <f t="shared" si="9"/>
        <v>0.65319132580079731</v>
      </c>
      <c r="T15">
        <f t="shared" si="10"/>
        <v>0.64974470477957968</v>
      </c>
      <c r="U15">
        <f t="shared" si="11"/>
        <v>0.6556620776426314</v>
      </c>
      <c r="V15">
        <f t="shared" si="12"/>
        <v>0.66347851713393957</v>
      </c>
      <c r="W15">
        <f t="shared" si="13"/>
        <v>0.67166244266164088</v>
      </c>
      <c r="Y15">
        <v>105</v>
      </c>
      <c r="AA15">
        <f t="shared" si="14"/>
        <v>0.71642998296826488</v>
      </c>
      <c r="AB15">
        <f t="shared" si="15"/>
        <v>0.67207480164598299</v>
      </c>
      <c r="AC15">
        <f t="shared" si="16"/>
        <v>0.65444283411208759</v>
      </c>
      <c r="AD15">
        <f t="shared" si="17"/>
        <v>0.64546184621426217</v>
      </c>
      <c r="AE15">
        <f t="shared" si="18"/>
        <v>0.64044005264399373</v>
      </c>
      <c r="AF15">
        <f t="shared" si="19"/>
        <v>0.6375691792945577</v>
      </c>
      <c r="AG15">
        <f t="shared" si="20"/>
        <v>0.63599441741087059</v>
      </c>
      <c r="AH15">
        <f t="shared" si="21"/>
        <v>0.63525669084775638</v>
      </c>
      <c r="AI15">
        <f t="shared" si="22"/>
        <v>0.63508678730440149</v>
      </c>
      <c r="AJ15">
        <f t="shared" si="23"/>
        <v>0.63531632275589001</v>
      </c>
      <c r="AK15">
        <f t="shared" si="24"/>
        <v>0.64589902155139922</v>
      </c>
      <c r="AL15">
        <f t="shared" si="25"/>
        <v>0.65962480217204278</v>
      </c>
      <c r="AM15">
        <f t="shared" si="26"/>
        <v>0.67291748622828185</v>
      </c>
      <c r="AN15">
        <f t="shared" si="27"/>
        <v>0.68533776358227261</v>
      </c>
      <c r="AP15">
        <v>105</v>
      </c>
      <c r="AR15">
        <f t="shared" si="28"/>
        <v>0.94411804837488877</v>
      </c>
      <c r="AS15">
        <f t="shared" si="29"/>
        <v>0.87658089249568349</v>
      </c>
      <c r="AT15">
        <f t="shared" si="30"/>
        <v>0.83470864554501067</v>
      </c>
      <c r="AU15">
        <f t="shared" si="31"/>
        <v>0.80683951354982253</v>
      </c>
      <c r="AV15">
        <f t="shared" si="32"/>
        <v>0.7870023302677005</v>
      </c>
      <c r="AW15">
        <f t="shared" si="33"/>
        <v>0.77218677368637101</v>
      </c>
      <c r="AX15">
        <f t="shared" si="34"/>
        <v>0.760730082505234</v>
      </c>
      <c r="AY15">
        <f t="shared" si="35"/>
        <v>0.75163843630541693</v>
      </c>
      <c r="AZ15">
        <f t="shared" si="36"/>
        <v>0.74427963343394432</v>
      </c>
      <c r="BA15">
        <f t="shared" si="37"/>
        <v>0.73823114549048119</v>
      </c>
      <c r="BB15">
        <f t="shared" si="38"/>
        <v>0.71128089691736807</v>
      </c>
      <c r="BC15">
        <f t="shared" si="39"/>
        <v>0.70591773123367962</v>
      </c>
      <c r="BD15">
        <f t="shared" si="40"/>
        <v>0.70676234221741052</v>
      </c>
      <c r="BE15">
        <f t="shared" si="41"/>
        <v>0.71007589254163683</v>
      </c>
    </row>
    <row r="16" spans="3:57" x14ac:dyDescent="0.3">
      <c r="H16">
        <v>110</v>
      </c>
      <c r="J16">
        <f t="shared" si="0"/>
        <v>0.93995791805464912</v>
      </c>
      <c r="K16">
        <f t="shared" si="1"/>
        <v>0.87132614165736733</v>
      </c>
      <c r="L16">
        <f t="shared" si="2"/>
        <v>0.82950660741686155</v>
      </c>
      <c r="M16">
        <f t="shared" si="3"/>
        <v>0.80188165059672933</v>
      </c>
      <c r="N16">
        <f t="shared" si="4"/>
        <v>0.78230772963384732</v>
      </c>
      <c r="O16">
        <f t="shared" si="5"/>
        <v>0.76773686176629652</v>
      </c>
      <c r="P16">
        <f t="shared" si="6"/>
        <v>0.7564993813863905</v>
      </c>
      <c r="Q16">
        <f t="shared" si="7"/>
        <v>0.74760249342748353</v>
      </c>
      <c r="R16">
        <f t="shared" si="8"/>
        <v>0.74041691025313783</v>
      </c>
      <c r="S16">
        <f t="shared" si="9"/>
        <v>0.73452316868917078</v>
      </c>
      <c r="T16">
        <f t="shared" si="10"/>
        <v>0.7085330993545631</v>
      </c>
      <c r="U16">
        <f t="shared" si="11"/>
        <v>0.70365585138940701</v>
      </c>
      <c r="V16">
        <f t="shared" si="12"/>
        <v>0.70480655105134737</v>
      </c>
      <c r="W16">
        <f t="shared" si="13"/>
        <v>0.70833606363246282</v>
      </c>
      <c r="Y16">
        <v>110</v>
      </c>
      <c r="AA16">
        <f t="shared" si="14"/>
        <v>0.85602570106502918</v>
      </c>
      <c r="AB16">
        <f t="shared" si="15"/>
        <v>0.78593314054026053</v>
      </c>
      <c r="AC16">
        <f t="shared" si="16"/>
        <v>0.75189182389050946</v>
      </c>
      <c r="AD16">
        <f t="shared" si="17"/>
        <v>0.7318042573881709</v>
      </c>
      <c r="AE16">
        <f t="shared" si="18"/>
        <v>0.71868272096314856</v>
      </c>
      <c r="AF16">
        <f t="shared" si="19"/>
        <v>0.70958032306564656</v>
      </c>
      <c r="AG16">
        <f t="shared" si="20"/>
        <v>0.70302215257089251</v>
      </c>
      <c r="AH16">
        <f t="shared" si="21"/>
        <v>0.69818182521677907</v>
      </c>
      <c r="AI16">
        <f t="shared" si="22"/>
        <v>0.69455768345693381</v>
      </c>
      <c r="AJ16">
        <f t="shared" si="23"/>
        <v>0.69182637898167587</v>
      </c>
      <c r="AK16">
        <f t="shared" si="24"/>
        <v>0.68577893776060739</v>
      </c>
      <c r="AL16">
        <f t="shared" si="25"/>
        <v>0.69180288754629138</v>
      </c>
      <c r="AM16">
        <f t="shared" si="26"/>
        <v>0.70038806898924744</v>
      </c>
      <c r="AN16">
        <f t="shared" si="27"/>
        <v>0.70953466945632937</v>
      </c>
      <c r="AP16">
        <v>110</v>
      </c>
      <c r="AR16">
        <f t="shared" si="28"/>
        <v>0.99889850177275419</v>
      </c>
      <c r="AS16">
        <f t="shared" si="29"/>
        <v>0.98603550784275051</v>
      </c>
      <c r="AT16">
        <f t="shared" si="30"/>
        <v>0.96579345861513155</v>
      </c>
      <c r="AU16">
        <f t="shared" si="31"/>
        <v>0.94540611613468872</v>
      </c>
      <c r="AV16">
        <f t="shared" si="32"/>
        <v>0.9270206788480384</v>
      </c>
      <c r="AW16">
        <f t="shared" si="33"/>
        <v>0.910951676948353</v>
      </c>
      <c r="AX16">
        <f t="shared" si="34"/>
        <v>0.8970058106562373</v>
      </c>
      <c r="AY16">
        <f t="shared" si="35"/>
        <v>0.88488455046683934</v>
      </c>
      <c r="AZ16">
        <f t="shared" si="36"/>
        <v>0.87430092401455395</v>
      </c>
      <c r="BA16">
        <f t="shared" si="37"/>
        <v>0.86500851994546202</v>
      </c>
      <c r="BB16">
        <f t="shared" si="38"/>
        <v>0.81221192244611107</v>
      </c>
      <c r="BC16">
        <f t="shared" si="39"/>
        <v>0.79105324594553816</v>
      </c>
      <c r="BD16">
        <f t="shared" si="40"/>
        <v>0.78128810999478626</v>
      </c>
      <c r="BE16">
        <f t="shared" si="41"/>
        <v>0.77686562090211797</v>
      </c>
    </row>
    <row r="17" spans="8:57" x14ac:dyDescent="0.3">
      <c r="H17">
        <v>115</v>
      </c>
      <c r="J17">
        <f t="shared" si="0"/>
        <v>0.98800422406854482</v>
      </c>
      <c r="K17">
        <f t="shared" si="1"/>
        <v>0.94841416414843493</v>
      </c>
      <c r="L17">
        <f t="shared" si="2"/>
        <v>0.91276887593354383</v>
      </c>
      <c r="M17">
        <f t="shared" si="3"/>
        <v>0.88488828305391432</v>
      </c>
      <c r="N17">
        <f t="shared" si="4"/>
        <v>0.8630953437034381</v>
      </c>
      <c r="O17">
        <f t="shared" si="5"/>
        <v>0.84574392541104015</v>
      </c>
      <c r="P17">
        <f t="shared" si="6"/>
        <v>0.83165762889347106</v>
      </c>
      <c r="Q17">
        <f t="shared" si="7"/>
        <v>0.82002413987768763</v>
      </c>
      <c r="R17">
        <f t="shared" si="8"/>
        <v>0.81027566906216286</v>
      </c>
      <c r="S17">
        <f t="shared" si="9"/>
        <v>0.80200640740621953</v>
      </c>
      <c r="T17">
        <f t="shared" si="10"/>
        <v>0.75998835998968672</v>
      </c>
      <c r="U17">
        <f t="shared" si="11"/>
        <v>0.74641976679143052</v>
      </c>
      <c r="V17">
        <f t="shared" si="12"/>
        <v>0.74196163694002004</v>
      </c>
      <c r="W17">
        <f t="shared" si="13"/>
        <v>0.74148404620256403</v>
      </c>
      <c r="Y17">
        <v>115</v>
      </c>
      <c r="AA17">
        <f t="shared" si="14"/>
        <v>0.9371394361344666</v>
      </c>
      <c r="AB17">
        <f t="shared" si="15"/>
        <v>0.86943263666792814</v>
      </c>
      <c r="AC17">
        <f t="shared" si="16"/>
        <v>0.82919270948748747</v>
      </c>
      <c r="AD17">
        <f t="shared" si="17"/>
        <v>0.80304840536517041</v>
      </c>
      <c r="AE17">
        <f t="shared" si="18"/>
        <v>0.78479210831011448</v>
      </c>
      <c r="AF17">
        <f t="shared" si="19"/>
        <v>0.77139506484411136</v>
      </c>
      <c r="AG17">
        <f t="shared" si="20"/>
        <v>0.76121383901599127</v>
      </c>
      <c r="AH17">
        <f t="shared" si="21"/>
        <v>0.75327765691030435</v>
      </c>
      <c r="AI17">
        <f t="shared" si="22"/>
        <v>0.74697433142683933</v>
      </c>
      <c r="AJ17">
        <f t="shared" si="23"/>
        <v>0.74189753633829758</v>
      </c>
      <c r="AK17">
        <f t="shared" si="24"/>
        <v>0.72196690064701641</v>
      </c>
      <c r="AL17">
        <f t="shared" si="25"/>
        <v>0.72123513401713546</v>
      </c>
      <c r="AM17">
        <f t="shared" si="26"/>
        <v>0.72561465541937875</v>
      </c>
      <c r="AN17">
        <f t="shared" si="27"/>
        <v>0.7318081009305093</v>
      </c>
      <c r="AP17">
        <v>115</v>
      </c>
      <c r="AR17">
        <f t="shared" si="28"/>
        <v>0.99999603555087258</v>
      </c>
      <c r="AS17">
        <f t="shared" si="29"/>
        <v>0.99929416451516662</v>
      </c>
      <c r="AT17">
        <f t="shared" si="30"/>
        <v>0.99577886954542294</v>
      </c>
      <c r="AU17">
        <f t="shared" si="31"/>
        <v>0.98940827229066197</v>
      </c>
      <c r="AV17">
        <f t="shared" si="32"/>
        <v>0.98135607564044858</v>
      </c>
      <c r="AW17">
        <f t="shared" si="33"/>
        <v>0.97260314455363983</v>
      </c>
      <c r="AX17">
        <f t="shared" si="34"/>
        <v>0.96375065198429899</v>
      </c>
      <c r="AY17">
        <f t="shared" si="35"/>
        <v>0.95512804158206499</v>
      </c>
      <c r="AZ17">
        <f t="shared" si="36"/>
        <v>0.94690122807155452</v>
      </c>
      <c r="BA17">
        <f t="shared" si="37"/>
        <v>0.9391430239591263</v>
      </c>
      <c r="BB17">
        <f t="shared" si="38"/>
        <v>0.88500763743571798</v>
      </c>
      <c r="BC17">
        <f t="shared" si="39"/>
        <v>0.85695166013778001</v>
      </c>
      <c r="BD17">
        <f t="shared" si="40"/>
        <v>0.84105655977843707</v>
      </c>
      <c r="BE17">
        <f t="shared" si="41"/>
        <v>0.83158425080253329</v>
      </c>
    </row>
    <row r="18" spans="8:57" x14ac:dyDescent="0.3">
      <c r="H18">
        <v>120</v>
      </c>
      <c r="J18">
        <f t="shared" si="0"/>
        <v>0.99830623193923973</v>
      </c>
      <c r="K18">
        <f t="shared" si="1"/>
        <v>0.9823760534317052</v>
      </c>
      <c r="L18">
        <f t="shared" si="2"/>
        <v>0.95963958476134859</v>
      </c>
      <c r="M18">
        <f t="shared" si="3"/>
        <v>0.93776106845399343</v>
      </c>
      <c r="N18">
        <f t="shared" si="4"/>
        <v>0.91853340172068842</v>
      </c>
      <c r="O18">
        <f t="shared" si="5"/>
        <v>0.90200659044195874</v>
      </c>
      <c r="P18">
        <f t="shared" si="6"/>
        <v>0.88783196322373703</v>
      </c>
      <c r="Q18">
        <f t="shared" si="7"/>
        <v>0.87562125149536263</v>
      </c>
      <c r="R18">
        <f t="shared" si="8"/>
        <v>0.86503450040480123</v>
      </c>
      <c r="S18">
        <f t="shared" si="9"/>
        <v>0.85579311074329822</v>
      </c>
      <c r="T18">
        <f t="shared" si="10"/>
        <v>0.80420462073819765</v>
      </c>
      <c r="U18">
        <f t="shared" si="11"/>
        <v>0.78410275921225248</v>
      </c>
      <c r="V18">
        <f t="shared" si="12"/>
        <v>0.77511660853638908</v>
      </c>
      <c r="W18">
        <f t="shared" si="13"/>
        <v>0.77128749032735988</v>
      </c>
      <c r="Y18">
        <v>120</v>
      </c>
      <c r="AA18">
        <f t="shared" si="14"/>
        <v>0.97613772992890591</v>
      </c>
      <c r="AB18">
        <f t="shared" si="15"/>
        <v>0.92519830817009863</v>
      </c>
      <c r="AC18">
        <f t="shared" si="16"/>
        <v>0.88685853170876361</v>
      </c>
      <c r="AD18">
        <f t="shared" si="17"/>
        <v>0.85923063815805933</v>
      </c>
      <c r="AE18">
        <f t="shared" si="18"/>
        <v>0.83869492248144772</v>
      </c>
      <c r="AF18">
        <f t="shared" si="19"/>
        <v>0.82293195018806276</v>
      </c>
      <c r="AG18">
        <f t="shared" si="20"/>
        <v>0.81050916202186163</v>
      </c>
      <c r="AH18">
        <f t="shared" si="21"/>
        <v>0.80051177059449707</v>
      </c>
      <c r="AI18">
        <f t="shared" si="22"/>
        <v>0.79233157169098423</v>
      </c>
      <c r="AJ18">
        <f t="shared" si="23"/>
        <v>0.78554896929810647</v>
      </c>
      <c r="AK18">
        <f t="shared" si="24"/>
        <v>0.754591046066726</v>
      </c>
      <c r="AL18">
        <f t="shared" si="25"/>
        <v>0.74806744044833073</v>
      </c>
      <c r="AM18">
        <f t="shared" si="26"/>
        <v>0.74874189438577665</v>
      </c>
      <c r="AN18">
        <f t="shared" si="27"/>
        <v>0.75229664733269386</v>
      </c>
      <c r="AP18">
        <v>120</v>
      </c>
      <c r="AR18">
        <f t="shared" si="28"/>
        <v>0.99999999693089381</v>
      </c>
      <c r="AS18">
        <f t="shared" si="29"/>
        <v>0.9999829287565416</v>
      </c>
      <c r="AT18">
        <f t="shared" si="30"/>
        <v>0.99967623132709937</v>
      </c>
      <c r="AU18">
        <f t="shared" si="31"/>
        <v>0.99854754541412227</v>
      </c>
      <c r="AV18">
        <f t="shared" si="32"/>
        <v>0.99636788743791604</v>
      </c>
      <c r="AW18">
        <f t="shared" si="33"/>
        <v>0.99324341588079323</v>
      </c>
      <c r="AX18">
        <f t="shared" si="34"/>
        <v>0.98940714410148023</v>
      </c>
      <c r="AY18">
        <f t="shared" si="35"/>
        <v>0.98509406838389901</v>
      </c>
      <c r="AZ18">
        <f t="shared" si="36"/>
        <v>0.98049779905589118</v>
      </c>
      <c r="BA18">
        <f t="shared" si="37"/>
        <v>0.9757644962341846</v>
      </c>
      <c r="BB18">
        <f t="shared" si="38"/>
        <v>0.93336619424077227</v>
      </c>
      <c r="BC18">
        <f t="shared" si="39"/>
        <v>0.90531441414396252</v>
      </c>
      <c r="BD18">
        <f t="shared" si="40"/>
        <v>0.88716872324765816</v>
      </c>
      <c r="BE18">
        <f t="shared" si="41"/>
        <v>0.87508800250645269</v>
      </c>
    </row>
    <row r="19" spans="8:57" x14ac:dyDescent="0.3">
      <c r="H19">
        <v>125</v>
      </c>
      <c r="J19">
        <f t="shared" si="0"/>
        <v>0.99982531626414572</v>
      </c>
      <c r="K19">
        <f t="shared" si="1"/>
        <v>0.99479497737862488</v>
      </c>
      <c r="L19">
        <f t="shared" si="2"/>
        <v>0.98296199066116863</v>
      </c>
      <c r="M19">
        <f t="shared" si="3"/>
        <v>0.96848451708238714</v>
      </c>
      <c r="N19">
        <f t="shared" si="4"/>
        <v>0.95390232385199913</v>
      </c>
      <c r="O19">
        <f t="shared" si="5"/>
        <v>0.9402142801511969</v>
      </c>
      <c r="P19">
        <f t="shared" si="6"/>
        <v>0.92772250848626392</v>
      </c>
      <c r="Q19">
        <f t="shared" si="7"/>
        <v>0.91644879859772543</v>
      </c>
      <c r="R19">
        <f t="shared" si="8"/>
        <v>0.90631047116941144</v>
      </c>
      <c r="S19">
        <f t="shared" si="9"/>
        <v>0.89719292559733332</v>
      </c>
      <c r="T19">
        <f t="shared" si="10"/>
        <v>0.84160197553171501</v>
      </c>
      <c r="U19">
        <f t="shared" si="11"/>
        <v>0.81699370064357868</v>
      </c>
      <c r="V19">
        <f t="shared" si="12"/>
        <v>0.80451480332788361</v>
      </c>
      <c r="W19">
        <f t="shared" si="13"/>
        <v>0.79796496558691377</v>
      </c>
      <c r="Y19">
        <v>125</v>
      </c>
      <c r="AA19">
        <f t="shared" si="14"/>
        <v>0.99202624587419741</v>
      </c>
      <c r="AB19">
        <f t="shared" si="15"/>
        <v>0.95952522958374731</v>
      </c>
      <c r="AC19">
        <f t="shared" si="16"/>
        <v>0.92763817410360494</v>
      </c>
      <c r="AD19">
        <f t="shared" si="17"/>
        <v>0.90182488378357173</v>
      </c>
      <c r="AE19">
        <f t="shared" si="18"/>
        <v>0.8813068623898227</v>
      </c>
      <c r="AF19">
        <f t="shared" si="19"/>
        <v>0.86482705141973804</v>
      </c>
      <c r="AG19">
        <f t="shared" si="20"/>
        <v>0.85138984659601924</v>
      </c>
      <c r="AH19">
        <f t="shared" si="21"/>
        <v>0.84027414396084255</v>
      </c>
      <c r="AI19">
        <f t="shared" si="22"/>
        <v>0.83096150825161674</v>
      </c>
      <c r="AJ19">
        <f t="shared" si="23"/>
        <v>0.82307441711333762</v>
      </c>
      <c r="AK19">
        <f t="shared" si="24"/>
        <v>0.78383972120701739</v>
      </c>
      <c r="AL19">
        <f t="shared" si="25"/>
        <v>0.77246297183665924</v>
      </c>
      <c r="AM19">
        <f t="shared" si="26"/>
        <v>0.76991671192728905</v>
      </c>
      <c r="AN19">
        <f t="shared" si="27"/>
        <v>0.77113459229413017</v>
      </c>
      <c r="AP19">
        <v>125</v>
      </c>
      <c r="AR19">
        <f t="shared" si="28"/>
        <v>0.99999999999939337</v>
      </c>
      <c r="AS19">
        <f t="shared" si="29"/>
        <v>0.99999978673956835</v>
      </c>
      <c r="AT19">
        <f t="shared" si="30"/>
        <v>0.99998381961018046</v>
      </c>
      <c r="AU19">
        <f t="shared" si="31"/>
        <v>0.99985444081884667</v>
      </c>
      <c r="AV19">
        <f t="shared" si="32"/>
        <v>0.99944644902317548</v>
      </c>
      <c r="AW19">
        <f t="shared" si="33"/>
        <v>0.99863656915944365</v>
      </c>
      <c r="AX19">
        <f t="shared" si="34"/>
        <v>0.9973854793151351</v>
      </c>
      <c r="AY19">
        <f t="shared" si="35"/>
        <v>0.99571799089194879</v>
      </c>
      <c r="AZ19">
        <f t="shared" si="36"/>
        <v>0.99369223383243865</v>
      </c>
      <c r="BA19">
        <f t="shared" si="37"/>
        <v>0.9913773450413681</v>
      </c>
      <c r="BB19">
        <f t="shared" si="38"/>
        <v>0.96327265988008681</v>
      </c>
      <c r="BC19">
        <f t="shared" si="39"/>
        <v>0.9392042006984751</v>
      </c>
      <c r="BD19">
        <f t="shared" si="40"/>
        <v>0.9215709212989972</v>
      </c>
      <c r="BE19">
        <f t="shared" si="41"/>
        <v>0.90878962693226017</v>
      </c>
    </row>
    <row r="20" spans="8:57" x14ac:dyDescent="0.3">
      <c r="H20">
        <v>130</v>
      </c>
      <c r="J20">
        <f t="shared" si="0"/>
        <v>0.99998640314018139</v>
      </c>
      <c r="K20">
        <f t="shared" si="1"/>
        <v>0.99865188998007925</v>
      </c>
      <c r="L20">
        <f t="shared" si="2"/>
        <v>0.99337921785148087</v>
      </c>
      <c r="M20">
        <f t="shared" si="3"/>
        <v>0.98496017489321974</v>
      </c>
      <c r="N20">
        <f t="shared" si="4"/>
        <v>0.97507573833647321</v>
      </c>
      <c r="O20">
        <f t="shared" si="5"/>
        <v>0.96483221684018183</v>
      </c>
      <c r="P20">
        <f t="shared" si="6"/>
        <v>0.95481273623086027</v>
      </c>
      <c r="Q20">
        <f t="shared" si="7"/>
        <v>0.9452921469955603</v>
      </c>
      <c r="R20">
        <f t="shared" si="8"/>
        <v>0.93638087415065951</v>
      </c>
      <c r="S20">
        <f t="shared" si="9"/>
        <v>0.92810491023994279</v>
      </c>
      <c r="T20">
        <f t="shared" si="10"/>
        <v>0.87280055331254425</v>
      </c>
      <c r="U20">
        <f t="shared" si="11"/>
        <v>0.84546800175065795</v>
      </c>
      <c r="V20">
        <f t="shared" si="12"/>
        <v>0.83044131386615572</v>
      </c>
      <c r="W20">
        <f t="shared" si="13"/>
        <v>0.82175514850703979</v>
      </c>
      <c r="Y20">
        <v>130</v>
      </c>
      <c r="AA20">
        <f t="shared" si="14"/>
        <v>0.9976251547967403</v>
      </c>
      <c r="AB20">
        <f t="shared" si="15"/>
        <v>0.97920186730211123</v>
      </c>
      <c r="AC20">
        <f t="shared" si="16"/>
        <v>0.95516243259384059</v>
      </c>
      <c r="AD20">
        <f t="shared" si="17"/>
        <v>0.93302831921275364</v>
      </c>
      <c r="AE20">
        <f t="shared" si="18"/>
        <v>0.91409849026161683</v>
      </c>
      <c r="AF20">
        <f t="shared" si="19"/>
        <v>0.89814375452956496</v>
      </c>
      <c r="AG20">
        <f t="shared" si="20"/>
        <v>0.8846722298971994</v>
      </c>
      <c r="AH20">
        <f t="shared" si="21"/>
        <v>0.87322148228571717</v>
      </c>
      <c r="AI20">
        <f t="shared" si="22"/>
        <v>0.86341232176687477</v>
      </c>
      <c r="AJ20">
        <f t="shared" si="23"/>
        <v>0.85494512380940124</v>
      </c>
      <c r="AK20">
        <f t="shared" si="24"/>
        <v>0.80993885351262629</v>
      </c>
      <c r="AL20">
        <f t="shared" si="25"/>
        <v>0.79459325631183764</v>
      </c>
      <c r="AM20">
        <f t="shared" si="26"/>
        <v>0.78928431354169604</v>
      </c>
      <c r="AN20">
        <f t="shared" si="27"/>
        <v>0.78845019812977468</v>
      </c>
      <c r="AP20">
        <v>130</v>
      </c>
      <c r="AR20">
        <f t="shared" si="28"/>
        <v>1</v>
      </c>
      <c r="AS20">
        <f t="shared" si="29"/>
        <v>0.99999999851931465</v>
      </c>
      <c r="AT20">
        <f t="shared" si="30"/>
        <v>0.99999944833507226</v>
      </c>
      <c r="AU20">
        <f t="shared" si="31"/>
        <v>0.99998898282504689</v>
      </c>
      <c r="AV20">
        <f t="shared" si="32"/>
        <v>0.99993230917992704</v>
      </c>
      <c r="AW20">
        <f t="shared" si="33"/>
        <v>0.99977023212247085</v>
      </c>
      <c r="AX20">
        <f t="shared" si="34"/>
        <v>0.99944558802202021</v>
      </c>
      <c r="AY20">
        <f t="shared" si="35"/>
        <v>0.99892066116278744</v>
      </c>
      <c r="AZ20">
        <f t="shared" si="36"/>
        <v>0.99818047109526631</v>
      </c>
      <c r="BA20">
        <f t="shared" si="37"/>
        <v>0.99722837337629622</v>
      </c>
      <c r="BB20">
        <f t="shared" si="38"/>
        <v>0.9806483495408157</v>
      </c>
      <c r="BC20">
        <f t="shared" si="39"/>
        <v>0.96201541129490264</v>
      </c>
      <c r="BD20">
        <f t="shared" si="40"/>
        <v>0.94649958655795841</v>
      </c>
      <c r="BE20">
        <f t="shared" si="41"/>
        <v>0.93431723431540992</v>
      </c>
    </row>
    <row r="21" spans="8:57" x14ac:dyDescent="0.3">
      <c r="H21">
        <v>135</v>
      </c>
      <c r="J21">
        <f t="shared" si="0"/>
        <v>0.99999917643923686</v>
      </c>
      <c r="K21">
        <f t="shared" si="1"/>
        <v>0.99968959215435294</v>
      </c>
      <c r="L21">
        <f t="shared" si="2"/>
        <v>0.99761170131759624</v>
      </c>
      <c r="M21">
        <f t="shared" si="3"/>
        <v>0.99319515409537595</v>
      </c>
      <c r="N21">
        <f t="shared" si="4"/>
        <v>0.987063941065492</v>
      </c>
      <c r="O21">
        <f t="shared" si="5"/>
        <v>0.97998098357938546</v>
      </c>
      <c r="P21">
        <f t="shared" si="6"/>
        <v>0.97250574341060869</v>
      </c>
      <c r="Q21">
        <f t="shared" si="7"/>
        <v>0.9649914282191755</v>
      </c>
      <c r="R21">
        <f t="shared" si="8"/>
        <v>0.95764540824748623</v>
      </c>
      <c r="S21">
        <f t="shared" si="9"/>
        <v>0.95058198959185258</v>
      </c>
      <c r="T21">
        <f t="shared" si="10"/>
        <v>0.89851971842195577</v>
      </c>
      <c r="U21">
        <f t="shared" si="11"/>
        <v>0.86994580030636615</v>
      </c>
      <c r="V21">
        <f t="shared" si="12"/>
        <v>0.85320104521339801</v>
      </c>
      <c r="W21">
        <f t="shared" si="13"/>
        <v>0.8429039016580514</v>
      </c>
      <c r="Y21">
        <v>135</v>
      </c>
      <c r="AA21">
        <f t="shared" si="14"/>
        <v>0.99936207053892745</v>
      </c>
      <c r="AB21">
        <f t="shared" si="15"/>
        <v>0.98979805440371849</v>
      </c>
      <c r="AC21">
        <f t="shared" si="16"/>
        <v>0.97299735807546195</v>
      </c>
      <c r="AD21">
        <f t="shared" si="17"/>
        <v>0.95521216048553548</v>
      </c>
      <c r="AE21">
        <f t="shared" si="18"/>
        <v>0.93874735257652986</v>
      </c>
      <c r="AF21">
        <f t="shared" si="19"/>
        <v>0.92413592245152854</v>
      </c>
      <c r="AG21">
        <f t="shared" si="20"/>
        <v>0.91133681457196536</v>
      </c>
      <c r="AH21">
        <f t="shared" si="21"/>
        <v>0.90014918606468963</v>
      </c>
      <c r="AI21">
        <f t="shared" si="22"/>
        <v>0.89034882296294016</v>
      </c>
      <c r="AJ21">
        <f t="shared" si="23"/>
        <v>0.88173051157264637</v>
      </c>
      <c r="AK21">
        <f t="shared" si="24"/>
        <v>0.83313443249219921</v>
      </c>
      <c r="AL21">
        <f t="shared" si="25"/>
        <v>0.81463163438593589</v>
      </c>
      <c r="AM21">
        <f t="shared" si="26"/>
        <v>0.80698542949219532</v>
      </c>
      <c r="AN21">
        <f t="shared" si="27"/>
        <v>0.80436467483037943</v>
      </c>
      <c r="AP21">
        <v>135</v>
      </c>
      <c r="AR21">
        <f t="shared" si="28"/>
        <v>1</v>
      </c>
      <c r="AS21">
        <f t="shared" si="29"/>
        <v>0.99999999999389166</v>
      </c>
      <c r="AT21">
        <f t="shared" si="30"/>
        <v>0.9999999866108833</v>
      </c>
      <c r="AU21">
        <f t="shared" si="31"/>
        <v>0.99999935060366185</v>
      </c>
      <c r="AV21">
        <f t="shared" si="32"/>
        <v>0.99999319889057736</v>
      </c>
      <c r="AW21">
        <f t="shared" si="33"/>
        <v>0.99996703614043125</v>
      </c>
      <c r="AX21">
        <f t="shared" si="34"/>
        <v>0.99989736258573836</v>
      </c>
      <c r="AY21">
        <f t="shared" si="35"/>
        <v>0.99975797900363672</v>
      </c>
      <c r="AZ21">
        <f t="shared" si="36"/>
        <v>0.99952627336039468</v>
      </c>
      <c r="BA21">
        <f t="shared" si="37"/>
        <v>0.99918656546080542</v>
      </c>
      <c r="BB21">
        <f t="shared" si="38"/>
        <v>0.99020716359662175</v>
      </c>
      <c r="BC21">
        <f t="shared" si="39"/>
        <v>0.97683982081086107</v>
      </c>
      <c r="BD21">
        <f t="shared" si="40"/>
        <v>0.9641109494110095</v>
      </c>
      <c r="BE21">
        <f t="shared" si="41"/>
        <v>0.9532794554679479</v>
      </c>
    </row>
    <row r="22" spans="8:57" x14ac:dyDescent="0.3">
      <c r="H22">
        <v>140</v>
      </c>
      <c r="J22">
        <f t="shared" si="0"/>
        <v>0.99999996008829672</v>
      </c>
      <c r="K22">
        <f t="shared" si="1"/>
        <v>0.99993565599706147</v>
      </c>
      <c r="L22">
        <f t="shared" si="2"/>
        <v>0.99919396953371908</v>
      </c>
      <c r="M22">
        <f t="shared" si="3"/>
        <v>0.99706463005532564</v>
      </c>
      <c r="N22">
        <f t="shared" si="4"/>
        <v>0.9935275944696309</v>
      </c>
      <c r="O22">
        <f t="shared" si="5"/>
        <v>0.98893439681623385</v>
      </c>
      <c r="P22">
        <f t="shared" si="6"/>
        <v>0.98367272820713014</v>
      </c>
      <c r="Q22">
        <f t="shared" si="7"/>
        <v>0.97805296953813903</v>
      </c>
      <c r="R22">
        <f t="shared" si="8"/>
        <v>0.97229624527713165</v>
      </c>
      <c r="S22">
        <f t="shared" si="9"/>
        <v>0.96655118639654458</v>
      </c>
      <c r="T22">
        <f t="shared" si="10"/>
        <v>0.91950370400292614</v>
      </c>
      <c r="U22">
        <f t="shared" si="11"/>
        <v>0.89086087651205026</v>
      </c>
      <c r="V22">
        <f t="shared" si="12"/>
        <v>0.87310261037867953</v>
      </c>
      <c r="W22">
        <f t="shared" si="13"/>
        <v>0.86165498136593754</v>
      </c>
      <c r="Y22">
        <v>140</v>
      </c>
      <c r="AA22">
        <f t="shared" si="14"/>
        <v>0.99984374547949573</v>
      </c>
      <c r="AB22">
        <f t="shared" si="15"/>
        <v>0.99519988085741351</v>
      </c>
      <c r="AC22">
        <f t="shared" si="16"/>
        <v>0.98414791288614301</v>
      </c>
      <c r="AD22">
        <f t="shared" si="17"/>
        <v>0.97057515521784565</v>
      </c>
      <c r="AE22">
        <f t="shared" si="18"/>
        <v>0.95689898642329607</v>
      </c>
      <c r="AF22">
        <f t="shared" si="19"/>
        <v>0.94407756560009015</v>
      </c>
      <c r="AG22">
        <f t="shared" si="20"/>
        <v>0.93240240791875728</v>
      </c>
      <c r="AH22">
        <f t="shared" si="21"/>
        <v>0.92189531953464121</v>
      </c>
      <c r="AI22">
        <f t="shared" si="22"/>
        <v>0.9124771715221327</v>
      </c>
      <c r="AJ22">
        <f t="shared" si="23"/>
        <v>0.90403781886513113</v>
      </c>
      <c r="AK22">
        <f t="shared" si="24"/>
        <v>0.85367938888663453</v>
      </c>
      <c r="AL22">
        <f t="shared" si="25"/>
        <v>0.83274857213885123</v>
      </c>
      <c r="AM22">
        <f t="shared" si="26"/>
        <v>0.82315449700674104</v>
      </c>
      <c r="AN22">
        <f t="shared" si="27"/>
        <v>0.81899164140300906</v>
      </c>
      <c r="AP22">
        <v>140</v>
      </c>
      <c r="AR22">
        <f t="shared" si="28"/>
        <v>1</v>
      </c>
      <c r="AS22">
        <f t="shared" si="29"/>
        <v>0.99999999999998412</v>
      </c>
      <c r="AT22">
        <f t="shared" si="30"/>
        <v>0.99999999975964071</v>
      </c>
      <c r="AU22">
        <f t="shared" si="31"/>
        <v>0.99999996934905533</v>
      </c>
      <c r="AV22">
        <f t="shared" si="32"/>
        <v>0.99999942627332528</v>
      </c>
      <c r="AW22">
        <f t="shared" si="33"/>
        <v>0.99999590254116577</v>
      </c>
      <c r="AX22">
        <f t="shared" si="34"/>
        <v>0.99998316518966346</v>
      </c>
      <c r="AY22">
        <f t="shared" si="35"/>
        <v>0.99995111048223762</v>
      </c>
      <c r="AZ22">
        <f t="shared" si="36"/>
        <v>0.99988744523010076</v>
      </c>
      <c r="BA22">
        <f t="shared" si="37"/>
        <v>0.99977989302522097</v>
      </c>
      <c r="BB22">
        <f t="shared" si="38"/>
        <v>0.99521999012116835</v>
      </c>
      <c r="BC22">
        <f t="shared" si="39"/>
        <v>0.98618256040797059</v>
      </c>
      <c r="BD22">
        <f t="shared" si="40"/>
        <v>0.97628058460472156</v>
      </c>
      <c r="BE22">
        <f t="shared" si="41"/>
        <v>0.96712760884191817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2B8274-A061-45B3-BFFD-77A3F821C5B3}">
  <sheetPr codeName="Sheet3"/>
  <dimension ref="B1:AN48"/>
  <sheetViews>
    <sheetView zoomScale="55" zoomScaleNormal="55" workbookViewId="0">
      <selection activeCell="V37" sqref="V37"/>
    </sheetView>
  </sheetViews>
  <sheetFormatPr defaultRowHeight="14.4" x14ac:dyDescent="0.3"/>
  <cols>
    <col min="9" max="18" width="12" bestFit="1" customWidth="1"/>
    <col min="19" max="20" width="12" customWidth="1"/>
    <col min="27" max="32" width="12" bestFit="1" customWidth="1"/>
    <col min="33" max="33" width="11" bestFit="1" customWidth="1"/>
    <col min="34" max="36" width="12" bestFit="1" customWidth="1"/>
  </cols>
  <sheetData>
    <row r="1" spans="2:40" x14ac:dyDescent="0.3">
      <c r="Z1" t="s">
        <v>27</v>
      </c>
      <c r="AA1">
        <v>0.3</v>
      </c>
    </row>
    <row r="2" spans="2:40" x14ac:dyDescent="0.3">
      <c r="B2" t="s">
        <v>32</v>
      </c>
    </row>
    <row r="3" spans="2:40" x14ac:dyDescent="0.3">
      <c r="H3" t="s">
        <v>31</v>
      </c>
      <c r="I3">
        <v>0.1</v>
      </c>
      <c r="J3">
        <v>0.2</v>
      </c>
      <c r="K3">
        <v>0.3</v>
      </c>
      <c r="L3">
        <v>0.4</v>
      </c>
      <c r="M3">
        <v>0.5</v>
      </c>
      <c r="N3">
        <v>0.6</v>
      </c>
      <c r="O3">
        <v>0.7</v>
      </c>
      <c r="P3">
        <v>0.8</v>
      </c>
      <c r="Q3">
        <v>0.9</v>
      </c>
      <c r="R3">
        <v>1</v>
      </c>
      <c r="S3">
        <v>2</v>
      </c>
      <c r="T3">
        <v>3</v>
      </c>
      <c r="U3">
        <v>4</v>
      </c>
      <c r="V3">
        <v>5</v>
      </c>
      <c r="Z3" t="s">
        <v>31</v>
      </c>
      <c r="AA3">
        <v>0.1</v>
      </c>
      <c r="AB3">
        <v>0.2</v>
      </c>
      <c r="AC3">
        <v>0.3</v>
      </c>
      <c r="AD3">
        <v>0.4</v>
      </c>
      <c r="AE3">
        <v>0.5</v>
      </c>
      <c r="AF3">
        <v>0.6</v>
      </c>
      <c r="AG3">
        <v>0.7</v>
      </c>
      <c r="AH3">
        <v>0.8</v>
      </c>
      <c r="AI3">
        <v>0.9</v>
      </c>
      <c r="AJ3">
        <v>1</v>
      </c>
      <c r="AK3">
        <v>2</v>
      </c>
      <c r="AL3">
        <v>3</v>
      </c>
      <c r="AM3">
        <v>4</v>
      </c>
      <c r="AN3">
        <v>5</v>
      </c>
    </row>
    <row r="4" spans="2:40" x14ac:dyDescent="0.3">
      <c r="G4" t="s">
        <v>24</v>
      </c>
      <c r="Y4" t="s">
        <v>24</v>
      </c>
    </row>
    <row r="5" spans="2:40" x14ac:dyDescent="0.3">
      <c r="B5" t="s">
        <v>23</v>
      </c>
      <c r="D5" t="s">
        <v>30</v>
      </c>
      <c r="G5">
        <v>60</v>
      </c>
      <c r="I5">
        <f>OptionGamma(G5,$D$7,$I$3,$D$10,$D$9,$D$11)</f>
        <v>1.0516556577990479E-15</v>
      </c>
      <c r="J5">
        <f>OptionGamma(G5,$D$7,$J$3,$D$10,$D$9,$D$11)</f>
        <v>8.9897290546272933E-9</v>
      </c>
      <c r="K5">
        <f>OptionGamma(G5,$D$7,$K$3,$D$10,$D$9,$D$11)</f>
        <v>1.6833377571562758E-6</v>
      </c>
      <c r="L5">
        <f>OptionGamma(G5,$D$7,$L$3,$D$10,$D$9,$D$11)</f>
        <v>2.2064431982817092E-5</v>
      </c>
      <c r="M5">
        <f>OptionGamma(G5,$D$7,$M$3,$D$10,$D$9,$D$11)</f>
        <v>1.0070170546498096E-4</v>
      </c>
      <c r="N5">
        <f>OptionGamma(G5,$D$7,$N$3,$D$10,$D$9,$D$11)</f>
        <v>2.7236380704730449E-4</v>
      </c>
      <c r="O5">
        <f>OptionGamma(G5,$D$7,$O$3,$D$10,$D$9,$D$11)</f>
        <v>5.476048159651799E-4</v>
      </c>
      <c r="P5">
        <f>OptionGamma(G5,$D$7,$P$3,$D$10,$D$9,$D$11)</f>
        <v>9.1609936771568209E-4</v>
      </c>
      <c r="Q5">
        <f>OptionGamma(G5,$D$7,$Q$3,$D$10,$D$9,$D$11)</f>
        <v>1.3571389458380512E-3</v>
      </c>
      <c r="R5">
        <f>OptionGamma(G5,$D$7,$R$3,$D$10,$D$9,$D$11)</f>
        <v>1.8477969471792112E-3</v>
      </c>
      <c r="S5">
        <f>OptionGamma(G5,$D$7,$S$3,$D$10,$D$9,$D$11)</f>
        <v>6.5999568536451924E-3</v>
      </c>
      <c r="T5">
        <f>OptionGamma(G5,$D$7,$T$3,$D$10,$D$9,$D$11)</f>
        <v>9.1771016304238069E-3</v>
      </c>
      <c r="U5">
        <f>OptionGamma(G5,$D$7,$U$3,$D$10,$D$9,$D$11)</f>
        <v>1.0313315500073911E-2</v>
      </c>
      <c r="V5">
        <f>OptionGamma(G5,$D$7,$V$3,$D$10,$D$9,$D$11)</f>
        <v>1.073708151996329E-2</v>
      </c>
      <c r="Y5">
        <v>60</v>
      </c>
      <c r="AA5">
        <f>OptionGamma(Y5,$D$7,$AA$3,$D$10,$AA$1,$D$11)</f>
        <v>4.8371729163416155E-8</v>
      </c>
      <c r="AB5">
        <f>OptionGamma(Y5,$D$7,$AB$3,$D$10,$AA$1,$D$11)</f>
        <v>4.8005602280442924E-5</v>
      </c>
      <c r="AC5">
        <f>OptionGamma(Y5,$D$7,$AC$3,$D$10,$AA$1,$D$11)</f>
        <v>4.3836057898992057E-4</v>
      </c>
      <c r="AD5">
        <f>OptionGamma(Y5,$D$7,$AD$3,$D$10,$AA$1,$D$11)</f>
        <v>1.2684980236185482E-3</v>
      </c>
      <c r="AE5">
        <f>OptionGamma(Y5,$D$7,$AE$3,$D$10,$AA$1,$D$11)</f>
        <v>2.3382957957450985E-3</v>
      </c>
      <c r="AF5">
        <f>OptionGamma(Y5,$D$7,$AF$3,$D$10,$AA$1,$D$11)</f>
        <v>3.4549517028754717E-3</v>
      </c>
      <c r="AG5">
        <f>OptionGamma(Y5,$D$7,$AG$3,$D$10,$AA$1,$D$11)</f>
        <v>4.5096296845151063E-3</v>
      </c>
      <c r="AH5">
        <f>OptionGamma(Y5,$D$7,$AH$3,$D$10,$AA$1,$D$11)</f>
        <v>5.4555892387964204E-3</v>
      </c>
      <c r="AI5">
        <f>OptionGamma(Y5,$D$7,$AI$3,$D$10,$AA$1,$D$11)</f>
        <v>6.2802722099484769E-3</v>
      </c>
      <c r="AJ5">
        <f>OptionGamma(Y5,$D$7,$AJ$3,$D$10,$AA$1,$D$11)</f>
        <v>6.9875383385906891E-3</v>
      </c>
      <c r="AK5">
        <f>OptionGamma(Y5,$D$7,$AK$3,$D$10,$AA$1,$D$11)</f>
        <v>1.0030097674802637E-2</v>
      </c>
      <c r="AL5">
        <f>OptionGamma(Y5,$D$7,$AL$3,$D$10,$AA$1,$D$11)</f>
        <v>1.025398028665004E-2</v>
      </c>
      <c r="AM5">
        <f>OptionGamma(Y5,$D$7,$AM$3,$D$10,$AA$1,$D$11)</f>
        <v>9.8534950455954461E-3</v>
      </c>
      <c r="AN5">
        <f>OptionGamma(Y5,$D$7,$AN$3,$D$10,$AA$1,$D$11)</f>
        <v>9.3178601442685666E-3</v>
      </c>
    </row>
    <row r="6" spans="2:40" x14ac:dyDescent="0.3">
      <c r="B6" t="s">
        <v>24</v>
      </c>
      <c r="D6">
        <v>100</v>
      </c>
      <c r="G6">
        <v>65</v>
      </c>
      <c r="I6">
        <f t="shared" ref="I6:I21" si="0">OptionGamma(G6,$D$7,$I$3,$D$10,$D$9,$D$11)</f>
        <v>1.1286957540817279E-11</v>
      </c>
      <c r="J6">
        <f t="shared" ref="J6:J21" si="1">OptionGamma(G6,$D$7,$J$3,$D$10,$D$9,$D$11)</f>
        <v>8.6832323834608022E-7</v>
      </c>
      <c r="K6">
        <f t="shared" ref="K6:K21" si="2">OptionGamma(G6,$D$7,$K$3,$D$10,$D$9,$D$11)</f>
        <v>3.3820751258091636E-5</v>
      </c>
      <c r="L6">
        <f t="shared" ref="L6:L21" si="3">OptionGamma(G6,$D$7,$L$3,$D$10,$D$9,$D$11)</f>
        <v>2.0218238688417126E-4</v>
      </c>
      <c r="M6">
        <f t="shared" ref="M6:M21" si="4">OptionGamma(G6,$D$7,$M$3,$D$10,$D$9,$D$11)</f>
        <v>5.7611680391896742E-4</v>
      </c>
      <c r="N6">
        <f t="shared" ref="N6:N21" si="5">OptionGamma(G6,$D$7,$N$3,$D$10,$D$9,$D$11)</f>
        <v>1.1382523244176247E-3</v>
      </c>
      <c r="O6">
        <f t="shared" ref="O6:O21" si="6">OptionGamma(G6,$D$7,$O$3,$D$10,$D$9,$D$11)</f>
        <v>1.8286848240875091E-3</v>
      </c>
      <c r="P6">
        <f t="shared" ref="P6:P21" si="7">OptionGamma(G6,$D$7,$P$3,$D$10,$D$9,$D$11)</f>
        <v>2.585538590771336E-3</v>
      </c>
      <c r="Q6">
        <f t="shared" ref="Q6:Q21" si="8">OptionGamma(G6,$D$7,$Q$3,$D$10,$D$9,$D$11)</f>
        <v>3.3605151026574521E-3</v>
      </c>
      <c r="R6">
        <f t="shared" ref="R6:R21" si="9">OptionGamma(G6,$D$7,$R$3,$D$10,$D$9,$D$11)</f>
        <v>4.1207309613217006E-3</v>
      </c>
      <c r="S6">
        <f t="shared" ref="S6:S21" si="10">OptionGamma(G6,$D$7,$S$3,$D$10,$D$9,$D$11)</f>
        <v>9.1893387459059377E-3</v>
      </c>
      <c r="T6">
        <f t="shared" ref="T6:T21" si="11">OptionGamma(G6,$D$7,$T$3,$D$10,$D$9,$D$11)</f>
        <v>1.0920849507992854E-2</v>
      </c>
      <c r="U6">
        <f t="shared" ref="U6:U21" si="12">OptionGamma(G6,$D$7,$U$3,$D$10,$D$9,$D$11)</f>
        <v>1.1346268148064857E-2</v>
      </c>
      <c r="V6">
        <f t="shared" ref="V6:V21" si="13">OptionGamma(G6,$D$7,$V$3,$D$10,$D$9,$D$11)</f>
        <v>1.1268946181697022E-2</v>
      </c>
      <c r="Y6">
        <v>65</v>
      </c>
      <c r="AA6">
        <f t="shared" ref="AA6:AA21" si="14">OptionGamma(Y6,$D$7,$AA$3,$D$10,$AA$1,$D$11)</f>
        <v>2.7992835519207707E-6</v>
      </c>
      <c r="AB6">
        <f t="shared" ref="AB6:AB21" si="15">OptionGamma(Y6,$D$7,$AB$3,$D$10,$AA$1,$D$11)</f>
        <v>3.4238659642402488E-4</v>
      </c>
      <c r="AC6">
        <f t="shared" ref="AC6:AC21" si="16">OptionGamma(Y6,$D$7,$AC$3,$D$10,$AA$1,$D$11)</f>
        <v>1.5558922158995399E-3</v>
      </c>
      <c r="AD6">
        <f t="shared" ref="AD6:AD21" si="17">OptionGamma(Y6,$D$7,$AD$3,$D$10,$AA$1,$D$11)</f>
        <v>3.1761382873591237E-3</v>
      </c>
      <c r="AE6">
        <f t="shared" ref="AE6:AE21" si="18">OptionGamma(Y6,$D$7,$AE$3,$D$10,$AA$1,$D$11)</f>
        <v>4.7488233231175484E-3</v>
      </c>
      <c r="AF6">
        <f t="shared" ref="AF6:AF21" si="19">OptionGamma(Y6,$D$7,$AF$3,$D$10,$AA$1,$D$11)</f>
        <v>6.1025757786037126E-3</v>
      </c>
      <c r="AG6">
        <f t="shared" ref="AG6:AG21" si="20">OptionGamma(Y6,$D$7,$AG$3,$D$10,$AA$1,$D$11)</f>
        <v>7.2096701015754924E-3</v>
      </c>
      <c r="AH6">
        <f t="shared" ref="AH6:AH21" si="21">OptionGamma(Y6,$D$7,$AH$3,$D$10,$AA$1,$D$11)</f>
        <v>8.0936358441935641E-3</v>
      </c>
      <c r="AI6">
        <f t="shared" ref="AI6:AI21" si="22">OptionGamma(Y6,$D$7,$AI$3,$D$10,$AA$1,$D$11)</f>
        <v>8.7907122230331206E-3</v>
      </c>
      <c r="AJ6">
        <f t="shared" ref="AJ6:AJ21" si="23">OptionGamma(Y6,$D$7,$AJ$3,$D$10,$AA$1,$D$11)</f>
        <v>9.336082432746199E-3</v>
      </c>
      <c r="AK6">
        <f t="shared" ref="AK6:AK21" si="24">OptionGamma(Y6,$D$7,$AK$3,$D$10,$AA$1,$D$11)</f>
        <v>1.0869825982032193E-2</v>
      </c>
      <c r="AL6">
        <f t="shared" ref="AL6:AL21" si="25">OptionGamma(Y6,$D$7,$AL$3,$D$10,$AA$1,$D$11)</f>
        <v>1.0363399155444456E-2</v>
      </c>
      <c r="AM6">
        <f t="shared" ref="AM6:AM21" si="26">OptionGamma(Y6,$D$7,$AM$3,$D$10,$AA$1,$D$11)</f>
        <v>9.6171460019162294E-3</v>
      </c>
      <c r="AN6">
        <f t="shared" ref="AN6:AN21" si="27">OptionGamma(Y6,$D$7,$AN$3,$D$10,$AA$1,$D$11)</f>
        <v>8.9059405124312912E-3</v>
      </c>
    </row>
    <row r="7" spans="2:40" x14ac:dyDescent="0.3">
      <c r="B7" t="s">
        <v>25</v>
      </c>
      <c r="D7">
        <v>100</v>
      </c>
      <c r="G7">
        <v>70</v>
      </c>
      <c r="I7">
        <f t="shared" si="0"/>
        <v>1.4597010892531745E-8</v>
      </c>
      <c r="J7">
        <f t="shared" si="1"/>
        <v>2.9265998523210969E-5</v>
      </c>
      <c r="K7">
        <f t="shared" si="2"/>
        <v>3.3795857220289077E-4</v>
      </c>
      <c r="L7">
        <f t="shared" si="3"/>
        <v>1.1000759814895978E-3</v>
      </c>
      <c r="M7">
        <f t="shared" si="4"/>
        <v>2.1766539744157011E-3</v>
      </c>
      <c r="N7">
        <f t="shared" si="5"/>
        <v>3.3722289783455592E-3</v>
      </c>
      <c r="O7">
        <f t="shared" si="6"/>
        <v>4.5539531232495038E-3</v>
      </c>
      <c r="P7">
        <f t="shared" si="7"/>
        <v>5.6523508060789462E-3</v>
      </c>
      <c r="Q7">
        <f t="shared" si="8"/>
        <v>6.6387114573764538E-3</v>
      </c>
      <c r="R7">
        <f t="shared" si="9"/>
        <v>7.5067523489369872E-3</v>
      </c>
      <c r="S7">
        <f t="shared" si="10"/>
        <v>1.1624159945686186E-2</v>
      </c>
      <c r="T7">
        <f t="shared" si="11"/>
        <v>1.2233016676571298E-2</v>
      </c>
      <c r="U7">
        <f t="shared" si="12"/>
        <v>1.1959970353331821E-2</v>
      </c>
      <c r="V7">
        <f t="shared" si="13"/>
        <v>1.1453027766679769E-2</v>
      </c>
      <c r="Y7">
        <v>70</v>
      </c>
      <c r="AA7">
        <f t="shared" si="14"/>
        <v>6.3562115182022813E-5</v>
      </c>
      <c r="AB7">
        <f t="shared" si="15"/>
        <v>1.5369719040112578E-3</v>
      </c>
      <c r="AC7">
        <f t="shared" si="16"/>
        <v>4.0687523516901589E-3</v>
      </c>
      <c r="AD7">
        <f t="shared" si="17"/>
        <v>6.3393895489089105E-3</v>
      </c>
      <c r="AE7">
        <f t="shared" si="18"/>
        <v>8.0599773466249677E-3</v>
      </c>
      <c r="AF7">
        <f t="shared" si="19"/>
        <v>9.2966719191608007E-3</v>
      </c>
      <c r="AG7">
        <f t="shared" si="20"/>
        <v>1.0167303762997196E-2</v>
      </c>
      <c r="AH7">
        <f t="shared" si="21"/>
        <v>1.0771870609204376E-2</v>
      </c>
      <c r="AI7">
        <f t="shared" si="22"/>
        <v>1.1184482954854207E-2</v>
      </c>
      <c r="AJ7">
        <f t="shared" si="23"/>
        <v>1.1458084787714838E-2</v>
      </c>
      <c r="AK7">
        <f t="shared" si="24"/>
        <v>1.1344091423781007E-2</v>
      </c>
      <c r="AL7">
        <f t="shared" si="25"/>
        <v>1.0246666696571999E-2</v>
      </c>
      <c r="AM7">
        <f t="shared" si="26"/>
        <v>9.2553580000514068E-3</v>
      </c>
      <c r="AN7">
        <f t="shared" si="27"/>
        <v>8.4330908674948215E-3</v>
      </c>
    </row>
    <row r="8" spans="2:40" x14ac:dyDescent="0.3">
      <c r="B8" t="s">
        <v>26</v>
      </c>
      <c r="D8">
        <v>1</v>
      </c>
      <c r="G8">
        <v>75</v>
      </c>
      <c r="I8">
        <f t="shared" si="0"/>
        <v>3.3512354645083037E-6</v>
      </c>
      <c r="J8">
        <f t="shared" si="1"/>
        <v>4.1746111765088789E-4</v>
      </c>
      <c r="K8">
        <f t="shared" si="2"/>
        <v>1.9093551185000314E-3</v>
      </c>
      <c r="L8">
        <f t="shared" si="3"/>
        <v>3.9113907532951544E-3</v>
      </c>
      <c r="M8">
        <f t="shared" si="4"/>
        <v>5.8617741810673696E-3</v>
      </c>
      <c r="N8">
        <f t="shared" si="5"/>
        <v>7.5458967272333394E-3</v>
      </c>
      <c r="O8">
        <f t="shared" si="6"/>
        <v>8.92731806222242E-3</v>
      </c>
      <c r="P8">
        <f t="shared" si="7"/>
        <v>1.0033802504733588E-2</v>
      </c>
      <c r="Q8">
        <f t="shared" si="8"/>
        <v>1.090940622330224E-2</v>
      </c>
      <c r="R8">
        <f t="shared" si="9"/>
        <v>1.1597225794774839E-2</v>
      </c>
      <c r="S8">
        <f t="shared" si="10"/>
        <v>1.3601749391133745E-2</v>
      </c>
      <c r="T8">
        <f t="shared" si="11"/>
        <v>1.3047996011475228E-2</v>
      </c>
      <c r="U8">
        <f t="shared" si="12"/>
        <v>1.2179483699411454E-2</v>
      </c>
      <c r="V8">
        <f t="shared" si="13"/>
        <v>1.1343634002882847E-2</v>
      </c>
      <c r="Y8">
        <v>75</v>
      </c>
      <c r="AA8">
        <f t="shared" si="14"/>
        <v>6.7225819369320027E-4</v>
      </c>
      <c r="AB8">
        <f t="shared" si="15"/>
        <v>4.7282210181891805E-3</v>
      </c>
      <c r="AC8">
        <f t="shared" si="16"/>
        <v>8.2932442565351958E-3</v>
      </c>
      <c r="AD8">
        <f t="shared" si="17"/>
        <v>1.0517834159617734E-2</v>
      </c>
      <c r="AE8">
        <f t="shared" si="18"/>
        <v>1.1819037433225307E-2</v>
      </c>
      <c r="AF8">
        <f t="shared" si="19"/>
        <v>1.2555154567235544E-2</v>
      </c>
      <c r="AG8">
        <f t="shared" si="20"/>
        <v>1.2946786325768763E-2</v>
      </c>
      <c r="AH8">
        <f t="shared" si="21"/>
        <v>1.3124825156577539E-2</v>
      </c>
      <c r="AI8">
        <f t="shared" si="22"/>
        <v>1.3168033532704496E-2</v>
      </c>
      <c r="AJ8">
        <f t="shared" si="23"/>
        <v>1.3124994619891275E-2</v>
      </c>
      <c r="AK8">
        <f t="shared" si="24"/>
        <v>1.1484873818246508E-2</v>
      </c>
      <c r="AL8">
        <f t="shared" si="25"/>
        <v>9.9554811818721202E-3</v>
      </c>
      <c r="AM8">
        <f t="shared" si="26"/>
        <v>8.8091587418353094E-3</v>
      </c>
      <c r="AN8">
        <f t="shared" si="27"/>
        <v>7.9280236081079453E-3</v>
      </c>
    </row>
    <row r="9" spans="2:40" x14ac:dyDescent="0.3">
      <c r="B9" t="s">
        <v>27</v>
      </c>
      <c r="D9">
        <v>0.2</v>
      </c>
      <c r="G9">
        <v>80</v>
      </c>
      <c r="I9">
        <f t="shared" si="0"/>
        <v>1.8444991272199745E-4</v>
      </c>
      <c r="J9">
        <f t="shared" si="1"/>
        <v>2.9270332354272232E-3</v>
      </c>
      <c r="K9">
        <f t="shared" si="2"/>
        <v>6.7361389316554247E-3</v>
      </c>
      <c r="L9">
        <f t="shared" si="3"/>
        <v>9.7884039294375211E-3</v>
      </c>
      <c r="M9">
        <f t="shared" si="4"/>
        <v>1.1937780047109168E-2</v>
      </c>
      <c r="N9">
        <f t="shared" si="5"/>
        <v>1.3395159432299533E-2</v>
      </c>
      <c r="O9">
        <f t="shared" si="6"/>
        <v>1.4366321033900604E-2</v>
      </c>
      <c r="P9">
        <f t="shared" si="7"/>
        <v>1.5001364182628535E-2</v>
      </c>
      <c r="Q9">
        <f t="shared" si="8"/>
        <v>1.5403132263133367E-2</v>
      </c>
      <c r="R9">
        <f t="shared" si="9"/>
        <v>1.5641421674019225E-2</v>
      </c>
      <c r="S9">
        <f t="shared" si="10"/>
        <v>1.4928999083209108E-2</v>
      </c>
      <c r="T9">
        <f t="shared" si="11"/>
        <v>1.3370603439876852E-2</v>
      </c>
      <c r="U9">
        <f t="shared" si="12"/>
        <v>1.205928909750143E-2</v>
      </c>
      <c r="V9">
        <f t="shared" si="13"/>
        <v>1.1002627628314172E-2</v>
      </c>
      <c r="Y9">
        <v>80</v>
      </c>
      <c r="AA9">
        <f t="shared" si="14"/>
        <v>3.7827836741325775E-3</v>
      </c>
      <c r="AB9">
        <f t="shared" si="15"/>
        <v>1.0647723775453427E-2</v>
      </c>
      <c r="AC9">
        <f t="shared" si="16"/>
        <v>1.3762943653982113E-2</v>
      </c>
      <c r="AD9">
        <f t="shared" si="17"/>
        <v>1.4983978051139487E-2</v>
      </c>
      <c r="AE9">
        <f t="shared" si="18"/>
        <v>1.5364246918448029E-2</v>
      </c>
      <c r="AF9">
        <f t="shared" si="19"/>
        <v>1.5354539900425004E-2</v>
      </c>
      <c r="AG9">
        <f t="shared" si="20"/>
        <v>1.5157858484034765E-2</v>
      </c>
      <c r="AH9">
        <f t="shared" si="21"/>
        <v>1.4871858249720597E-2</v>
      </c>
      <c r="AI9">
        <f t="shared" si="22"/>
        <v>1.4546046008012571E-2</v>
      </c>
      <c r="AJ9">
        <f t="shared" si="23"/>
        <v>1.4206432265572271E-2</v>
      </c>
      <c r="AK9">
        <f t="shared" si="24"/>
        <v>1.1343327721716881E-2</v>
      </c>
      <c r="AL9">
        <f t="shared" si="25"/>
        <v>9.5371649510801234E-3</v>
      </c>
      <c r="AM9">
        <f t="shared" si="26"/>
        <v>8.3111834375704362E-3</v>
      </c>
      <c r="AN9">
        <f t="shared" si="27"/>
        <v>7.4116721863495584E-3</v>
      </c>
    </row>
    <row r="10" spans="2:40" x14ac:dyDescent="0.3">
      <c r="B10" t="s">
        <v>28</v>
      </c>
      <c r="D10">
        <v>0.01</v>
      </c>
      <c r="G10">
        <v>85</v>
      </c>
      <c r="I10">
        <f t="shared" si="0"/>
        <v>3.0836372935947143E-3</v>
      </c>
      <c r="J10">
        <f t="shared" si="1"/>
        <v>1.134964427745312E-2</v>
      </c>
      <c r="K10">
        <f t="shared" si="2"/>
        <v>1.6048048164004219E-2</v>
      </c>
      <c r="L10">
        <f t="shared" si="3"/>
        <v>1.827895482236909E-2</v>
      </c>
      <c r="M10">
        <f t="shared" si="4"/>
        <v>1.926193999623425E-2</v>
      </c>
      <c r="N10">
        <f t="shared" si="5"/>
        <v>1.9607203543702149E-2</v>
      </c>
      <c r="O10">
        <f t="shared" si="6"/>
        <v>1.9615204928584505E-2</v>
      </c>
      <c r="P10">
        <f t="shared" si="7"/>
        <v>1.944073459830415E-2</v>
      </c>
      <c r="Q10">
        <f t="shared" si="8"/>
        <v>1.9167361944162006E-2</v>
      </c>
      <c r="R10">
        <f t="shared" si="9"/>
        <v>1.8841983940109528E-2</v>
      </c>
      <c r="S10">
        <f t="shared" si="10"/>
        <v>1.5538821309956893E-2</v>
      </c>
      <c r="T10">
        <f t="shared" si="11"/>
        <v>1.3255131727717093E-2</v>
      </c>
      <c r="U10">
        <f t="shared" si="12"/>
        <v>1.1667493720574828E-2</v>
      </c>
      <c r="V10">
        <f t="shared" si="13"/>
        <v>1.0490736571836447E-2</v>
      </c>
      <c r="Y10">
        <v>85</v>
      </c>
      <c r="AA10">
        <f t="shared" si="14"/>
        <v>1.257501258451457E-2</v>
      </c>
      <c r="AB10">
        <f t="shared" si="15"/>
        <v>1.8488250396357001E-2</v>
      </c>
      <c r="AC10">
        <f t="shared" si="16"/>
        <v>1.9245583173855805E-2</v>
      </c>
      <c r="AD10">
        <f t="shared" si="17"/>
        <v>1.8803436356655608E-2</v>
      </c>
      <c r="AE10">
        <f t="shared" si="18"/>
        <v>1.8068228988525181E-2</v>
      </c>
      <c r="AF10">
        <f t="shared" si="19"/>
        <v>1.7291682643531966E-2</v>
      </c>
      <c r="AG10">
        <f t="shared" si="20"/>
        <v>1.6550341873979184E-2</v>
      </c>
      <c r="AH10">
        <f t="shared" si="21"/>
        <v>1.5865759347980533E-2</v>
      </c>
      <c r="AI10">
        <f t="shared" si="22"/>
        <v>1.5240725494598826E-2</v>
      </c>
      <c r="AJ10">
        <f t="shared" si="23"/>
        <v>1.4671609392337213E-2</v>
      </c>
      <c r="AK10">
        <f t="shared" si="24"/>
        <v>1.0978106060139997E-2</v>
      </c>
      <c r="AL10">
        <f t="shared" si="25"/>
        <v>9.0324238181826739E-3</v>
      </c>
      <c r="AM10">
        <f t="shared" si="26"/>
        <v>7.7865829825335157E-3</v>
      </c>
      <c r="AN10">
        <f t="shared" si="27"/>
        <v>6.8988971767481684E-3</v>
      </c>
    </row>
    <row r="11" spans="2:40" x14ac:dyDescent="0.3">
      <c r="B11" t="s">
        <v>29</v>
      </c>
      <c r="D11">
        <v>0</v>
      </c>
      <c r="G11">
        <v>90</v>
      </c>
      <c r="I11">
        <f t="shared" si="0"/>
        <v>1.8916378586336522E-2</v>
      </c>
      <c r="J11">
        <f t="shared" si="1"/>
        <v>2.6739234389615497E-2</v>
      </c>
      <c r="K11">
        <f t="shared" si="2"/>
        <v>2.7482291431425852E-2</v>
      </c>
      <c r="L11">
        <f t="shared" si="3"/>
        <v>2.6687880405210137E-2</v>
      </c>
      <c r="M11">
        <f t="shared" si="4"/>
        <v>2.5556533759819561E-2</v>
      </c>
      <c r="N11">
        <f t="shared" si="5"/>
        <v>2.4406774147524603E-2</v>
      </c>
      <c r="O11">
        <f t="shared" si="6"/>
        <v>2.3329031963279279E-2</v>
      </c>
      <c r="P11">
        <f t="shared" si="7"/>
        <v>2.2344641814505347E-2</v>
      </c>
      <c r="Q11">
        <f t="shared" si="8"/>
        <v>2.1452524339852525E-2</v>
      </c>
      <c r="R11">
        <f t="shared" si="9"/>
        <v>2.0644622964645629E-2</v>
      </c>
      <c r="S11">
        <f t="shared" si="10"/>
        <v>1.5471684475151492E-2</v>
      </c>
      <c r="T11">
        <f t="shared" si="11"/>
        <v>1.2783505889003443E-2</v>
      </c>
      <c r="U11">
        <f t="shared" si="12"/>
        <v>1.1074310697636874E-2</v>
      </c>
      <c r="V11">
        <f t="shared" si="13"/>
        <v>9.8625457284395694E-3</v>
      </c>
      <c r="Y11">
        <v>90</v>
      </c>
      <c r="AA11">
        <f t="shared" si="14"/>
        <v>2.6849994493107564E-2</v>
      </c>
      <c r="AB11">
        <f t="shared" si="15"/>
        <v>2.5799834788109949E-2</v>
      </c>
      <c r="AC11">
        <f t="shared" si="16"/>
        <v>2.3306691732956811E-2</v>
      </c>
      <c r="AD11">
        <f t="shared" si="17"/>
        <v>2.1212946857819128E-2</v>
      </c>
      <c r="AE11">
        <f t="shared" si="18"/>
        <v>1.9534751872486739E-2</v>
      </c>
      <c r="AF11">
        <f t="shared" si="19"/>
        <v>1.8172524320191757E-2</v>
      </c>
      <c r="AG11">
        <f t="shared" si="20"/>
        <v>1.7044687194816176E-2</v>
      </c>
      <c r="AH11">
        <f t="shared" si="21"/>
        <v>1.6093332217008625E-2</v>
      </c>
      <c r="AI11">
        <f t="shared" si="22"/>
        <v>1.5277763824001958E-2</v>
      </c>
      <c r="AJ11">
        <f t="shared" si="23"/>
        <v>1.4568912566910484E-2</v>
      </c>
      <c r="AK11">
        <f t="shared" si="24"/>
        <v>1.0447330574272131E-2</v>
      </c>
      <c r="AL11">
        <f t="shared" si="25"/>
        <v>8.4747143075524275E-3</v>
      </c>
      <c r="AM11">
        <f t="shared" si="26"/>
        <v>7.2541928646975579E-3</v>
      </c>
      <c r="AN11">
        <f t="shared" si="27"/>
        <v>6.399922384282445E-3</v>
      </c>
    </row>
    <row r="12" spans="2:40" x14ac:dyDescent="0.3">
      <c r="G12">
        <v>95</v>
      </c>
      <c r="I12">
        <f t="shared" si="0"/>
        <v>4.960740057577824E-2</v>
      </c>
      <c r="J12">
        <f t="shared" si="1"/>
        <v>4.1300684164172589E-2</v>
      </c>
      <c r="K12">
        <f t="shared" si="2"/>
        <v>3.5581792279001198E-2</v>
      </c>
      <c r="L12">
        <f t="shared" si="3"/>
        <v>3.1635322258043566E-2</v>
      </c>
      <c r="M12">
        <f t="shared" si="4"/>
        <v>2.8732281352043244E-2</v>
      </c>
      <c r="N12">
        <f t="shared" si="5"/>
        <v>2.64881643942976E-2</v>
      </c>
      <c r="O12">
        <f t="shared" si="6"/>
        <v>2.4688265009858643E-2</v>
      </c>
      <c r="P12">
        <f t="shared" si="7"/>
        <v>2.3203661883923712E-2</v>
      </c>
      <c r="Q12">
        <f t="shared" si="8"/>
        <v>2.1952066922098775E-2</v>
      </c>
      <c r="R12">
        <f t="shared" si="9"/>
        <v>2.087829727981377E-2</v>
      </c>
      <c r="S12">
        <f t="shared" si="10"/>
        <v>1.4840061535306964E-2</v>
      </c>
      <c r="T12">
        <f t="shared" si="11"/>
        <v>1.2047161650680642E-2</v>
      </c>
      <c r="U12">
        <f t="shared" si="12"/>
        <v>1.034474514620942E-2</v>
      </c>
      <c r="V12">
        <f t="shared" si="13"/>
        <v>9.1641696406864273E-3</v>
      </c>
      <c r="Y12">
        <v>95</v>
      </c>
      <c r="AA12">
        <f t="shared" si="14"/>
        <v>3.9397555493342631E-2</v>
      </c>
      <c r="AB12">
        <f t="shared" si="15"/>
        <v>2.9920175402764988E-2</v>
      </c>
      <c r="AC12">
        <f t="shared" si="16"/>
        <v>2.4990132225163462E-2</v>
      </c>
      <c r="AD12">
        <f t="shared" si="17"/>
        <v>2.187052870331763E-2</v>
      </c>
      <c r="AE12">
        <f t="shared" si="18"/>
        <v>1.9671994336736283E-2</v>
      </c>
      <c r="AF12">
        <f t="shared" si="19"/>
        <v>1.8015399304984771E-2</v>
      </c>
      <c r="AG12">
        <f t="shared" si="20"/>
        <v>1.6709061466729101E-2</v>
      </c>
      <c r="AH12">
        <f t="shared" si="21"/>
        <v>1.5644431582997612E-2</v>
      </c>
      <c r="AI12">
        <f t="shared" si="22"/>
        <v>1.4754868041798963E-2</v>
      </c>
      <c r="AJ12">
        <f t="shared" si="23"/>
        <v>1.3996906305568678E-2</v>
      </c>
      <c r="AK12">
        <f t="shared" si="24"/>
        <v>9.8037554378220954E-3</v>
      </c>
      <c r="AL12">
        <f t="shared" si="25"/>
        <v>7.8905317151781781E-3</v>
      </c>
      <c r="AM12">
        <f t="shared" si="26"/>
        <v>6.727711143982254E-3</v>
      </c>
      <c r="AN12">
        <f t="shared" si="27"/>
        <v>5.9214922774464777E-3</v>
      </c>
    </row>
    <row r="13" spans="2:40" x14ac:dyDescent="0.3">
      <c r="G13">
        <v>100</v>
      </c>
      <c r="I13">
        <f t="shared" si="0"/>
        <v>6.3007389850102583E-2</v>
      </c>
      <c r="J13">
        <f t="shared" si="1"/>
        <v>4.4502858739261325E-2</v>
      </c>
      <c r="K13">
        <f t="shared" si="2"/>
        <v>3.6295576501642057E-2</v>
      </c>
      <c r="L13">
        <f t="shared" si="3"/>
        <v>3.1397549176385632E-2</v>
      </c>
      <c r="M13">
        <f t="shared" si="4"/>
        <v>2.8051246304186251E-2</v>
      </c>
      <c r="N13">
        <f t="shared" si="5"/>
        <v>2.5578375413499596E-2</v>
      </c>
      <c r="O13">
        <f t="shared" si="6"/>
        <v>2.3654347961507342E-2</v>
      </c>
      <c r="P13">
        <f t="shared" si="7"/>
        <v>2.2101737998123483E-2</v>
      </c>
      <c r="Q13">
        <f t="shared" si="8"/>
        <v>2.0814289167512139E-2</v>
      </c>
      <c r="R13">
        <f t="shared" si="9"/>
        <v>1.9723966545394447E-2</v>
      </c>
      <c r="S13">
        <f t="shared" si="10"/>
        <v>1.3790926583135297E-2</v>
      </c>
      <c r="T13">
        <f t="shared" si="11"/>
        <v>1.1134276551152785E-2</v>
      </c>
      <c r="U13">
        <f t="shared" si="12"/>
        <v>9.5346953865131021E-3</v>
      </c>
      <c r="V13">
        <f t="shared" si="13"/>
        <v>8.4326874401380626E-3</v>
      </c>
      <c r="Y13">
        <v>100</v>
      </c>
      <c r="AA13">
        <f t="shared" si="14"/>
        <v>4.1981596977461719E-2</v>
      </c>
      <c r="AB13">
        <f t="shared" si="15"/>
        <v>2.963562571944587E-2</v>
      </c>
      <c r="AC13">
        <f t="shared" si="16"/>
        <v>2.4156756171112039E-2</v>
      </c>
      <c r="AD13">
        <f t="shared" si="17"/>
        <v>2.0885236208200961E-2</v>
      </c>
      <c r="AE13">
        <f t="shared" si="18"/>
        <v>1.8648956198552002E-2</v>
      </c>
      <c r="AF13">
        <f t="shared" si="19"/>
        <v>1.6995504070964788E-2</v>
      </c>
      <c r="AG13">
        <f t="shared" si="20"/>
        <v>1.5708358311106813E-2</v>
      </c>
      <c r="AH13">
        <f t="shared" si="21"/>
        <v>1.4669150678135831E-2</v>
      </c>
      <c r="AI13">
        <f t="shared" si="22"/>
        <v>1.38069849781331E-2</v>
      </c>
      <c r="AJ13">
        <f t="shared" si="23"/>
        <v>1.3076461848524422E-2</v>
      </c>
      <c r="AK13">
        <f t="shared" si="24"/>
        <v>9.092361475410371E-3</v>
      </c>
      <c r="AL13">
        <f t="shared" si="25"/>
        <v>7.3001620980094519E-3</v>
      </c>
      <c r="AM13">
        <f t="shared" si="26"/>
        <v>6.2167667801221425E-3</v>
      </c>
      <c r="AN13">
        <f t="shared" si="27"/>
        <v>5.4677797056007201E-3</v>
      </c>
    </row>
    <row r="14" spans="2:40" x14ac:dyDescent="0.3">
      <c r="G14">
        <v>105</v>
      </c>
      <c r="I14">
        <f t="shared" si="0"/>
        <v>4.2961708392642108E-2</v>
      </c>
      <c r="J14">
        <f t="shared" si="1"/>
        <v>3.5212130286942131E-2</v>
      </c>
      <c r="K14">
        <f t="shared" si="2"/>
        <v>3.0178399358531966E-2</v>
      </c>
      <c r="L14">
        <f t="shared" si="3"/>
        <v>2.6761306237360671E-2</v>
      </c>
      <c r="M14">
        <f t="shared" si="4"/>
        <v>2.4267506445708333E-2</v>
      </c>
      <c r="N14">
        <f t="shared" si="5"/>
        <v>2.234876720629585E-2</v>
      </c>
      <c r="O14">
        <f t="shared" si="6"/>
        <v>2.0814619144845087E-2</v>
      </c>
      <c r="P14">
        <f t="shared" si="7"/>
        <v>1.9552017122180455E-2</v>
      </c>
      <c r="Q14">
        <f t="shared" si="8"/>
        <v>1.8489346824041977E-2</v>
      </c>
      <c r="R14">
        <f t="shared" si="9"/>
        <v>1.7578836087368842E-2</v>
      </c>
      <c r="S14">
        <f t="shared" si="10"/>
        <v>1.2475292570391813E-2</v>
      </c>
      <c r="T14">
        <f t="shared" si="11"/>
        <v>1.0122157910866229E-2</v>
      </c>
      <c r="U14">
        <f t="shared" si="12"/>
        <v>8.6895009017126795E-3</v>
      </c>
      <c r="V14">
        <f t="shared" si="13"/>
        <v>7.6966219777363501E-3</v>
      </c>
      <c r="Y14">
        <v>105</v>
      </c>
      <c r="AA14">
        <f t="shared" si="14"/>
        <v>3.4000529020197359E-2</v>
      </c>
      <c r="AB14">
        <f t="shared" si="15"/>
        <v>2.5642378317564656E-2</v>
      </c>
      <c r="AC14">
        <f t="shared" si="16"/>
        <v>2.1367578691690262E-2</v>
      </c>
      <c r="AD14">
        <f t="shared" si="17"/>
        <v>1.8678514542129088E-2</v>
      </c>
      <c r="AE14">
        <f t="shared" si="18"/>
        <v>1.6789169768697557E-2</v>
      </c>
      <c r="AF14">
        <f t="shared" si="19"/>
        <v>1.5368208376167369E-2</v>
      </c>
      <c r="AG14">
        <f t="shared" si="20"/>
        <v>1.4249101786859477E-2</v>
      </c>
      <c r="AH14">
        <f t="shared" si="21"/>
        <v>1.3337894677823489E-2</v>
      </c>
      <c r="AI14">
        <f t="shared" si="22"/>
        <v>1.2577052515957671E-2</v>
      </c>
      <c r="AJ14">
        <f t="shared" si="23"/>
        <v>1.1929120878360653E-2</v>
      </c>
      <c r="AK14">
        <f t="shared" si="24"/>
        <v>8.3496184427614972E-3</v>
      </c>
      <c r="AL14">
        <f t="shared" si="25"/>
        <v>6.7186139847336453E-3</v>
      </c>
      <c r="AM14">
        <f t="shared" si="26"/>
        <v>5.7278335105389287E-3</v>
      </c>
      <c r="AN14">
        <f t="shared" si="27"/>
        <v>5.0410846970877594E-3</v>
      </c>
    </row>
    <row r="15" spans="2:40" x14ac:dyDescent="0.3">
      <c r="G15">
        <v>110</v>
      </c>
      <c r="I15">
        <f t="shared" si="0"/>
        <v>1.7132125878144413E-2</v>
      </c>
      <c r="J15">
        <f t="shared" si="1"/>
        <v>2.1349081451222499E-2</v>
      </c>
      <c r="K15">
        <f t="shared" si="2"/>
        <v>2.1039503593612036E-2</v>
      </c>
      <c r="L15">
        <f t="shared" si="3"/>
        <v>2.0006577096239694E-2</v>
      </c>
      <c r="M15">
        <f t="shared" si="4"/>
        <v>1.8918485039079756E-2</v>
      </c>
      <c r="N15">
        <f t="shared" si="5"/>
        <v>1.7916173218194179E-2</v>
      </c>
      <c r="O15">
        <f t="shared" si="6"/>
        <v>1.7022556226213847E-2</v>
      </c>
      <c r="P15">
        <f t="shared" si="7"/>
        <v>1.6231040004613291E-2</v>
      </c>
      <c r="Q15">
        <f t="shared" si="8"/>
        <v>1.5528543194402063E-2</v>
      </c>
      <c r="R15">
        <f t="shared" si="9"/>
        <v>1.4901938093572724E-2</v>
      </c>
      <c r="S15">
        <f t="shared" si="10"/>
        <v>1.1028059378052651E-2</v>
      </c>
      <c r="T15">
        <f t="shared" si="11"/>
        <v>9.0737477955800411E-3</v>
      </c>
      <c r="U15">
        <f t="shared" si="12"/>
        <v>7.8440625463605997E-3</v>
      </c>
      <c r="V15">
        <f t="shared" si="13"/>
        <v>6.9769553505238452E-3</v>
      </c>
      <c r="Y15">
        <v>110</v>
      </c>
      <c r="AA15">
        <f t="shared" si="14"/>
        <v>2.1736822486638243E-2</v>
      </c>
      <c r="AB15">
        <f t="shared" si="15"/>
        <v>1.9748701502398165E-2</v>
      </c>
      <c r="AC15">
        <f t="shared" si="16"/>
        <v>1.7510243021562306E-2</v>
      </c>
      <c r="AD15">
        <f t="shared" si="17"/>
        <v>1.5789104753624824E-2</v>
      </c>
      <c r="AE15">
        <f t="shared" si="18"/>
        <v>1.4458770943216178E-2</v>
      </c>
      <c r="AF15">
        <f t="shared" si="19"/>
        <v>1.3400367884206782E-2</v>
      </c>
      <c r="AG15">
        <f t="shared" si="20"/>
        <v>1.253521869678631E-2</v>
      </c>
      <c r="AH15">
        <f t="shared" si="21"/>
        <v>1.1811904293602783E-2</v>
      </c>
      <c r="AI15">
        <f t="shared" si="22"/>
        <v>1.1195871235951033E-2</v>
      </c>
      <c r="AJ15">
        <f t="shared" si="23"/>
        <v>1.0663126660408761E-2</v>
      </c>
      <c r="AK15">
        <f t="shared" si="24"/>
        <v>7.603783522576131E-3</v>
      </c>
      <c r="AL15">
        <f t="shared" si="25"/>
        <v>6.1565649557768741E-3</v>
      </c>
      <c r="AM15">
        <f t="shared" si="26"/>
        <v>5.2649832426331956E-3</v>
      </c>
      <c r="AN15">
        <f t="shared" si="27"/>
        <v>4.6423651796185005E-3</v>
      </c>
    </row>
    <row r="16" spans="2:40" x14ac:dyDescent="0.3">
      <c r="G16">
        <v>115</v>
      </c>
      <c r="I16">
        <f t="shared" si="0"/>
        <v>4.2930333278127031E-3</v>
      </c>
      <c r="J16">
        <f t="shared" si="1"/>
        <v>1.0279303406877476E-2</v>
      </c>
      <c r="K16">
        <f t="shared" si="2"/>
        <v>1.2594003477751478E-2</v>
      </c>
      <c r="L16">
        <f t="shared" si="3"/>
        <v>1.3352820984703351E-2</v>
      </c>
      <c r="M16">
        <f t="shared" si="4"/>
        <v>1.3478753756809101E-2</v>
      </c>
      <c r="N16">
        <f t="shared" si="5"/>
        <v>1.333267834934383E-2</v>
      </c>
      <c r="O16">
        <f t="shared" si="6"/>
        <v>1.3067821328100538E-2</v>
      </c>
      <c r="P16">
        <f t="shared" si="7"/>
        <v>1.2754236173725023E-2</v>
      </c>
      <c r="Q16">
        <f t="shared" si="8"/>
        <v>1.2425602990436631E-2</v>
      </c>
      <c r="R16">
        <f t="shared" si="9"/>
        <v>1.2098525266351955E-2</v>
      </c>
      <c r="S16">
        <f t="shared" si="10"/>
        <v>9.5576676672171137E-3</v>
      </c>
      <c r="T16">
        <f t="shared" si="11"/>
        <v>8.0369990403848391E-3</v>
      </c>
      <c r="U16">
        <f t="shared" si="12"/>
        <v>7.0238536178371452E-3</v>
      </c>
      <c r="V16">
        <f t="shared" si="13"/>
        <v>6.2883493733863101E-3</v>
      </c>
      <c r="Y16">
        <v>115</v>
      </c>
      <c r="AA16">
        <f t="shared" si="14"/>
        <v>1.132338909622355E-2</v>
      </c>
      <c r="AB16">
        <f t="shared" si="15"/>
        <v>1.3752363931184045E-2</v>
      </c>
      <c r="AC16">
        <f t="shared" si="16"/>
        <v>1.3432302518922605E-2</v>
      </c>
      <c r="AD16">
        <f t="shared" si="17"/>
        <v>1.2712341075815795E-2</v>
      </c>
      <c r="AE16">
        <f t="shared" si="18"/>
        <v>1.1984095247208172E-2</v>
      </c>
      <c r="AF16">
        <f t="shared" si="19"/>
        <v>1.132386000635301E-2</v>
      </c>
      <c r="AG16">
        <f t="shared" si="20"/>
        <v>1.074020246658062E-2</v>
      </c>
      <c r="AH16">
        <f t="shared" si="21"/>
        <v>1.022592397572397E-2</v>
      </c>
      <c r="AI16">
        <f t="shared" si="22"/>
        <v>9.7710707636894881E-3</v>
      </c>
      <c r="AJ16">
        <f t="shared" si="23"/>
        <v>9.366344559542529E-3</v>
      </c>
      <c r="AK16">
        <f t="shared" si="24"/>
        <v>6.8757669831697628E-3</v>
      </c>
      <c r="AL16">
        <f t="shared" si="25"/>
        <v>5.6212360131347814E-3</v>
      </c>
      <c r="AM16">
        <f t="shared" si="26"/>
        <v>4.8304914892427558E-3</v>
      </c>
      <c r="AN16">
        <f t="shared" si="27"/>
        <v>4.2716357498546308E-3</v>
      </c>
    </row>
    <row r="17" spans="7:40" x14ac:dyDescent="0.3">
      <c r="G17">
        <v>120</v>
      </c>
      <c r="I17">
        <f t="shared" si="0"/>
        <v>7.1823787351586244E-4</v>
      </c>
      <c r="J17">
        <f t="shared" si="1"/>
        <v>4.0508179535475647E-3</v>
      </c>
      <c r="K17">
        <f t="shared" si="2"/>
        <v>6.6034037139998062E-3</v>
      </c>
      <c r="L17">
        <f t="shared" si="3"/>
        <v>8.0758746095868535E-3</v>
      </c>
      <c r="M17">
        <f t="shared" si="4"/>
        <v>8.881243547387634E-3</v>
      </c>
      <c r="N17">
        <f t="shared" si="5"/>
        <v>9.3013597568778455E-3</v>
      </c>
      <c r="O17">
        <f t="shared" si="6"/>
        <v>9.4962050866496343E-3</v>
      </c>
      <c r="P17">
        <f t="shared" si="7"/>
        <v>9.5562993383245896E-3</v>
      </c>
      <c r="Q17">
        <f t="shared" si="8"/>
        <v>9.5342861100476319E-3</v>
      </c>
      <c r="R17">
        <f t="shared" si="9"/>
        <v>9.46175015661453E-3</v>
      </c>
      <c r="S17">
        <f t="shared" si="10"/>
        <v>8.1432630811320347E-3</v>
      </c>
      <c r="T17">
        <f t="shared" si="11"/>
        <v>7.0460051549628569E-3</v>
      </c>
      <c r="U17">
        <f t="shared" si="12"/>
        <v>6.2463417557349936E-3</v>
      </c>
      <c r="V17">
        <f t="shared" si="13"/>
        <v>5.6403714114604637E-3</v>
      </c>
      <c r="Y17">
        <v>120</v>
      </c>
      <c r="AA17">
        <f t="shared" si="14"/>
        <v>4.9370130845059279E-3</v>
      </c>
      <c r="AB17">
        <f t="shared" si="15"/>
        <v>8.7746917760978451E-3</v>
      </c>
      <c r="AC17">
        <f t="shared" si="16"/>
        <v>9.7303217208305603E-3</v>
      </c>
      <c r="AD17">
        <f t="shared" si="17"/>
        <v>9.8121320272589463E-3</v>
      </c>
      <c r="AE17">
        <f t="shared" si="18"/>
        <v>9.6090347795308416E-3</v>
      </c>
      <c r="AF17">
        <f t="shared" si="19"/>
        <v>9.313082481780104E-3</v>
      </c>
      <c r="AG17">
        <f t="shared" si="20"/>
        <v>8.9946864621100828E-3</v>
      </c>
      <c r="AH17">
        <f t="shared" si="21"/>
        <v>8.6812461969082502E-3</v>
      </c>
      <c r="AI17">
        <f t="shared" si="22"/>
        <v>8.3833035199653554E-3</v>
      </c>
      <c r="AJ17">
        <f t="shared" si="23"/>
        <v>8.1043460458643246E-3</v>
      </c>
      <c r="AK17">
        <f t="shared" si="24"/>
        <v>6.1802445927498402E-3</v>
      </c>
      <c r="AL17">
        <f t="shared" si="25"/>
        <v>5.1171548019673802E-3</v>
      </c>
      <c r="AM17">
        <f t="shared" si="26"/>
        <v>4.4253147744497462E-3</v>
      </c>
      <c r="AN17">
        <f t="shared" si="27"/>
        <v>3.928264530213923E-3</v>
      </c>
    </row>
    <row r="18" spans="7:40" x14ac:dyDescent="0.3">
      <c r="G18">
        <v>125</v>
      </c>
      <c r="I18">
        <f t="shared" si="0"/>
        <v>8.4468232865850956E-5</v>
      </c>
      <c r="J18">
        <f t="shared" si="1"/>
        <v>1.3404252747399995E-3</v>
      </c>
      <c r="K18">
        <f t="shared" si="2"/>
        <v>3.084792741286774E-3</v>
      </c>
      <c r="L18">
        <f t="shared" si="3"/>
        <v>4.4825674910614188E-3</v>
      </c>
      <c r="M18">
        <f t="shared" si="4"/>
        <v>5.466867238047071E-3</v>
      </c>
      <c r="N18">
        <f t="shared" si="5"/>
        <v>6.1342693499021788E-3</v>
      </c>
      <c r="O18">
        <f t="shared" si="6"/>
        <v>6.5790096216856182E-3</v>
      </c>
      <c r="P18">
        <f t="shared" si="7"/>
        <v>6.8698255498420117E-3</v>
      </c>
      <c r="Q18">
        <f t="shared" si="8"/>
        <v>7.0538139252298484E-3</v>
      </c>
      <c r="R18">
        <f t="shared" si="9"/>
        <v>7.162937779782763E-3</v>
      </c>
      <c r="S18">
        <f t="shared" si="10"/>
        <v>6.8366861897907428E-3</v>
      </c>
      <c r="T18">
        <f t="shared" si="11"/>
        <v>6.1230240136718661E-3</v>
      </c>
      <c r="U18">
        <f t="shared" si="12"/>
        <v>5.5225119093422646E-3</v>
      </c>
      <c r="V18">
        <f t="shared" si="13"/>
        <v>5.0386172534840883E-3</v>
      </c>
      <c r="Y18">
        <v>125</v>
      </c>
      <c r="AA18">
        <f t="shared" si="14"/>
        <v>1.8430873083992024E-3</v>
      </c>
      <c r="AB18">
        <f t="shared" si="15"/>
        <v>5.1878950118337827E-3</v>
      </c>
      <c r="AC18">
        <f t="shared" si="16"/>
        <v>6.7057249264153357E-3</v>
      </c>
      <c r="AD18">
        <f t="shared" si="17"/>
        <v>7.3006500382870035E-3</v>
      </c>
      <c r="AE18">
        <f t="shared" si="18"/>
        <v>7.4859286012427398E-3</v>
      </c>
      <c r="AF18">
        <f t="shared" si="19"/>
        <v>7.4811990466972442E-3</v>
      </c>
      <c r="AG18">
        <f t="shared" si="20"/>
        <v>7.3853698760191324E-3</v>
      </c>
      <c r="AH18">
        <f t="shared" si="21"/>
        <v>7.2460218594597326E-3</v>
      </c>
      <c r="AI18">
        <f t="shared" si="22"/>
        <v>7.0872762215001793E-3</v>
      </c>
      <c r="AJ18">
        <f t="shared" si="23"/>
        <v>6.9218060724324567E-3</v>
      </c>
      <c r="AK18">
        <f t="shared" si="24"/>
        <v>5.5268144202571534E-3</v>
      </c>
      <c r="AL18">
        <f t="shared" si="25"/>
        <v>4.6467969605679992E-3</v>
      </c>
      <c r="AM18">
        <f t="shared" si="26"/>
        <v>4.0494614630788676E-3</v>
      </c>
      <c r="AN18">
        <f t="shared" si="27"/>
        <v>3.6111922111984628E-3</v>
      </c>
    </row>
    <row r="19" spans="7:40" x14ac:dyDescent="0.3">
      <c r="G19">
        <v>130</v>
      </c>
      <c r="I19">
        <f t="shared" si="0"/>
        <v>7.2972234478141014E-6</v>
      </c>
      <c r="J19">
        <f t="shared" si="1"/>
        <v>3.8068919850193204E-4</v>
      </c>
      <c r="K19">
        <f t="shared" si="2"/>
        <v>1.3026922814580184E-3</v>
      </c>
      <c r="L19">
        <f t="shared" si="3"/>
        <v>2.3082701661092638E-3</v>
      </c>
      <c r="M19">
        <f t="shared" si="4"/>
        <v>3.1709157235184286E-3</v>
      </c>
      <c r="N19">
        <f t="shared" si="5"/>
        <v>3.8518254155354282E-3</v>
      </c>
      <c r="O19">
        <f t="shared" si="6"/>
        <v>4.3719665660242645E-3</v>
      </c>
      <c r="P19">
        <f t="shared" si="7"/>
        <v>4.763448098667143E-3</v>
      </c>
      <c r="Q19">
        <f t="shared" si="8"/>
        <v>5.0554177985015734E-3</v>
      </c>
      <c r="R19">
        <f t="shared" si="9"/>
        <v>5.2712072632879253E-3</v>
      </c>
      <c r="S19">
        <f t="shared" si="10"/>
        <v>5.6669702285113378E-3</v>
      </c>
      <c r="T19">
        <f t="shared" si="11"/>
        <v>5.2808038728821569E-3</v>
      </c>
      <c r="U19">
        <f t="shared" si="12"/>
        <v>4.858308981287961E-3</v>
      </c>
      <c r="V19">
        <f t="shared" si="13"/>
        <v>4.4856819490140861E-3</v>
      </c>
      <c r="Y19">
        <v>130</v>
      </c>
      <c r="AA19">
        <f t="shared" si="14"/>
        <v>6.0071558236562614E-4</v>
      </c>
      <c r="AB19">
        <f t="shared" si="15"/>
        <v>2.8696661309163176E-3</v>
      </c>
      <c r="AC19">
        <f t="shared" si="16"/>
        <v>4.4244401962093699E-3</v>
      </c>
      <c r="AD19">
        <f t="shared" si="17"/>
        <v>5.2609033868653314E-3</v>
      </c>
      <c r="AE19">
        <f t="shared" si="18"/>
        <v>5.6874317310270693E-3</v>
      </c>
      <c r="AF19">
        <f t="shared" si="19"/>
        <v>5.8878427994134399E-3</v>
      </c>
      <c r="AG19">
        <f t="shared" si="20"/>
        <v>5.9606848610583791E-3</v>
      </c>
      <c r="AH19">
        <f t="shared" si="21"/>
        <v>5.9597458042224315E-3</v>
      </c>
      <c r="AI19">
        <f t="shared" si="22"/>
        <v>5.91545955769436E-3</v>
      </c>
      <c r="AJ19">
        <f t="shared" si="23"/>
        <v>5.8456577452828994E-3</v>
      </c>
      <c r="AK19">
        <f t="shared" si="24"/>
        <v>4.9210815203458436E-3</v>
      </c>
      <c r="AL19">
        <f t="shared" si="25"/>
        <v>4.2111102732515695E-3</v>
      </c>
      <c r="AM19">
        <f t="shared" si="26"/>
        <v>3.7022761379487913E-3</v>
      </c>
      <c r="AN19">
        <f t="shared" si="27"/>
        <v>3.3190921842812561E-3</v>
      </c>
    </row>
    <row r="20" spans="7:40" x14ac:dyDescent="0.3">
      <c r="G20">
        <v>135</v>
      </c>
      <c r="I20">
        <f t="shared" si="0"/>
        <v>4.8093577566927407E-7</v>
      </c>
      <c r="J20">
        <f t="shared" si="1"/>
        <v>9.4556994587265296E-5</v>
      </c>
      <c r="K20">
        <f t="shared" si="2"/>
        <v>5.0353481185787989E-4</v>
      </c>
      <c r="L20">
        <f t="shared" si="3"/>
        <v>1.1130292486590083E-3</v>
      </c>
      <c r="M20">
        <f t="shared" si="4"/>
        <v>1.7459186523562447E-3</v>
      </c>
      <c r="N20">
        <f t="shared" si="5"/>
        <v>2.3169614647433373E-3</v>
      </c>
      <c r="O20">
        <f t="shared" si="6"/>
        <v>2.8013465758306814E-3</v>
      </c>
      <c r="P20">
        <f t="shared" si="7"/>
        <v>3.2002933770762325E-3</v>
      </c>
      <c r="Q20">
        <f t="shared" si="8"/>
        <v>3.5239585209983202E-3</v>
      </c>
      <c r="R20">
        <f t="shared" si="9"/>
        <v>3.7843224261389784E-3</v>
      </c>
      <c r="S20">
        <f t="shared" si="10"/>
        <v>4.6456697775222452E-3</v>
      </c>
      <c r="T20">
        <f t="shared" si="11"/>
        <v>4.5248469998567693E-3</v>
      </c>
      <c r="U20">
        <f t="shared" si="12"/>
        <v>4.2559078918170063E-3</v>
      </c>
      <c r="V20">
        <f t="shared" si="13"/>
        <v>3.9819655859202495E-3</v>
      </c>
      <c r="Y20">
        <v>135</v>
      </c>
      <c r="AA20">
        <f t="shared" si="14"/>
        <v>1.7381608681207663E-4</v>
      </c>
      <c r="AB20">
        <f t="shared" si="15"/>
        <v>1.4974023713320017E-3</v>
      </c>
      <c r="AC20">
        <f t="shared" si="16"/>
        <v>2.8101370337925168E-3</v>
      </c>
      <c r="AD20">
        <f t="shared" si="17"/>
        <v>3.6864683342030654E-3</v>
      </c>
      <c r="AE20">
        <f t="shared" si="18"/>
        <v>4.2274159872265253E-3</v>
      </c>
      <c r="AF20">
        <f t="shared" si="19"/>
        <v>4.5518443181372789E-3</v>
      </c>
      <c r="AG20">
        <f t="shared" si="20"/>
        <v>4.7393843504899566E-3</v>
      </c>
      <c r="AH20">
        <f t="shared" si="21"/>
        <v>4.8394882133299885E-3</v>
      </c>
      <c r="AI20">
        <f t="shared" si="22"/>
        <v>4.8828534679731259E-3</v>
      </c>
      <c r="AJ20">
        <f t="shared" si="23"/>
        <v>4.8888801197403868E-3</v>
      </c>
      <c r="AK20">
        <f t="shared" si="24"/>
        <v>4.3656123603575472E-3</v>
      </c>
      <c r="AL20">
        <f t="shared" si="25"/>
        <v>3.8099337821083405E-3</v>
      </c>
      <c r="AM20">
        <f t="shared" si="26"/>
        <v>3.3826551294348179E-3</v>
      </c>
      <c r="AN20">
        <f t="shared" si="27"/>
        <v>3.0504863785204566E-3</v>
      </c>
    </row>
    <row r="21" spans="7:40" x14ac:dyDescent="0.3">
      <c r="G21">
        <v>140</v>
      </c>
      <c r="I21">
        <f t="shared" si="0"/>
        <v>2.4984119686305784E-8</v>
      </c>
      <c r="J21">
        <f t="shared" si="1"/>
        <v>2.0876714879530865E-5</v>
      </c>
      <c r="K21">
        <f t="shared" si="2"/>
        <v>1.800784918926651E-4</v>
      </c>
      <c r="L21">
        <f t="shared" si="3"/>
        <v>5.0660659975445015E-4</v>
      </c>
      <c r="M21">
        <f t="shared" si="4"/>
        <v>9.1839058774420622E-4</v>
      </c>
      <c r="N21">
        <f t="shared" si="5"/>
        <v>1.3421930911671853E-3</v>
      </c>
      <c r="O21">
        <f t="shared" si="6"/>
        <v>1.7385470025647579E-3</v>
      </c>
      <c r="P21">
        <f t="shared" si="7"/>
        <v>2.0914714572423773E-3</v>
      </c>
      <c r="Q21">
        <f t="shared" si="8"/>
        <v>2.3974428180687469E-3</v>
      </c>
      <c r="R21">
        <f t="shared" si="9"/>
        <v>2.6587031941631986E-3</v>
      </c>
      <c r="S21">
        <f t="shared" si="10"/>
        <v>3.7719785580502142E-3</v>
      </c>
      <c r="T21">
        <f t="shared" si="11"/>
        <v>3.855415263882422E-3</v>
      </c>
      <c r="U21">
        <f t="shared" si="12"/>
        <v>3.7147763845488606E-3</v>
      </c>
      <c r="V21">
        <f t="shared" si="13"/>
        <v>3.5263212434632854E-3</v>
      </c>
      <c r="Y21">
        <v>140</v>
      </c>
      <c r="AA21">
        <f t="shared" si="14"/>
        <v>4.5297412812204596E-5</v>
      </c>
      <c r="AB21">
        <f t="shared" si="15"/>
        <v>7.4234719458286542E-4</v>
      </c>
      <c r="AC21">
        <f t="shared" si="16"/>
        <v>1.726199932637131E-3</v>
      </c>
      <c r="AD21">
        <f t="shared" si="17"/>
        <v>2.5207026945741878E-3</v>
      </c>
      <c r="AE21">
        <f t="shared" si="18"/>
        <v>3.0825818422678905E-3</v>
      </c>
      <c r="AF21">
        <f t="shared" si="19"/>
        <v>3.4645436604697206E-3</v>
      </c>
      <c r="AG21">
        <f t="shared" si="20"/>
        <v>3.7194597267081694E-3</v>
      </c>
      <c r="AH21">
        <f t="shared" si="21"/>
        <v>3.8862598492258598E-3</v>
      </c>
      <c r="AI21">
        <f t="shared" si="22"/>
        <v>3.9917562221930339E-3</v>
      </c>
      <c r="AJ21">
        <f t="shared" si="23"/>
        <v>4.054208161540623E-3</v>
      </c>
      <c r="AK21">
        <f t="shared" si="24"/>
        <v>3.8607380733035749E-3</v>
      </c>
      <c r="AL21">
        <f t="shared" si="25"/>
        <v>3.4423268142812504E-3</v>
      </c>
      <c r="AM21">
        <f t="shared" si="26"/>
        <v>3.0892079723303248E-3</v>
      </c>
      <c r="AN21">
        <f t="shared" si="27"/>
        <v>2.8038279821686937E-3</v>
      </c>
    </row>
    <row r="28" spans="7:40" x14ac:dyDescent="0.3">
      <c r="Z28" t="s">
        <v>27</v>
      </c>
      <c r="AA28">
        <v>0.1</v>
      </c>
    </row>
    <row r="30" spans="7:40" x14ac:dyDescent="0.3">
      <c r="Z30" t="s">
        <v>31</v>
      </c>
      <c r="AA30">
        <v>0.1</v>
      </c>
      <c r="AB30">
        <v>0.2</v>
      </c>
      <c r="AC30">
        <v>0.3</v>
      </c>
      <c r="AD30">
        <v>0.4</v>
      </c>
      <c r="AE30">
        <v>0.5</v>
      </c>
      <c r="AF30">
        <v>0.6</v>
      </c>
      <c r="AG30">
        <v>0.7</v>
      </c>
      <c r="AH30">
        <v>0.8</v>
      </c>
      <c r="AI30">
        <v>0.9</v>
      </c>
      <c r="AJ30">
        <v>1</v>
      </c>
      <c r="AK30">
        <v>2</v>
      </c>
      <c r="AL30">
        <v>3</v>
      </c>
      <c r="AM30">
        <v>4</v>
      </c>
      <c r="AN30">
        <v>5</v>
      </c>
    </row>
    <row r="31" spans="7:40" x14ac:dyDescent="0.3">
      <c r="Y31" t="s">
        <v>24</v>
      </c>
    </row>
    <row r="32" spans="7:40" x14ac:dyDescent="0.3">
      <c r="Y32">
        <v>60</v>
      </c>
      <c r="AA32">
        <f>OptionGamma(Y32,$D$7,$AA$30,$D$10,$AA$28,$D$11)</f>
        <v>9.8181668070309793E-58</v>
      </c>
      <c r="AB32">
        <f>OptionGamma(Y32,$D$7,$AB$30,$D$10,$AA$28,$D$11)</f>
        <v>1.4877614568192042E-29</v>
      </c>
      <c r="AC32">
        <f>OptionGamma(Y32,$D$7,$AC$30,$D$10,$AA$28,$D$11)</f>
        <v>3.3715886606540406E-20</v>
      </c>
      <c r="AD32">
        <f>OptionGamma(Y32,$D$7,$AD$30,$D$10,$AA$28,$D$11)</f>
        <v>1.5374265651823462E-15</v>
      </c>
      <c r="AE32">
        <f>OptionGamma(Y32,$D$7,$AE$3,$D$10,$AA$28,$D$11)</f>
        <v>9.3540877738932821E-13</v>
      </c>
      <c r="AF32">
        <f>OptionGamma(Y32,$D$7,$AF$3,$D$10,$AA$28,$D$11)</f>
        <v>6.6022100125859387E-11</v>
      </c>
      <c r="AG32">
        <f>OptionGamma(Y32,$D$7,$AG$3,$D$10,$AA$28,$D$11)</f>
        <v>1.3641015888556874E-9</v>
      </c>
      <c r="AH32">
        <f>OptionGamma(Y32,$D$7,$AH$3,$D$10,$AA$28,$D$11)</f>
        <v>1.309790020055326E-8</v>
      </c>
      <c r="AI32">
        <f>OptionGamma(Y32,$D$7,$AI$3,$D$10,$AA$28,$D$11)</f>
        <v>7.5530633187758507E-8</v>
      </c>
      <c r="AJ32">
        <f>OptionGamma(Y32,$D$7,$AJ$3,$D$10,$AA$28,$D$11)</f>
        <v>3.0503159925846777E-7</v>
      </c>
      <c r="AK32">
        <f>OptionGamma(Y32,$D$7,$AK$3,$D$10,$AA$28,$D$11)</f>
        <v>1.4524281869372614E-4</v>
      </c>
      <c r="AL32">
        <f>OptionGamma(Y32,$D$7,$AL$3,$D$10,$AA$28,$D$11)</f>
        <v>1.0316841901525141E-3</v>
      </c>
      <c r="AM32">
        <f>OptionGamma(Y32,$D$7,$AM$3,$D$10,$AA$28,$D$11)</f>
        <v>2.6204952010288863E-3</v>
      </c>
      <c r="AN32">
        <f>OptionGamma(Y32,$D$7,$AN$3,$D$10,$AA$28,$D$11)</f>
        <v>4.4499754398238511E-3</v>
      </c>
    </row>
    <row r="33" spans="25:40" x14ac:dyDescent="0.3">
      <c r="Y33">
        <v>65</v>
      </c>
      <c r="AA33">
        <f t="shared" ref="AA33:AA48" si="28">OptionGamma(Y33,$D$7,$AA$30,$D$10,$AA$28,$D$11)</f>
        <v>1.867554133449226E-41</v>
      </c>
      <c r="AB33">
        <f t="shared" ref="AB33:AB48" si="29">OptionGamma(Y33,$D$7,$AB$30,$D$10,$AA$28,$D$11)</f>
        <v>1.8565304082520428E-21</v>
      </c>
      <c r="AC33">
        <f t="shared" ref="AC33:AC48" si="30">OptionGamma(Y33,$D$7,$AC$30,$D$10,$AA$28,$D$11)</f>
        <v>7.8761142092032735E-15</v>
      </c>
      <c r="AD33">
        <f t="shared" ref="AD33:AD48" si="31">OptionGamma(Y33,$D$7,$AD$30,$D$10,$AA$28,$D$11)</f>
        <v>1.5539109604002787E-11</v>
      </c>
      <c r="AE33">
        <f t="shared" ref="AE33:AE48" si="32">OptionGamma(Y33,$D$7,$AE$3,$D$10,$AA$28,$D$11)</f>
        <v>1.4365666725428593E-9</v>
      </c>
      <c r="AF33">
        <f t="shared" ref="AF33:AF48" si="33">OptionGamma(Y33,$D$7,$AF$3,$D$10,$AA$28,$D$11)</f>
        <v>2.8871903156587544E-8</v>
      </c>
      <c r="AG33">
        <f t="shared" ref="AG33:AG48" si="34">OptionGamma(Y33,$D$7,$AG$3,$D$10,$AA$28,$D$11)</f>
        <v>2.4319945667214557E-7</v>
      </c>
      <c r="AH33">
        <f t="shared" ref="AH33:AH48" si="35">OptionGamma(Y33,$D$7,$AH$3,$D$10,$AA$28,$D$11)</f>
        <v>1.191420089105155E-6</v>
      </c>
      <c r="AI33">
        <f t="shared" ref="AI33:AI48" si="36">OptionGamma(Y33,$D$7,$AI$3,$D$10,$AA$28,$D$11)</f>
        <v>4.070790527191798E-6</v>
      </c>
      <c r="AJ33">
        <f t="shared" ref="AJ33:AJ48" si="37">OptionGamma(Y33,$D$7,$AJ$3,$D$10,$AA$28,$D$11)</f>
        <v>1.0815693509621757E-5</v>
      </c>
      <c r="AK33">
        <f t="shared" ref="AK33:AK48" si="38">OptionGamma(Y33,$D$7,$AK$3,$D$10,$AA$28,$D$11)</f>
        <v>7.8252244975754123E-4</v>
      </c>
      <c r="AL33">
        <f t="shared" ref="AL33:AL48" si="39">OptionGamma(Y33,$D$7,$AL$3,$D$10,$AA$28,$D$11)</f>
        <v>2.966058949873731E-3</v>
      </c>
      <c r="AM33">
        <f t="shared" ref="AM33:AM48" si="40">OptionGamma(Y33,$D$7,$AM$3,$D$10,$AA$28,$D$11)</f>
        <v>5.5034091875470386E-3</v>
      </c>
      <c r="AN33">
        <f t="shared" ref="AN33:AN48" si="41">OptionGamma(Y33,$D$7,$AN$3,$D$10,$AA$28,$D$11)</f>
        <v>7.7406121902881767E-3</v>
      </c>
    </row>
    <row r="34" spans="25:40" x14ac:dyDescent="0.3">
      <c r="Y34">
        <v>70</v>
      </c>
      <c r="AA34">
        <f t="shared" si="28"/>
        <v>7.2920970083606921E-29</v>
      </c>
      <c r="AB34">
        <f t="shared" si="29"/>
        <v>3.3439581371571196E-15</v>
      </c>
      <c r="AC34">
        <f t="shared" si="30"/>
        <v>1.0961347486332762E-10</v>
      </c>
      <c r="AD34">
        <f t="shared" si="31"/>
        <v>1.9009673521623235E-8</v>
      </c>
      <c r="AE34">
        <f t="shared" si="32"/>
        <v>4.0857545005606393E-7</v>
      </c>
      <c r="AF34">
        <f t="shared" si="33"/>
        <v>3.1047063387496907E-6</v>
      </c>
      <c r="AG34">
        <f t="shared" si="34"/>
        <v>1.3055468334454289E-5</v>
      </c>
      <c r="AH34">
        <f t="shared" si="35"/>
        <v>3.7984667450688666E-5</v>
      </c>
      <c r="AI34">
        <f t="shared" si="36"/>
        <v>8.6540937665519212E-5</v>
      </c>
      <c r="AJ34">
        <f t="shared" si="37"/>
        <v>1.6626343859570762E-4</v>
      </c>
      <c r="AK34">
        <f t="shared" si="38"/>
        <v>2.7966437332461501E-3</v>
      </c>
      <c r="AL34">
        <f t="shared" si="39"/>
        <v>6.5180762218454997E-3</v>
      </c>
      <c r="AM34">
        <f t="shared" si="40"/>
        <v>9.4835539632301003E-3</v>
      </c>
      <c r="AN34">
        <f t="shared" si="41"/>
        <v>1.1528012005023357E-2</v>
      </c>
    </row>
    <row r="35" spans="25:40" x14ac:dyDescent="0.3">
      <c r="Y35">
        <v>75</v>
      </c>
      <c r="AA35">
        <f t="shared" si="28"/>
        <v>2.7634460319906583E-19</v>
      </c>
      <c r="AB35">
        <f t="shared" si="29"/>
        <v>1.8884525527510619E-10</v>
      </c>
      <c r="AC35">
        <f t="shared" si="30"/>
        <v>1.5233209793360453E-7</v>
      </c>
      <c r="AD35">
        <f t="shared" si="31"/>
        <v>4.1442242901485517E-6</v>
      </c>
      <c r="AE35">
        <f t="shared" si="32"/>
        <v>2.9313355232607553E-5</v>
      </c>
      <c r="AF35">
        <f t="shared" si="33"/>
        <v>1.0617694808839046E-4</v>
      </c>
      <c r="AG35">
        <f t="shared" si="34"/>
        <v>2.630006185665992E-4</v>
      </c>
      <c r="AH35">
        <f t="shared" si="35"/>
        <v>5.1450381124671068E-4</v>
      </c>
      <c r="AI35">
        <f t="shared" si="36"/>
        <v>8.6084583659867776E-4</v>
      </c>
      <c r="AJ35">
        <f t="shared" si="37"/>
        <v>1.2919311227899846E-3</v>
      </c>
      <c r="AK35">
        <f t="shared" si="38"/>
        <v>7.1516197776597054E-3</v>
      </c>
      <c r="AL35">
        <f t="shared" si="39"/>
        <v>1.150786954283289E-2</v>
      </c>
      <c r="AM35">
        <f t="shared" si="40"/>
        <v>1.3912357420204602E-2</v>
      </c>
      <c r="AN35">
        <f t="shared" si="41"/>
        <v>1.5132702486471092E-2</v>
      </c>
    </row>
    <row r="36" spans="25:40" x14ac:dyDescent="0.3">
      <c r="Y36">
        <v>80</v>
      </c>
      <c r="AA36">
        <f t="shared" si="28"/>
        <v>3.3905822708430664E-12</v>
      </c>
      <c r="AB36">
        <f t="shared" si="29"/>
        <v>6.1021351588952594E-7</v>
      </c>
      <c r="AC36">
        <f t="shared" si="30"/>
        <v>3.155135271549592E-5</v>
      </c>
      <c r="AD36">
        <f t="shared" si="31"/>
        <v>2.1731776002153873E-4</v>
      </c>
      <c r="AE36">
        <f t="shared" si="32"/>
        <v>6.7417515498728662E-4</v>
      </c>
      <c r="AF36">
        <f t="shared" si="33"/>
        <v>1.4096380488958426E-3</v>
      </c>
      <c r="AG36">
        <f t="shared" si="34"/>
        <v>2.3582196949555514E-3</v>
      </c>
      <c r="AH36">
        <f t="shared" si="35"/>
        <v>3.4369932223750686E-3</v>
      </c>
      <c r="AI36">
        <f t="shared" si="36"/>
        <v>4.5738968285542487E-3</v>
      </c>
      <c r="AJ36">
        <f t="shared" si="37"/>
        <v>5.7155372876400061E-3</v>
      </c>
      <c r="AK36">
        <f t="shared" si="38"/>
        <v>1.3876417664915321E-2</v>
      </c>
      <c r="AL36">
        <f t="shared" si="39"/>
        <v>1.6964964604488354E-2</v>
      </c>
      <c r="AM36">
        <f t="shared" si="40"/>
        <v>1.7877273947675215E-2</v>
      </c>
      <c r="AN36">
        <f t="shared" si="41"/>
        <v>1.7906989830010489E-2</v>
      </c>
    </row>
    <row r="37" spans="25:40" x14ac:dyDescent="0.3">
      <c r="Y37">
        <v>85</v>
      </c>
      <c r="AA37">
        <f t="shared" si="28"/>
        <v>3.4793158250122268E-7</v>
      </c>
      <c r="AB37">
        <f t="shared" si="29"/>
        <v>1.8120927891742718E-4</v>
      </c>
      <c r="AC37">
        <f t="shared" si="30"/>
        <v>1.3351896003566922E-3</v>
      </c>
      <c r="AD37">
        <f t="shared" si="31"/>
        <v>3.4716293491663338E-3</v>
      </c>
      <c r="AE37">
        <f t="shared" si="32"/>
        <v>6.0028678035568004E-3</v>
      </c>
      <c r="AF37">
        <f t="shared" si="33"/>
        <v>8.5007827825346483E-3</v>
      </c>
      <c r="AG37">
        <f t="shared" si="34"/>
        <v>1.0765981199439559E-2</v>
      </c>
      <c r="AH37">
        <f t="shared" si="35"/>
        <v>1.2734636942227625E-2</v>
      </c>
      <c r="AI37">
        <f t="shared" si="36"/>
        <v>1.4407206646598534E-2</v>
      </c>
      <c r="AJ37">
        <f t="shared" si="37"/>
        <v>1.5810256172317044E-2</v>
      </c>
      <c r="AK37">
        <f t="shared" si="38"/>
        <v>2.1394744871527756E-2</v>
      </c>
      <c r="AL37">
        <f t="shared" si="39"/>
        <v>2.152609940586208E-2</v>
      </c>
      <c r="AM37">
        <f t="shared" si="40"/>
        <v>2.0578086869191912E-2</v>
      </c>
      <c r="AN37">
        <f t="shared" si="41"/>
        <v>1.9442006249843845E-2</v>
      </c>
    </row>
    <row r="38" spans="25:40" x14ac:dyDescent="0.3">
      <c r="Y38">
        <v>90</v>
      </c>
      <c r="AA38">
        <f t="shared" si="28"/>
        <v>6.3723381042931433E-4</v>
      </c>
      <c r="AB38">
        <f t="shared" si="29"/>
        <v>7.2202698909513228E-3</v>
      </c>
      <c r="AC38">
        <f t="shared" si="30"/>
        <v>1.4851555899595277E-2</v>
      </c>
      <c r="AD38">
        <f t="shared" si="31"/>
        <v>2.0402828136932075E-2</v>
      </c>
      <c r="AE38">
        <f t="shared" si="32"/>
        <v>2.4058724750173604E-2</v>
      </c>
      <c r="AF38">
        <f t="shared" si="33"/>
        <v>2.6396354113062123E-2</v>
      </c>
      <c r="AG38">
        <f t="shared" si="34"/>
        <v>2.7859621858699932E-2</v>
      </c>
      <c r="AH38">
        <f t="shared" si="35"/>
        <v>2.8743231871235127E-2</v>
      </c>
      <c r="AI38">
        <f t="shared" si="36"/>
        <v>2.92381675347584E-2</v>
      </c>
      <c r="AJ38">
        <f t="shared" si="37"/>
        <v>2.9469063817634214E-2</v>
      </c>
      <c r="AK38">
        <f t="shared" si="38"/>
        <v>2.7195143108108635E-2</v>
      </c>
      <c r="AL38">
        <f t="shared" si="39"/>
        <v>2.4084363839664259E-2</v>
      </c>
      <c r="AM38">
        <f t="shared" si="40"/>
        <v>2.1600690529166151E-2</v>
      </c>
      <c r="AN38">
        <f t="shared" si="41"/>
        <v>1.9641714650531644E-2</v>
      </c>
    </row>
    <row r="39" spans="25:40" x14ac:dyDescent="0.3">
      <c r="Y39">
        <v>95</v>
      </c>
      <c r="AA39">
        <f t="shared" si="28"/>
        <v>3.8441261874572009E-2</v>
      </c>
      <c r="AB39">
        <f t="shared" si="29"/>
        <v>5.2414503254015789E-2</v>
      </c>
      <c r="AC39">
        <f t="shared" si="30"/>
        <v>5.3227540948401569E-2</v>
      </c>
      <c r="AD39">
        <f t="shared" si="31"/>
        <v>5.1379281037838447E-2</v>
      </c>
      <c r="AE39">
        <f t="shared" si="32"/>
        <v>4.9024161779533067E-2</v>
      </c>
      <c r="AF39">
        <f t="shared" si="33"/>
        <v>4.6706228570157653E-2</v>
      </c>
      <c r="AG39">
        <f t="shared" si="34"/>
        <v>4.4567221413124178E-2</v>
      </c>
      <c r="AH39">
        <f t="shared" si="35"/>
        <v>4.2631739576590874E-2</v>
      </c>
      <c r="AI39">
        <f t="shared" si="36"/>
        <v>4.0888684659269078E-2</v>
      </c>
      <c r="AJ39">
        <f t="shared" si="37"/>
        <v>3.9317306319057527E-2</v>
      </c>
      <c r="AK39">
        <f t="shared" si="38"/>
        <v>2.9359502161316497E-2</v>
      </c>
      <c r="AL39">
        <f t="shared" si="39"/>
        <v>2.4229204673908024E-2</v>
      </c>
      <c r="AM39">
        <f t="shared" si="40"/>
        <v>2.0977075164115507E-2</v>
      </c>
      <c r="AN39">
        <f t="shared" si="41"/>
        <v>1.8675003380643759E-2</v>
      </c>
    </row>
    <row r="40" spans="25:40" x14ac:dyDescent="0.3">
      <c r="Y40">
        <v>100</v>
      </c>
      <c r="AA40">
        <f t="shared" si="28"/>
        <v>0.12601477970020517</v>
      </c>
      <c r="AB40">
        <f t="shared" si="29"/>
        <v>8.900571747852265E-2</v>
      </c>
      <c r="AC40">
        <f t="shared" si="30"/>
        <v>7.2591153003284115E-2</v>
      </c>
      <c r="AD40">
        <f t="shared" si="31"/>
        <v>6.2795098352771264E-2</v>
      </c>
      <c r="AE40">
        <f t="shared" si="32"/>
        <v>5.6102492608372502E-2</v>
      </c>
      <c r="AF40">
        <f t="shared" si="33"/>
        <v>5.1156750826999192E-2</v>
      </c>
      <c r="AG40">
        <f t="shared" si="34"/>
        <v>4.7308695923014683E-2</v>
      </c>
      <c r="AH40">
        <f t="shared" si="35"/>
        <v>4.4203475996246966E-2</v>
      </c>
      <c r="AI40">
        <f t="shared" si="36"/>
        <v>4.1628578335024279E-2</v>
      </c>
      <c r="AJ40">
        <f t="shared" si="37"/>
        <v>3.9447933090788895E-2</v>
      </c>
      <c r="AK40">
        <f t="shared" si="38"/>
        <v>2.7581853166270594E-2</v>
      </c>
      <c r="AL40">
        <f t="shared" si="39"/>
        <v>2.226855310230557E-2</v>
      </c>
      <c r="AM40">
        <f t="shared" si="40"/>
        <v>1.9069390773026208E-2</v>
      </c>
      <c r="AN40">
        <f t="shared" si="41"/>
        <v>1.6865374880276125E-2</v>
      </c>
    </row>
    <row r="41" spans="25:40" x14ac:dyDescent="0.3">
      <c r="Y41">
        <v>105</v>
      </c>
      <c r="AA41">
        <f t="shared" si="28"/>
        <v>3.3926069444668298E-2</v>
      </c>
      <c r="AB41">
        <f t="shared" si="29"/>
        <v>4.3449753071981678E-2</v>
      </c>
      <c r="AC41">
        <f t="shared" si="30"/>
        <v>4.3212117686085329E-2</v>
      </c>
      <c r="AD41">
        <f t="shared" si="31"/>
        <v>4.1278492158452369E-2</v>
      </c>
      <c r="AE41">
        <f t="shared" si="32"/>
        <v>3.9140464152421513E-2</v>
      </c>
      <c r="AF41">
        <f t="shared" si="33"/>
        <v>3.7134472308525492E-2</v>
      </c>
      <c r="AG41">
        <f t="shared" si="34"/>
        <v>3.5328302741473985E-2</v>
      </c>
      <c r="AH41">
        <f t="shared" si="35"/>
        <v>3.3718545937390321E-2</v>
      </c>
      <c r="AI41">
        <f t="shared" si="36"/>
        <v>3.2283704705699037E-2</v>
      </c>
      <c r="AJ41">
        <f t="shared" si="37"/>
        <v>3.0999845988993836E-2</v>
      </c>
      <c r="AK41">
        <f t="shared" si="38"/>
        <v>2.3004058320651034E-2</v>
      </c>
      <c r="AL41">
        <f t="shared" si="39"/>
        <v>1.8944723118837964E-2</v>
      </c>
      <c r="AM41">
        <f t="shared" si="40"/>
        <v>1.6384783361470954E-2</v>
      </c>
      <c r="AN41">
        <f t="shared" si="41"/>
        <v>1.4577547243302307E-2</v>
      </c>
    </row>
    <row r="42" spans="25:40" x14ac:dyDescent="0.3">
      <c r="Y42">
        <v>110</v>
      </c>
      <c r="AA42">
        <f t="shared" si="28"/>
        <v>1.0577125055269182E-3</v>
      </c>
      <c r="AB42">
        <f t="shared" si="29"/>
        <v>7.2385257929532482E-3</v>
      </c>
      <c r="AC42">
        <f t="shared" si="30"/>
        <v>1.2585716288856257E-2</v>
      </c>
      <c r="AD42">
        <f t="shared" si="31"/>
        <v>1.5896481134192911E-2</v>
      </c>
      <c r="AE42">
        <f t="shared" si="32"/>
        <v>1.7823213843019738E-2</v>
      </c>
      <c r="AF42">
        <f t="shared" si="33"/>
        <v>1.8908593172743498E-2</v>
      </c>
      <c r="AG42">
        <f t="shared" si="34"/>
        <v>1.9483332622964505E-2</v>
      </c>
      <c r="AH42">
        <f t="shared" si="35"/>
        <v>1.9742547542846399E-2</v>
      </c>
      <c r="AI42">
        <f t="shared" si="36"/>
        <v>1.9803191408745976E-2</v>
      </c>
      <c r="AJ42">
        <f t="shared" si="37"/>
        <v>1.9737190221859435E-2</v>
      </c>
      <c r="AK42">
        <f t="shared" si="38"/>
        <v>1.7318613598151577E-2</v>
      </c>
      <c r="AL42">
        <f t="shared" si="39"/>
        <v>1.5081963394812057E-2</v>
      </c>
      <c r="AM42">
        <f t="shared" si="40"/>
        <v>1.3413459498534529E-2</v>
      </c>
      <c r="AN42">
        <f t="shared" si="41"/>
        <v>1.2135644435772964E-2</v>
      </c>
    </row>
    <row r="43" spans="25:40" x14ac:dyDescent="0.3">
      <c r="Y43">
        <v>115</v>
      </c>
      <c r="AA43">
        <f t="shared" si="28"/>
        <v>5.0939285700327113E-6</v>
      </c>
      <c r="AB43">
        <f t="shared" si="29"/>
        <v>4.751834300064429E-4</v>
      </c>
      <c r="AC43">
        <f t="shared" si="30"/>
        <v>1.9736239926009679E-3</v>
      </c>
      <c r="AD43">
        <f t="shared" si="31"/>
        <v>3.8527882067153165E-3</v>
      </c>
      <c r="AE43">
        <f t="shared" si="32"/>
        <v>5.6093527215653792E-3</v>
      </c>
      <c r="AF43">
        <f t="shared" si="33"/>
        <v>7.0830615084530833E-3</v>
      </c>
      <c r="AG43">
        <f t="shared" si="34"/>
        <v>8.2651375479295131E-3</v>
      </c>
      <c r="AH43">
        <f t="shared" si="35"/>
        <v>9.19409140342148E-3</v>
      </c>
      <c r="AI43">
        <f t="shared" si="36"/>
        <v>9.9164315716425769E-3</v>
      </c>
      <c r="AJ43">
        <f t="shared" si="37"/>
        <v>1.0474112849205517E-2</v>
      </c>
      <c r="AK43">
        <f t="shared" si="38"/>
        <v>1.193431892911874E-2</v>
      </c>
      <c r="AL43">
        <f t="shared" si="39"/>
        <v>1.1338612960202372E-2</v>
      </c>
      <c r="AM43">
        <f t="shared" si="40"/>
        <v>1.053298866360371E-2</v>
      </c>
      <c r="AN43">
        <f t="shared" si="41"/>
        <v>9.7818031211006871E-3</v>
      </c>
    </row>
    <row r="44" spans="25:40" x14ac:dyDescent="0.3">
      <c r="Y44">
        <v>120</v>
      </c>
      <c r="AA44">
        <f t="shared" si="28"/>
        <v>4.8333065983836828E-9</v>
      </c>
      <c r="AB44">
        <f t="shared" si="29"/>
        <v>1.3878827508435486E-5</v>
      </c>
      <c r="AC44">
        <f t="shared" si="30"/>
        <v>1.8065746203269184E-4</v>
      </c>
      <c r="AD44">
        <f t="shared" si="31"/>
        <v>6.2433347878451597E-4</v>
      </c>
      <c r="AE44">
        <f t="shared" si="32"/>
        <v>1.2805137235044073E-3</v>
      </c>
      <c r="AF44">
        <f t="shared" si="33"/>
        <v>2.0319475824949751E-3</v>
      </c>
      <c r="AG44">
        <f t="shared" si="34"/>
        <v>2.7913416838140047E-3</v>
      </c>
      <c r="AH44">
        <f t="shared" si="35"/>
        <v>3.5093388466936421E-3</v>
      </c>
      <c r="AI44">
        <f t="shared" si="36"/>
        <v>4.1630686520652081E-3</v>
      </c>
      <c r="AJ44">
        <f t="shared" si="37"/>
        <v>4.7451367772989453E-3</v>
      </c>
      <c r="AK44">
        <f t="shared" si="38"/>
        <v>7.6165645282489083E-3</v>
      </c>
      <c r="AL44">
        <f t="shared" si="39"/>
        <v>8.1120649104783824E-3</v>
      </c>
      <c r="AM44">
        <f t="shared" si="40"/>
        <v>7.978625905498065E-3</v>
      </c>
      <c r="AN44">
        <f t="shared" si="41"/>
        <v>7.6679346587994893E-3</v>
      </c>
    </row>
    <row r="45" spans="25:40" x14ac:dyDescent="0.3">
      <c r="Y45">
        <v>125</v>
      </c>
      <c r="AA45">
        <f t="shared" si="28"/>
        <v>1.1110259985098475E-12</v>
      </c>
      <c r="AB45">
        <f t="shared" si="29"/>
        <v>1.9995476488667826E-7</v>
      </c>
      <c r="AC45">
        <f t="shared" si="30"/>
        <v>1.0338747257813658E-5</v>
      </c>
      <c r="AD45">
        <f t="shared" si="31"/>
        <v>7.1210683603857566E-5</v>
      </c>
      <c r="AE45">
        <f t="shared" si="32"/>
        <v>2.2091371478623331E-4</v>
      </c>
      <c r="AF45">
        <f t="shared" si="33"/>
        <v>4.6191019586218834E-4</v>
      </c>
      <c r="AG45">
        <f t="shared" si="34"/>
        <v>7.7274142964303314E-4</v>
      </c>
      <c r="AH45">
        <f t="shared" si="35"/>
        <v>1.1262339391078598E-3</v>
      </c>
      <c r="AI45">
        <f t="shared" si="36"/>
        <v>1.4987745127806541E-3</v>
      </c>
      <c r="AJ45">
        <f t="shared" si="37"/>
        <v>1.8728672584138741E-3</v>
      </c>
      <c r="AK45">
        <f t="shared" si="38"/>
        <v>4.5470245404394486E-3</v>
      </c>
      <c r="AL45">
        <f t="shared" si="39"/>
        <v>5.5590796015987437E-3</v>
      </c>
      <c r="AM45">
        <f t="shared" si="40"/>
        <v>5.8580251271742132E-3</v>
      </c>
      <c r="AN45">
        <f t="shared" si="41"/>
        <v>5.8677624274978343E-3</v>
      </c>
    </row>
    <row r="46" spans="25:40" x14ac:dyDescent="0.3">
      <c r="Y46">
        <v>130</v>
      </c>
      <c r="AA46">
        <f t="shared" si="28"/>
        <v>7.382971539826821E-17</v>
      </c>
      <c r="AB46">
        <f t="shared" si="29"/>
        <v>1.5520066218442012E-9</v>
      </c>
      <c r="AC46">
        <f t="shared" si="30"/>
        <v>3.9226661156427296E-7</v>
      </c>
      <c r="AD46">
        <f t="shared" si="31"/>
        <v>5.9735759091088035E-6</v>
      </c>
      <c r="AE46">
        <f t="shared" si="32"/>
        <v>2.9830284442140869E-5</v>
      </c>
      <c r="AF46">
        <f t="shared" si="33"/>
        <v>8.5668780985105099E-5</v>
      </c>
      <c r="AG46">
        <f t="shared" si="34"/>
        <v>1.7978334895153025E-4</v>
      </c>
      <c r="AH46">
        <f t="shared" si="35"/>
        <v>3.1058576900406615E-4</v>
      </c>
      <c r="AI46">
        <f t="shared" si="36"/>
        <v>4.7175720539731353E-4</v>
      </c>
      <c r="AJ46">
        <f t="shared" si="37"/>
        <v>6.5528870342850616E-4</v>
      </c>
      <c r="AK46">
        <f t="shared" si="38"/>
        <v>2.5609344709387875E-3</v>
      </c>
      <c r="AL46">
        <f t="shared" si="39"/>
        <v>3.669350702524464E-3</v>
      </c>
      <c r="AM46">
        <f t="shared" si="40"/>
        <v>4.1859606357164706E-3</v>
      </c>
      <c r="AN46">
        <f t="shared" si="41"/>
        <v>4.3973494544828021E-3</v>
      </c>
    </row>
    <row r="47" spans="25:40" x14ac:dyDescent="0.3">
      <c r="Y47">
        <v>135</v>
      </c>
      <c r="AA47">
        <f t="shared" si="28"/>
        <v>1.6508431991277696E-21</v>
      </c>
      <c r="AB47">
        <f t="shared" si="29"/>
        <v>7.0007225305255789E-12</v>
      </c>
      <c r="AC47">
        <f t="shared" si="30"/>
        <v>1.037740725194923E-8</v>
      </c>
      <c r="AD47">
        <f t="shared" si="31"/>
        <v>3.8271106091862608E-7</v>
      </c>
      <c r="AE47">
        <f t="shared" si="32"/>
        <v>3.2491629195180632E-6</v>
      </c>
      <c r="AF47">
        <f t="shared" si="33"/>
        <v>1.3291938562945936E-5</v>
      </c>
      <c r="AG47">
        <f t="shared" si="34"/>
        <v>3.591421503332701E-5</v>
      </c>
      <c r="AH47">
        <f t="shared" si="35"/>
        <v>7.4991466396696723E-5</v>
      </c>
      <c r="AI47">
        <f t="shared" si="36"/>
        <v>1.3199891273585568E-4</v>
      </c>
      <c r="AJ47">
        <f t="shared" si="37"/>
        <v>2.0630117799149032E-4</v>
      </c>
      <c r="AK47">
        <f t="shared" si="38"/>
        <v>1.3707080362701774E-3</v>
      </c>
      <c r="AL47">
        <f t="shared" si="39"/>
        <v>2.3440212104340022E-3</v>
      </c>
      <c r="AM47">
        <f t="shared" si="40"/>
        <v>2.9213283025393976E-3</v>
      </c>
      <c r="AN47">
        <f t="shared" si="41"/>
        <v>3.2361150487909911E-3</v>
      </c>
    </row>
    <row r="48" spans="25:40" x14ac:dyDescent="0.3">
      <c r="Y48">
        <v>140</v>
      </c>
      <c r="AA48">
        <f t="shared" si="28"/>
        <v>1.4160803501951785E-26</v>
      </c>
      <c r="AB48">
        <f t="shared" si="29"/>
        <v>1.9592554647687471E-14</v>
      </c>
      <c r="AC48">
        <f t="shared" si="30"/>
        <v>1.9993666289338756E-10</v>
      </c>
      <c r="AD48">
        <f t="shared" si="31"/>
        <v>1.9346494359707462E-8</v>
      </c>
      <c r="AE48">
        <f t="shared" si="32"/>
        <v>2.9299443269233372E-7</v>
      </c>
      <c r="AF48">
        <f t="shared" si="33"/>
        <v>1.7629795738939588E-6</v>
      </c>
      <c r="AG48">
        <f t="shared" si="34"/>
        <v>6.2750755529855403E-6</v>
      </c>
      <c r="AH48">
        <f t="shared" si="35"/>
        <v>1.6111450652008537E-5</v>
      </c>
      <c r="AI48">
        <f t="shared" si="36"/>
        <v>3.3305383198972798E-5</v>
      </c>
      <c r="AJ48">
        <f t="shared" si="37"/>
        <v>5.9197424706742854E-5</v>
      </c>
      <c r="AK48">
        <f t="shared" si="38"/>
        <v>7.016211594893701E-4</v>
      </c>
      <c r="AL48">
        <f t="shared" si="39"/>
        <v>1.4551400495073856E-3</v>
      </c>
      <c r="AM48">
        <f t="shared" si="40"/>
        <v>1.9971762450752021E-3</v>
      </c>
      <c r="AN48">
        <f t="shared" si="41"/>
        <v>2.3442052804045392E-3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D04A98-38C1-4696-B8F7-6479F2251DD3}">
  <sheetPr codeName="Sheet6"/>
  <dimension ref="B1:BF21"/>
  <sheetViews>
    <sheetView workbookViewId="0">
      <selection activeCell="BF21" sqref="AS5:BF21"/>
    </sheetView>
  </sheetViews>
  <sheetFormatPr defaultRowHeight="14.4" x14ac:dyDescent="0.3"/>
  <cols>
    <col min="9" max="14" width="12.6640625" bestFit="1" customWidth="1"/>
    <col min="45" max="56" width="12.6640625" bestFit="1" customWidth="1"/>
  </cols>
  <sheetData>
    <row r="1" spans="2:58" x14ac:dyDescent="0.3">
      <c r="Z1" t="s">
        <v>27</v>
      </c>
      <c r="AA1">
        <v>0.3</v>
      </c>
      <c r="AR1" t="s">
        <v>27</v>
      </c>
      <c r="AS1">
        <v>0.1</v>
      </c>
    </row>
    <row r="2" spans="2:58" x14ac:dyDescent="0.3">
      <c r="B2" t="s">
        <v>41</v>
      </c>
    </row>
    <row r="3" spans="2:58" x14ac:dyDescent="0.3">
      <c r="H3" t="s">
        <v>31</v>
      </c>
      <c r="I3">
        <v>0.1</v>
      </c>
      <c r="J3">
        <v>0.2</v>
      </c>
      <c r="K3">
        <v>0.3</v>
      </c>
      <c r="L3">
        <v>0.4</v>
      </c>
      <c r="M3">
        <v>0.5</v>
      </c>
      <c r="N3">
        <v>0.6</v>
      </c>
      <c r="O3">
        <v>0.7</v>
      </c>
      <c r="P3">
        <v>0.8</v>
      </c>
      <c r="Q3">
        <v>0.9</v>
      </c>
      <c r="R3">
        <v>1</v>
      </c>
      <c r="S3">
        <v>2</v>
      </c>
      <c r="T3">
        <v>3</v>
      </c>
      <c r="U3">
        <v>4</v>
      </c>
      <c r="V3">
        <v>5</v>
      </c>
      <c r="Z3" t="s">
        <v>31</v>
      </c>
      <c r="AA3">
        <v>0.1</v>
      </c>
      <c r="AB3">
        <v>0.2</v>
      </c>
      <c r="AC3">
        <v>0.3</v>
      </c>
      <c r="AD3">
        <v>0.4</v>
      </c>
      <c r="AE3">
        <v>0.5</v>
      </c>
      <c r="AF3">
        <v>0.6</v>
      </c>
      <c r="AG3">
        <v>0.7</v>
      </c>
      <c r="AH3">
        <v>0.8</v>
      </c>
      <c r="AI3">
        <v>0.9</v>
      </c>
      <c r="AJ3">
        <v>1</v>
      </c>
      <c r="AK3">
        <v>2</v>
      </c>
      <c r="AL3">
        <v>3</v>
      </c>
      <c r="AM3">
        <v>4</v>
      </c>
      <c r="AN3">
        <v>5</v>
      </c>
      <c r="AR3" t="s">
        <v>31</v>
      </c>
      <c r="AS3">
        <v>0.1</v>
      </c>
      <c r="AT3">
        <v>0.2</v>
      </c>
      <c r="AU3">
        <v>0.3</v>
      </c>
      <c r="AV3">
        <v>0.4</v>
      </c>
      <c r="AW3">
        <v>0.5</v>
      </c>
      <c r="AX3">
        <v>0.6</v>
      </c>
      <c r="AY3">
        <v>0.7</v>
      </c>
      <c r="AZ3">
        <v>0.8</v>
      </c>
      <c r="BA3">
        <v>0.9</v>
      </c>
      <c r="BB3">
        <v>1</v>
      </c>
      <c r="BC3">
        <v>2</v>
      </c>
      <c r="BD3">
        <v>3</v>
      </c>
      <c r="BE3">
        <v>4</v>
      </c>
      <c r="BF3">
        <v>5</v>
      </c>
    </row>
    <row r="4" spans="2:58" x14ac:dyDescent="0.3">
      <c r="G4" t="s">
        <v>24</v>
      </c>
      <c r="Y4" t="s">
        <v>24</v>
      </c>
      <c r="AQ4" t="s">
        <v>24</v>
      </c>
    </row>
    <row r="5" spans="2:58" x14ac:dyDescent="0.3">
      <c r="B5" t="s">
        <v>23</v>
      </c>
      <c r="D5" t="s">
        <v>30</v>
      </c>
      <c r="G5">
        <v>60</v>
      </c>
      <c r="I5">
        <f>OptionTheta($D$5,G5,$D$7,$I$3,$D$10,$D$9,$D$11)</f>
        <v>-2.066511058311062E-16</v>
      </c>
      <c r="J5">
        <f>OptionTheta($D$5,G5,$D$7,$J$3,$D$10,$D$9,$D$11)</f>
        <v>-1.7598718961492301E-9</v>
      </c>
      <c r="K5">
        <f>OptionTheta($D$5,G5,$D$7,$K$3,$D$10,$D$9,$D$11)</f>
        <v>-3.2833462792724949E-7</v>
      </c>
      <c r="L5">
        <f>OptionTheta($D$5,G5,$D$7,$L$3,$D$10,$D$9,$D$11)</f>
        <v>-4.2883062760824116E-6</v>
      </c>
      <c r="M5">
        <f>OptionTheta($D$5,G5,$D$7,$M$3,$D$10,$D$9,$D$11)</f>
        <v>-1.9503422452077548E-5</v>
      </c>
      <c r="N5">
        <f>OptionTheta($D$5,G5,$D$7,$N$3,$D$10,$D$9,$D$11)</f>
        <v>-5.2569629760454496E-5</v>
      </c>
      <c r="O5">
        <f>OptionTheta($D$5,G5,$D$7,$O$3,$D$10,$D$9,$D$11)</f>
        <v>-1.0533980269340913E-4</v>
      </c>
      <c r="P5">
        <f>OptionTheta($D$5,G5,$D$7,$P$3,$D$10,$D$9,$D$11)</f>
        <v>-1.7564415615483212E-4</v>
      </c>
      <c r="Q5">
        <f>OptionTheta($D$5,G5,$D$7,$Q$3,$D$10,$D$9,$D$11)</f>
        <v>-2.593616127553257E-4</v>
      </c>
      <c r="R5">
        <f>OptionTheta($D$5,G5,$D$7,$R$3,$D$10,$D$9,$D$11)</f>
        <v>-3.5200490120518426E-4</v>
      </c>
      <c r="S5">
        <f>OptionTheta($D$5,G5,$D$7,$S$3,$D$10,$D$9,$D$11)</f>
        <v>-1.2206037061217737E-3</v>
      </c>
      <c r="T5">
        <f>OptionTheta($D$5,G5,$D$7,$T$3,$D$10,$D$9,$D$11)</f>
        <v>-1.6527866271508298E-3</v>
      </c>
      <c r="U5">
        <f>OptionTheta($D$5,G5,$D$7,$U$3,$D$10,$D$9,$D$11)</f>
        <v>-1.812646125901823E-3</v>
      </c>
      <c r="V5">
        <f>OptionTheta($D$5,G5,$D$7,$V$3,$D$10,$D$9,$D$11)</f>
        <v>-1.8445851187638676E-3</v>
      </c>
      <c r="Y5">
        <v>60</v>
      </c>
      <c r="AA5">
        <f>OptionTheta($D$5,Y5,$D$7,$AA$3,$D$10,$AA$1,$D$11)</f>
        <v>-2.1388202444377854E-8</v>
      </c>
      <c r="AB5">
        <f>OptionTheta($D$5,Y5,$D$7,$AB$3,$D$10,$AA$1,$D$11)</f>
        <v>-2.1151355938947981E-5</v>
      </c>
      <c r="AC5">
        <f>OptionTheta($D$5,Y5,$D$7,$AC$3,$D$10,$AA$1,$D$11)</f>
        <v>-1.9249725723178876E-4</v>
      </c>
      <c r="AD5">
        <f>OptionTheta($D$5,Y5,$D$7,$AD$3,$D$10,$AA$1,$D$11)</f>
        <v>-5.552636180151039E-4</v>
      </c>
      <c r="AE5">
        <f>OptionTheta($D$5,Y5,$D$7,$AE$3,$D$10,$AA$1,$D$11)</f>
        <v>-1.0204341477554112E-3</v>
      </c>
      <c r="AF5">
        <f>OptionTheta($D$5,Y5,$D$7,$AF$3,$D$10,$AA$1,$D$11)</f>
        <v>-1.5033352373621058E-3</v>
      </c>
      <c r="AG5">
        <f>OptionTheta($D$5,Y5,$D$7,$AG$3,$D$10,$AA$1,$D$11)</f>
        <v>-1.9567228955209514E-3</v>
      </c>
      <c r="AH5">
        <f>OptionTheta($D$5,Y5,$D$7,$AH$3,$D$10,$AA$1,$D$11)</f>
        <v>-2.3607291154805411E-3</v>
      </c>
      <c r="AI5">
        <f>OptionTheta($D$5,Y5,$D$7,$AI$3,$D$10,$AA$1,$D$11)</f>
        <v>-2.7104193501449247E-3</v>
      </c>
      <c r="AJ5">
        <f>OptionTheta($D$5,Y5,$D$7,$AJ$3,$D$10,$AA$1,$D$11)</f>
        <v>-3.0079450651427195E-3</v>
      </c>
      <c r="AK5">
        <f>OptionTheta($D$5,Y5,$D$7,$AK$3,$D$10,$AA$1,$D$11)</f>
        <v>-4.2221154024053515E-3</v>
      </c>
      <c r="AL5">
        <f>OptionTheta($D$5,Y5,$D$7,$AL$3,$D$10,$AA$1,$D$11)</f>
        <v>-4.2374078865411793E-3</v>
      </c>
      <c r="AM5">
        <f>OptionTheta($D$5,Y5,$D$7,$AM$3,$D$10,$AA$1,$D$11)</f>
        <v>-4.0073760431144729E-3</v>
      </c>
      <c r="AN5">
        <f>OptionTheta($D$5,Y5,$D$7,$AN$3,$D$10,$AA$1,$D$11)</f>
        <v>-3.7360733280407963E-3</v>
      </c>
      <c r="AQ5">
        <v>60</v>
      </c>
      <c r="AS5">
        <f>OptionTheta($D$5,AQ5,$D$7,$AA$3,$D$10,$AS$1,$D$11)</f>
        <v>-4.8229322480073432E-59</v>
      </c>
      <c r="AT5">
        <f>OptionTheta($D$5,AQ5,$D$7,$AB$3,$D$10,$AS$1,$D$11)</f>
        <v>-7.2797748550212078E-31</v>
      </c>
      <c r="AU5">
        <f>OptionTheta($D$5,AQ5,$D$7,$AC$3,$D$10,$AS$1,$D$11)</f>
        <v>-1.6433332448894664E-21</v>
      </c>
      <c r="AV5">
        <f>OptionTheta($D$5,AQ5,$D$7,$AD$3,$D$10,$AS$1,$D$11)</f>
        <v>-7.4643867791599165E-17</v>
      </c>
      <c r="AW5">
        <f>OptionTheta($D$5,AQ5,$D$7,$AE$3,$D$10,$AS$1,$D$11)</f>
        <v>-4.5238891558426521E-14</v>
      </c>
      <c r="AX5">
        <f>OptionTheta($D$5,AQ5,$D$7,$AF$3,$D$10,$AS$1,$D$11)</f>
        <v>-3.1806249692828647E-12</v>
      </c>
      <c r="AY5">
        <f>OptionTheta($D$5,AQ5,$D$7,$AG$3,$D$10,$AS$1,$D$11)</f>
        <v>-6.5461223070391869E-11</v>
      </c>
      <c r="AZ5">
        <f>OptionTheta($D$5,AQ5,$D$7,$AH$3,$D$10,$AS$1,$D$11)</f>
        <v>-6.2611602466551874E-10</v>
      </c>
      <c r="BA5">
        <f>OptionTheta($D$5,AQ5,$D$7,$AI$3,$D$10,$AS$1,$D$11)</f>
        <v>-3.5966096256031937E-9</v>
      </c>
      <c r="BB5">
        <f>OptionTheta($D$5,AQ5,$D$7,$AJ$3,$D$10,$AS$1,$D$11)</f>
        <v>-1.446882179480382E-8</v>
      </c>
      <c r="BC5">
        <f>OptionTheta($D$5,AQ5,$D$7,$AK$3,$D$10,$AS$1,$D$11)</f>
        <v>-6.6281800168779741E-6</v>
      </c>
      <c r="BD5">
        <f>OptionTheta($D$5,AQ5,$D$7,$AL$3,$D$10,$AS$1,$D$11)</f>
        <v>-4.529268118048049E-5</v>
      </c>
      <c r="BE5">
        <f>OptionTheta($D$5,AQ5,$D$7,$AM$3,$D$10,$AS$1,$D$11)</f>
        <v>-1.1064235534244021E-4</v>
      </c>
      <c r="BF5">
        <f>OptionTheta($D$5,AQ5,$D$7,$AN$3,$D$10,$AS$1,$D$11)</f>
        <v>-1.8061391491424629E-4</v>
      </c>
    </row>
    <row r="6" spans="2:58" x14ac:dyDescent="0.3">
      <c r="B6" t="s">
        <v>24</v>
      </c>
      <c r="D6">
        <v>100</v>
      </c>
      <c r="G6">
        <v>65</v>
      </c>
      <c r="I6">
        <f t="shared" ref="I6:I21" si="0">OptionTheta($D$5,G6,$D$7,$I$3,$D$10,$D$9,$D$11)</f>
        <v>-2.6011491668502462E-12</v>
      </c>
      <c r="J6">
        <f t="shared" ref="J6:J21" si="1">OptionTheta($D$5,G6,$D$7,$J$3,$D$10,$D$9,$D$11)</f>
        <v>-1.992357058237849E-7</v>
      </c>
      <c r="K6">
        <f t="shared" ref="K6:K21" si="2">OptionTheta($D$5,G6,$D$7,$K$3,$D$10,$D$9,$D$11)</f>
        <v>-7.727319958925261E-6</v>
      </c>
      <c r="L6">
        <f t="shared" ref="L6:L21" si="3">OptionTheta($D$5,G6,$D$7,$L$3,$D$10,$D$9,$D$11)</f>
        <v>-4.6004848790606487E-5</v>
      </c>
      <c r="M6">
        <f t="shared" ref="M6:M21" si="4">OptionTheta($D$5,G6,$D$7,$M$3,$D$10,$D$9,$D$11)</f>
        <v>-1.3056721507329281E-4</v>
      </c>
      <c r="N6">
        <f t="shared" ref="N6:N21" si="5">OptionTheta($D$5,G6,$D$7,$N$3,$D$10,$D$9,$D$11)</f>
        <v>-2.5696218406901921E-4</v>
      </c>
      <c r="O6">
        <f t="shared" ref="O6:O21" si="6">OptionTheta($D$5,G6,$D$7,$O$3,$D$10,$D$9,$D$11)</f>
        <v>-4.1125985083875457E-4</v>
      </c>
      <c r="P6">
        <f t="shared" ref="P6:P21" si="7">OptionTheta($D$5,G6,$D$7,$P$3,$D$10,$D$9,$D$11)</f>
        <v>-5.7931073146288991E-4</v>
      </c>
      <c r="Q6">
        <f t="shared" ref="Q6:Q21" si="8">OptionTheta($D$5,G6,$D$7,$Q$3,$D$10,$D$9,$D$11)</f>
        <v>-7.5021010955624045E-4</v>
      </c>
      <c r="R6">
        <f t="shared" ref="R6:R21" si="9">OptionTheta($D$5,G6,$D$7,$R$3,$D$10,$D$9,$D$11)</f>
        <v>-9.1663987957427942E-4</v>
      </c>
      <c r="S6">
        <f t="shared" ref="S6:S21" si="10">OptionTheta($D$5,G6,$D$7,$S$3,$D$10,$D$9,$D$11)</f>
        <v>-1.9783641324264407E-3</v>
      </c>
      <c r="T6">
        <f t="shared" ref="T6:T21" si="11">OptionTheta($D$5,G6,$D$7,$T$3,$D$10,$D$9,$D$11)</f>
        <v>-2.2843589815852989E-3</v>
      </c>
      <c r="U6">
        <f t="shared" ref="U6:U21" si="12">OptionTheta($D$5,G6,$D$7,$U$3,$D$10,$D$9,$D$11)</f>
        <v>-2.3118992079080511E-3</v>
      </c>
      <c r="V6">
        <f t="shared" ref="V6:V21" si="13">OptionTheta($D$5,G6,$D$7,$V$3,$D$10,$D$9,$D$11)</f>
        <v>-2.2409256221649185E-3</v>
      </c>
      <c r="Y6">
        <v>65</v>
      </c>
      <c r="AA6">
        <f t="shared" ref="AA6:AA21" si="14">OptionTheta($D$5,Y6,$D$7,$AA$3,$D$10,$AA$1,$D$11)</f>
        <v>-1.4516877969213794E-6</v>
      </c>
      <c r="AB6">
        <f t="shared" ref="AB6:AB21" si="15">OptionTheta($D$5,Y6,$D$7,$AB$3,$D$10,$AA$1,$D$11)</f>
        <v>-1.7683900083278055E-4</v>
      </c>
      <c r="AC6">
        <f t="shared" ref="AC6:AC21" si="16">OptionTheta($D$5,Y6,$D$7,$AC$3,$D$10,$AA$1,$D$11)</f>
        <v>-8.0056016104071382E-4</v>
      </c>
      <c r="AD6">
        <f t="shared" ref="AD6:AD21" si="17">OptionTheta($D$5,Y6,$D$7,$AD$3,$D$10,$AA$1,$D$11)</f>
        <v>-1.6284046035200219E-3</v>
      </c>
      <c r="AE6">
        <f t="shared" ref="AE6:AE21" si="18">OptionTheta($D$5,Y6,$D$7,$AE$3,$D$10,$AA$1,$D$11)</f>
        <v>-2.4264809719316232E-3</v>
      </c>
      <c r="AF6">
        <f t="shared" ref="AF6:AF21" si="19">OptionTheta($D$5,Y6,$D$7,$AF$3,$D$10,$AA$1,$D$11)</f>
        <v>-3.108135752252036E-3</v>
      </c>
      <c r="AG6">
        <f t="shared" ref="AG6:AG21" si="20">OptionTheta($D$5,Y6,$D$7,$AG$3,$D$10,$AA$1,$D$11)</f>
        <v>-3.6606419692686992E-3</v>
      </c>
      <c r="AH6">
        <f t="shared" ref="AH6:AH21" si="21">OptionTheta($D$5,Y6,$D$7,$AH$3,$D$10,$AA$1,$D$11)</f>
        <v>-4.0972529860509622E-3</v>
      </c>
      <c r="AI6">
        <f t="shared" ref="AI6:AI21" si="22">OptionTheta($D$5,Y6,$D$7,$AI$3,$D$10,$AA$1,$D$11)</f>
        <v>-4.4373841103313447E-3</v>
      </c>
      <c r="AJ6">
        <f t="shared" ref="AJ6:AJ21" si="23">OptionTheta($D$5,Y6,$D$7,$AJ$3,$D$10,$AA$1,$D$11)</f>
        <v>-4.6996275359724215E-3</v>
      </c>
      <c r="AK6">
        <f t="shared" ref="AK6:AK21" si="24">OptionTheta($D$5,Y6,$D$7,$AK$3,$D$10,$AA$1,$D$11)</f>
        <v>-5.3426066395957858E-3</v>
      </c>
      <c r="AL6">
        <f t="shared" ref="AL6:AL21" si="25">OptionTheta($D$5,Y6,$D$7,$AL$3,$D$10,$AA$1,$D$11)</f>
        <v>-4.9960758054153204E-3</v>
      </c>
      <c r="AM6">
        <f t="shared" ref="AM6:AM21" si="26">OptionTheta($D$5,Y6,$D$7,$AM$3,$D$10,$AA$1,$D$11)</f>
        <v>-4.5600802173021834E-3</v>
      </c>
      <c r="AN6">
        <f t="shared" ref="AN6:AN21" si="27">OptionTheta($D$5,Y6,$D$7,$AN$3,$D$10,$AA$1,$D$11)</f>
        <v>-4.1614490711383047E-3</v>
      </c>
      <c r="AQ6">
        <v>65</v>
      </c>
      <c r="AS6">
        <f t="shared" ref="AS6:AS21" si="28">OptionTheta($D$5,AQ6,$D$7,$AA$3,$D$10,$AS$1,$D$11)</f>
        <v>-1.0758816027387067E-42</v>
      </c>
      <c r="AT6">
        <f t="shared" ref="AT6:AT21" si="29">OptionTheta($D$5,AQ6,$D$7,$AB$3,$D$10,$AS$1,$D$11)</f>
        <v>-1.0646033177470248E-22</v>
      </c>
      <c r="AU6">
        <f t="shared" ref="AU6:AU21" si="30">OptionTheta($D$5,AQ6,$D$7,$AC$3,$D$10,$AS$1,$D$11)</f>
        <v>-4.4957138773605802E-16</v>
      </c>
      <c r="AV6">
        <f t="shared" ref="AV6:AV21" si="31">OptionTheta($D$5,AQ6,$D$7,$AD$3,$D$10,$AS$1,$D$11)</f>
        <v>-8.8291643741194131E-13</v>
      </c>
      <c r="AW6">
        <f t="shared" ref="AW6:AW21" si="32">OptionTheta($D$5,AQ6,$D$7,$AE$3,$D$10,$AS$1,$D$11)</f>
        <v>-8.1251517869680539E-11</v>
      </c>
      <c r="AX6">
        <f t="shared" ref="AX6:AX21" si="33">OptionTheta($D$5,AQ6,$D$7,$AF$3,$D$10,$AS$1,$D$11)</f>
        <v>-1.6255423450036807E-9</v>
      </c>
      <c r="AY6">
        <f t="shared" ref="AY6:AY21" si="34">OptionTheta($D$5,AQ6,$D$7,$AG$3,$D$10,$AS$1,$D$11)</f>
        <v>-1.363035569191267E-8</v>
      </c>
      <c r="AZ6">
        <f t="shared" ref="AZ6:AZ21" si="35">OptionTheta($D$5,AQ6,$D$7,$AH$3,$D$10,$AS$1,$D$11)</f>
        <v>-6.6471482671022123E-8</v>
      </c>
      <c r="BA6">
        <f t="shared" ref="BA6:BA21" si="36">OptionTheta($D$5,AQ6,$D$7,$AI$3,$D$10,$AS$1,$D$11)</f>
        <v>-2.2608869230918151E-7</v>
      </c>
      <c r="BB6">
        <f t="shared" ref="BB6:BB21" si="37">OptionTheta($D$5,AQ6,$D$7,$AJ$3,$D$10,$AS$1,$D$11)</f>
        <v>-5.979812111969222E-7</v>
      </c>
      <c r="BC6">
        <f t="shared" ref="BC6:BC21" si="38">OptionTheta($D$5,AQ6,$D$7,$AK$3,$D$10,$AS$1,$D$11)</f>
        <v>-4.1360687072468178E-5</v>
      </c>
      <c r="BD6">
        <f t="shared" ref="BD6:BD21" si="39">OptionTheta($D$5,AQ6,$D$7,$AL$3,$D$10,$AS$1,$D$11)</f>
        <v>-1.4990166929791313E-4</v>
      </c>
      <c r="BE6">
        <f t="shared" ref="BE6:BE21" si="40">OptionTheta($D$5,AQ6,$D$7,$AM$3,$D$10,$AS$1,$D$11)</f>
        <v>-2.658943449115014E-4</v>
      </c>
      <c r="BF6">
        <f t="shared" ref="BF6:BF21" si="41">OptionTheta($D$5,AQ6,$D$7,$AN$3,$D$10,$AS$1,$D$11)</f>
        <v>-3.5735096472375107E-4</v>
      </c>
    </row>
    <row r="7" spans="2:58" x14ac:dyDescent="0.3">
      <c r="B7" t="s">
        <v>25</v>
      </c>
      <c r="D7">
        <v>100</v>
      </c>
      <c r="G7">
        <v>70</v>
      </c>
      <c r="I7">
        <f t="shared" si="0"/>
        <v>-3.8979118376658971E-9</v>
      </c>
      <c r="J7">
        <f t="shared" si="1"/>
        <v>-7.7747478547710122E-6</v>
      </c>
      <c r="K7">
        <f t="shared" si="2"/>
        <v>-8.9338638490647768E-5</v>
      </c>
      <c r="L7">
        <f t="shared" si="3"/>
        <v>-2.8942377704799352E-4</v>
      </c>
      <c r="M7">
        <f t="shared" si="4"/>
        <v>-5.7004360990008519E-4</v>
      </c>
      <c r="N7">
        <f t="shared" si="5"/>
        <v>-8.7923652476108087E-4</v>
      </c>
      <c r="O7">
        <f t="shared" si="6"/>
        <v>-1.1822330573380358E-3</v>
      </c>
      <c r="P7">
        <f t="shared" si="7"/>
        <v>-1.4612340877304712E-3</v>
      </c>
      <c r="Q7">
        <f t="shared" si="8"/>
        <v>-1.7092130869861147E-3</v>
      </c>
      <c r="R7">
        <f t="shared" si="9"/>
        <v>-1.9249873127726127E-3</v>
      </c>
      <c r="S7">
        <f t="shared" si="10"/>
        <v>-2.875362386989756E-3</v>
      </c>
      <c r="T7">
        <f t="shared" si="11"/>
        <v>-2.9330977420835842E-3</v>
      </c>
      <c r="U7">
        <f t="shared" si="12"/>
        <v>-2.7882252689433377E-3</v>
      </c>
      <c r="V7">
        <f t="shared" si="13"/>
        <v>-2.6018373118986485E-3</v>
      </c>
      <c r="Y7">
        <v>70</v>
      </c>
      <c r="AA7">
        <f t="shared" si="14"/>
        <v>-3.8197714763641422E-5</v>
      </c>
      <c r="AB7">
        <f t="shared" si="15"/>
        <v>-9.1931964979989167E-4</v>
      </c>
      <c r="AC7">
        <f t="shared" si="16"/>
        <v>-2.423218452639615E-3</v>
      </c>
      <c r="AD7">
        <f t="shared" si="17"/>
        <v>-3.7604495857503084E-3</v>
      </c>
      <c r="AE7">
        <f t="shared" si="18"/>
        <v>-4.7631304299087813E-3</v>
      </c>
      <c r="AF7">
        <f t="shared" si="19"/>
        <v>-5.4744475175743526E-3</v>
      </c>
      <c r="AG7">
        <f t="shared" si="20"/>
        <v>-5.9668848993974285E-3</v>
      </c>
      <c r="AH7">
        <f t="shared" si="21"/>
        <v>-6.3012559266468499E-3</v>
      </c>
      <c r="AI7">
        <f t="shared" si="22"/>
        <v>-6.5223380471701089E-3</v>
      </c>
      <c r="AJ7">
        <f t="shared" si="23"/>
        <v>-6.6619567497588107E-3</v>
      </c>
      <c r="AK7">
        <f t="shared" si="24"/>
        <v>-6.430691586480063E-3</v>
      </c>
      <c r="AL7">
        <f t="shared" si="25"/>
        <v>-5.6925566441000846E-3</v>
      </c>
      <c r="AM7">
        <f t="shared" si="26"/>
        <v>-5.0545396546174855E-3</v>
      </c>
      <c r="AN7">
        <f t="shared" si="27"/>
        <v>-4.5367701439203365E-3</v>
      </c>
      <c r="AQ7">
        <v>70</v>
      </c>
      <c r="AS7">
        <f t="shared" si="28"/>
        <v>-4.8674221922236454E-30</v>
      </c>
      <c r="AT7">
        <f t="shared" si="29"/>
        <v>-2.2197131579323962E-16</v>
      </c>
      <c r="AU7">
        <f t="shared" si="30"/>
        <v>-7.2360905546874347E-12</v>
      </c>
      <c r="AV7">
        <f t="shared" si="31"/>
        <v>-1.2480500168547002E-9</v>
      </c>
      <c r="AW7">
        <f t="shared" si="32"/>
        <v>-2.6678350923263346E-8</v>
      </c>
      <c r="AX7">
        <f t="shared" si="33"/>
        <v>-2.0162653067878417E-7</v>
      </c>
      <c r="AY7">
        <f t="shared" si="34"/>
        <v>-8.4327681216657823E-7</v>
      </c>
      <c r="AZ7">
        <f t="shared" si="35"/>
        <v>-2.4403147977753383E-6</v>
      </c>
      <c r="BA7">
        <f t="shared" si="36"/>
        <v>-5.5300293586365474E-6</v>
      </c>
      <c r="BB7">
        <f t="shared" si="37"/>
        <v>-1.0567656736874637E-5</v>
      </c>
      <c r="BC7">
        <f t="shared" si="38"/>
        <v>-1.6861051482168664E-4</v>
      </c>
      <c r="BD7">
        <f t="shared" si="39"/>
        <v>-3.7299446871789585E-4</v>
      </c>
      <c r="BE7">
        <f t="shared" si="40"/>
        <v>-5.1508329576400438E-4</v>
      </c>
      <c r="BF7">
        <f t="shared" si="41"/>
        <v>-5.9398191304144328E-4</v>
      </c>
    </row>
    <row r="8" spans="2:58" x14ac:dyDescent="0.3">
      <c r="B8" t="s">
        <v>26</v>
      </c>
      <c r="D8">
        <v>1</v>
      </c>
      <c r="G8">
        <v>75</v>
      </c>
      <c r="I8">
        <f t="shared" si="0"/>
        <v>-1.0260620160406676E-6</v>
      </c>
      <c r="J8">
        <f t="shared" si="1"/>
        <v>-1.2702818841167884E-4</v>
      </c>
      <c r="K8">
        <f t="shared" si="2"/>
        <v>-5.7762166326724533E-4</v>
      </c>
      <c r="L8">
        <f t="shared" si="3"/>
        <v>-1.1767585433733996E-3</v>
      </c>
      <c r="M8">
        <f t="shared" si="4"/>
        <v>-1.7542451912652512E-3</v>
      </c>
      <c r="N8">
        <f t="shared" si="5"/>
        <v>-2.2468154256376528E-3</v>
      </c>
      <c r="O8">
        <f t="shared" si="6"/>
        <v>-2.6451566768972488E-3</v>
      </c>
      <c r="P8">
        <f t="shared" si="7"/>
        <v>-2.9589597935479389E-3</v>
      </c>
      <c r="Q8">
        <f t="shared" si="8"/>
        <v>-3.2024292805467544E-3</v>
      </c>
      <c r="R8">
        <f t="shared" si="9"/>
        <v>-3.3891681040526191E-3</v>
      </c>
      <c r="S8">
        <f t="shared" si="10"/>
        <v>-3.8208188097401956E-3</v>
      </c>
      <c r="T8">
        <f t="shared" si="11"/>
        <v>-3.5442546510326229E-3</v>
      </c>
      <c r="U8">
        <f t="shared" si="12"/>
        <v>-3.2108157123672933E-3</v>
      </c>
      <c r="V8">
        <f t="shared" si="13"/>
        <v>-2.9096894086217528E-3</v>
      </c>
      <c r="Y8">
        <v>75</v>
      </c>
      <c r="AA8">
        <f t="shared" si="14"/>
        <v>-4.6327047911347183E-4</v>
      </c>
      <c r="AB8">
        <f t="shared" si="15"/>
        <v>-3.2406257685672554E-3</v>
      </c>
      <c r="AC8">
        <f t="shared" si="16"/>
        <v>-5.6562876041215708E-3</v>
      </c>
      <c r="AD8">
        <f t="shared" si="17"/>
        <v>-7.1414604264226599E-3</v>
      </c>
      <c r="AE8">
        <f t="shared" si="18"/>
        <v>-7.9916234652525273E-3</v>
      </c>
      <c r="AF8">
        <f t="shared" si="19"/>
        <v>-8.4562843485097329E-3</v>
      </c>
      <c r="AG8">
        <f t="shared" si="20"/>
        <v>-8.6879639954859089E-3</v>
      </c>
      <c r="AH8">
        <f t="shared" si="21"/>
        <v>-8.7766387095171896E-3</v>
      </c>
      <c r="AI8">
        <f t="shared" si="22"/>
        <v>-8.7761457373693313E-3</v>
      </c>
      <c r="AJ8">
        <f t="shared" si="23"/>
        <v>-8.7194964417501991E-3</v>
      </c>
      <c r="AK8">
        <f t="shared" si="24"/>
        <v>-7.4286707718004127E-3</v>
      </c>
      <c r="AL8">
        <f t="shared" si="25"/>
        <v>-6.3060789270419706E-3</v>
      </c>
      <c r="AM8">
        <f t="shared" si="26"/>
        <v>-5.4826468127928043E-3</v>
      </c>
      <c r="AN8">
        <f t="shared" si="27"/>
        <v>-4.859055785348859E-3</v>
      </c>
      <c r="AQ8">
        <v>75</v>
      </c>
      <c r="AS8">
        <f t="shared" si="28"/>
        <v>-2.1147119037623106E-20</v>
      </c>
      <c r="AT8">
        <f t="shared" si="29"/>
        <v>-1.4353017789604989E-11</v>
      </c>
      <c r="AU8">
        <f t="shared" si="30"/>
        <v>-1.1499994926423536E-8</v>
      </c>
      <c r="AV8">
        <f t="shared" si="31"/>
        <v>-3.1077582786395914E-7</v>
      </c>
      <c r="AW8">
        <f t="shared" si="32"/>
        <v>-2.183700132075416E-6</v>
      </c>
      <c r="AX8">
        <f t="shared" si="33"/>
        <v>-7.8578622005984244E-6</v>
      </c>
      <c r="AY8">
        <f t="shared" si="34"/>
        <v>-1.9337425832125605E-5</v>
      </c>
      <c r="AZ8">
        <f t="shared" si="35"/>
        <v>-3.7585237622209033E-5</v>
      </c>
      <c r="BA8">
        <f t="shared" si="36"/>
        <v>-6.24824836601744E-5</v>
      </c>
      <c r="BB8">
        <f t="shared" si="37"/>
        <v>-9.3173479554957279E-5</v>
      </c>
      <c r="BC8">
        <f t="shared" si="38"/>
        <v>-4.8448413083600368E-4</v>
      </c>
      <c r="BD8">
        <f t="shared" si="39"/>
        <v>-7.3331171544938284E-4</v>
      </c>
      <c r="BE8">
        <f t="shared" si="40"/>
        <v>-8.341030260438743E-4</v>
      </c>
      <c r="BF8">
        <f t="shared" si="41"/>
        <v>-8.5319082506419338E-4</v>
      </c>
    </row>
    <row r="9" spans="2:58" x14ac:dyDescent="0.3">
      <c r="B9" t="s">
        <v>27</v>
      </c>
      <c r="D9">
        <v>0.2</v>
      </c>
      <c r="G9">
        <v>80</v>
      </c>
      <c r="I9">
        <f t="shared" si="0"/>
        <v>-6.4144516804524036E-5</v>
      </c>
      <c r="J9">
        <f t="shared" si="1"/>
        <v>-1.0102936364240448E-3</v>
      </c>
      <c r="K9">
        <f t="shared" si="2"/>
        <v>-2.3090252123569698E-3</v>
      </c>
      <c r="L9">
        <f t="shared" si="3"/>
        <v>-3.3336754836960285E-3</v>
      </c>
      <c r="M9">
        <f t="shared" si="4"/>
        <v>-4.0409682260484922E-3</v>
      </c>
      <c r="N9">
        <f t="shared" si="5"/>
        <v>-4.5080595360641523E-3</v>
      </c>
      <c r="O9">
        <f t="shared" si="6"/>
        <v>-4.8081378728503472E-3</v>
      </c>
      <c r="P9">
        <f t="shared" si="7"/>
        <v>-4.993975246143912E-3</v>
      </c>
      <c r="Q9">
        <f t="shared" si="8"/>
        <v>-5.1014298208669597E-3</v>
      </c>
      <c r="R9">
        <f t="shared" si="9"/>
        <v>-5.1546582327013793E-3</v>
      </c>
      <c r="S9">
        <f t="shared" si="10"/>
        <v>-4.7117256766220882E-3</v>
      </c>
      <c r="T9">
        <f t="shared" si="11"/>
        <v>-4.0708093538036096E-3</v>
      </c>
      <c r="U9">
        <f t="shared" si="12"/>
        <v>-3.5569468968994914E-3</v>
      </c>
      <c r="V9">
        <f t="shared" si="13"/>
        <v>-3.153042895286404E-3</v>
      </c>
      <c r="Y9">
        <v>80</v>
      </c>
      <c r="AA9">
        <f t="shared" si="14"/>
        <v>-2.9616540909428806E-3</v>
      </c>
      <c r="AB9">
        <f t="shared" si="15"/>
        <v>-8.2835442380334197E-3</v>
      </c>
      <c r="AC9">
        <f t="shared" si="16"/>
        <v>-1.064776362079203E-2</v>
      </c>
      <c r="AD9">
        <f t="shared" si="17"/>
        <v>-1.153460687158504E-2</v>
      </c>
      <c r="AE9">
        <f t="shared" si="18"/>
        <v>-1.1773234613842614E-2</v>
      </c>
      <c r="AF9">
        <f t="shared" si="19"/>
        <v>-1.171580843406738E-2</v>
      </c>
      <c r="AG9">
        <f t="shared" si="20"/>
        <v>-1.1519676675133329E-2</v>
      </c>
      <c r="AH9">
        <f t="shared" si="21"/>
        <v>-1.12598330327168E-2</v>
      </c>
      <c r="AI9">
        <f t="shared" si="22"/>
        <v>-1.0973852704484669E-2</v>
      </c>
      <c r="AJ9">
        <f t="shared" si="23"/>
        <v>-1.0681171916490347E-2</v>
      </c>
      <c r="AK9">
        <f t="shared" si="24"/>
        <v>-8.2929479392561956E-3</v>
      </c>
      <c r="AL9">
        <f t="shared" si="25"/>
        <v>-6.8236953758965754E-3</v>
      </c>
      <c r="AM9">
        <f t="shared" si="26"/>
        <v>-5.8405372096270811E-3</v>
      </c>
      <c r="AN9">
        <f t="shared" si="27"/>
        <v>-5.1277401270427925E-3</v>
      </c>
      <c r="AQ9">
        <v>80</v>
      </c>
      <c r="AS9">
        <f t="shared" si="28"/>
        <v>-2.9463717909451377E-13</v>
      </c>
      <c r="AT9">
        <f t="shared" si="29"/>
        <v>-5.2569916846475414E-8</v>
      </c>
      <c r="AU9">
        <f t="shared" si="30"/>
        <v>-2.6951835053998341E-6</v>
      </c>
      <c r="AV9">
        <f t="shared" si="31"/>
        <v>-1.8409542884615869E-5</v>
      </c>
      <c r="AW9">
        <f t="shared" si="32"/>
        <v>-5.6643814792192585E-5</v>
      </c>
      <c r="AX9">
        <f t="shared" si="33"/>
        <v>-1.174809284479336E-4</v>
      </c>
      <c r="AY9">
        <f t="shared" si="34"/>
        <v>-1.9496949873399735E-4</v>
      </c>
      <c r="AZ9">
        <f t="shared" si="35"/>
        <v>-2.819173768465175E-4</v>
      </c>
      <c r="BA9">
        <f t="shared" si="36"/>
        <v>-3.7224124756949132E-4</v>
      </c>
      <c r="BB9">
        <f t="shared" si="37"/>
        <v>-4.6155236515579769E-4</v>
      </c>
      <c r="BC9">
        <f t="shared" si="38"/>
        <v>-1.0396279607814151E-3</v>
      </c>
      <c r="BD9">
        <f t="shared" si="39"/>
        <v>-1.1822830591346784E-3</v>
      </c>
      <c r="BE9">
        <f t="shared" si="40"/>
        <v>-1.1596270349251423E-3</v>
      </c>
      <c r="BF9">
        <f t="shared" si="41"/>
        <v>-1.080565648235759E-3</v>
      </c>
    </row>
    <row r="10" spans="2:58" x14ac:dyDescent="0.3">
      <c r="B10" t="s">
        <v>28</v>
      </c>
      <c r="D10">
        <v>0.01</v>
      </c>
      <c r="G10">
        <v>85</v>
      </c>
      <c r="I10">
        <f t="shared" si="0"/>
        <v>-1.2074739981059505E-3</v>
      </c>
      <c r="J10">
        <f t="shared" si="1"/>
        <v>-4.4031768630862231E-3</v>
      </c>
      <c r="K10">
        <f t="shared" si="2"/>
        <v>-6.1746338212488499E-3</v>
      </c>
      <c r="L10">
        <f t="shared" si="3"/>
        <v>-6.9799242799310438E-3</v>
      </c>
      <c r="M10">
        <f t="shared" si="4"/>
        <v>-7.3036690888582867E-3</v>
      </c>
      <c r="N10">
        <f t="shared" si="5"/>
        <v>-7.3855437895218061E-3</v>
      </c>
      <c r="O10">
        <f t="shared" si="6"/>
        <v>-7.3423791568755772E-3</v>
      </c>
      <c r="P10">
        <f t="shared" si="7"/>
        <v>-7.2337144773406128E-3</v>
      </c>
      <c r="Q10">
        <f t="shared" si="8"/>
        <v>-7.0912918380343108E-3</v>
      </c>
      <c r="R10">
        <f t="shared" si="9"/>
        <v>-6.9326537461691495E-3</v>
      </c>
      <c r="S10">
        <f t="shared" si="10"/>
        <v>-5.4551497903741735E-3</v>
      </c>
      <c r="T10">
        <f t="shared" si="11"/>
        <v>-4.4786957567108446E-3</v>
      </c>
      <c r="U10">
        <f t="shared" si="12"/>
        <v>-3.8127123467771411E-3</v>
      </c>
      <c r="V10">
        <f t="shared" si="13"/>
        <v>-3.3262123392879157E-3</v>
      </c>
      <c r="Y10">
        <v>85</v>
      </c>
      <c r="AA10">
        <f t="shared" si="14"/>
        <v>-1.109159249420536E-2</v>
      </c>
      <c r="AB10">
        <f t="shared" si="15"/>
        <v>-1.6186294067625669E-2</v>
      </c>
      <c r="AC10">
        <f t="shared" si="16"/>
        <v>-1.6743776366969138E-2</v>
      </c>
      <c r="AD10">
        <f t="shared" si="17"/>
        <v>-1.6268689796484305E-2</v>
      </c>
      <c r="AE10">
        <f t="shared" si="18"/>
        <v>-1.5554448206504904E-2</v>
      </c>
      <c r="AF10">
        <f t="shared" si="19"/>
        <v>-1.4817544131084675E-2</v>
      </c>
      <c r="AG10">
        <f t="shared" si="20"/>
        <v>-1.4121687140479549E-2</v>
      </c>
      <c r="AH10">
        <f t="shared" si="21"/>
        <v>-1.3483323123614374E-2</v>
      </c>
      <c r="AI10">
        <f t="shared" si="22"/>
        <v>-1.2903150829012791E-2</v>
      </c>
      <c r="AJ10">
        <f t="shared" si="23"/>
        <v>-1.237672326655825E-2</v>
      </c>
      <c r="AK10">
        <f t="shared" si="24"/>
        <v>-8.9950886102445633E-3</v>
      </c>
      <c r="AL10">
        <f t="shared" si="25"/>
        <v>-7.239176296960549E-3</v>
      </c>
      <c r="AM10">
        <f t="shared" si="26"/>
        <v>-6.1276487151441074E-3</v>
      </c>
      <c r="AN10">
        <f t="shared" si="27"/>
        <v>-5.3440161017825616E-3</v>
      </c>
      <c r="AQ10">
        <v>85</v>
      </c>
      <c r="AS10">
        <f t="shared" si="28"/>
        <v>-3.4025236347435231E-8</v>
      </c>
      <c r="AT10">
        <f t="shared" si="29"/>
        <v>-1.7518836015171496E-5</v>
      </c>
      <c r="AU10">
        <f t="shared" si="30"/>
        <v>-1.2766156060127755E-4</v>
      </c>
      <c r="AV10">
        <f t="shared" si="31"/>
        <v>-3.2838601198620815E-4</v>
      </c>
      <c r="AW10">
        <f t="shared" si="32"/>
        <v>-5.6190406818520131E-4</v>
      </c>
      <c r="AX10">
        <f t="shared" si="33"/>
        <v>-7.8761615625588517E-4</v>
      </c>
      <c r="AY10">
        <f t="shared" si="34"/>
        <v>-9.87524613457769E-4</v>
      </c>
      <c r="AZ10">
        <f t="shared" si="35"/>
        <v>-1.1566305897684882E-3</v>
      </c>
      <c r="BA10">
        <f t="shared" si="36"/>
        <v>-1.2958888070641089E-3</v>
      </c>
      <c r="BB10">
        <f t="shared" si="37"/>
        <v>-1.4085269001649443E-3</v>
      </c>
      <c r="BC10">
        <f t="shared" si="38"/>
        <v>-1.7404214840735762E-3</v>
      </c>
      <c r="BD10">
        <f t="shared" si="39"/>
        <v>-1.6062140751324759E-3</v>
      </c>
      <c r="BE10">
        <f t="shared" si="40"/>
        <v>-1.4100522837507414E-3</v>
      </c>
      <c r="BF10">
        <f t="shared" si="41"/>
        <v>-1.2224629570766424E-3</v>
      </c>
    </row>
    <row r="11" spans="2:58" x14ac:dyDescent="0.3">
      <c r="B11" t="s">
        <v>29</v>
      </c>
      <c r="D11">
        <v>0</v>
      </c>
      <c r="G11">
        <v>90</v>
      </c>
      <c r="I11">
        <f t="shared" si="0"/>
        <v>-8.2690050019053694E-3</v>
      </c>
      <c r="J11">
        <f t="shared" si="1"/>
        <v>-1.1553368713830581E-2</v>
      </c>
      <c r="K11">
        <f t="shared" si="2"/>
        <v>-1.1757067530058729E-2</v>
      </c>
      <c r="L11">
        <f t="shared" si="3"/>
        <v>-1.1316636772144338E-2</v>
      </c>
      <c r="M11">
        <f t="shared" si="4"/>
        <v>-1.0749742896240512E-2</v>
      </c>
      <c r="N11">
        <f t="shared" si="5"/>
        <v>-1.0189552813741513E-2</v>
      </c>
      <c r="O11">
        <f t="shared" si="6"/>
        <v>-9.6714990209200435E-3</v>
      </c>
      <c r="P11">
        <f t="shared" si="7"/>
        <v>-9.2021694308894869E-3</v>
      </c>
      <c r="Q11">
        <f t="shared" si="8"/>
        <v>-8.779218572911425E-3</v>
      </c>
      <c r="R11">
        <f t="shared" si="9"/>
        <v>-8.3978049743894424E-3</v>
      </c>
      <c r="S11">
        <f t="shared" si="10"/>
        <v>-5.983887745624126E-3</v>
      </c>
      <c r="T11">
        <f t="shared" si="11"/>
        <v>-4.7485545098222793E-3</v>
      </c>
      <c r="U11">
        <f t="shared" si="12"/>
        <v>-3.9724085662468768E-3</v>
      </c>
      <c r="V11">
        <f t="shared" si="13"/>
        <v>-3.4283435195212541E-3</v>
      </c>
      <c r="Y11">
        <v>90</v>
      </c>
      <c r="AA11">
        <f t="shared" si="14"/>
        <v>-2.6469476874618411E-2</v>
      </c>
      <c r="AB11">
        <f t="shared" si="15"/>
        <v>-2.5214471041951188E-2</v>
      </c>
      <c r="AC11">
        <f t="shared" si="16"/>
        <v>-2.2618182507819665E-2</v>
      </c>
      <c r="AD11">
        <f t="shared" si="17"/>
        <v>-2.0461723142974224E-2</v>
      </c>
      <c r="AE11">
        <f t="shared" si="18"/>
        <v>-1.8741321936741665E-2</v>
      </c>
      <c r="AF11">
        <f t="shared" si="19"/>
        <v>-1.7348875213585663E-2</v>
      </c>
      <c r="AG11">
        <f t="shared" si="20"/>
        <v>-1.6198497528522142E-2</v>
      </c>
      <c r="AH11">
        <f t="shared" si="21"/>
        <v>-1.5229846016353799E-2</v>
      </c>
      <c r="AI11">
        <f t="shared" si="22"/>
        <v>-1.4400735852088887E-2</v>
      </c>
      <c r="AJ11">
        <f t="shared" si="23"/>
        <v>-1.3681130750624887E-2</v>
      </c>
      <c r="AK11">
        <f t="shared" si="24"/>
        <v>-9.5208089411699948E-3</v>
      </c>
      <c r="AL11">
        <f t="shared" si="25"/>
        <v>-7.5516894403615826E-3</v>
      </c>
      <c r="AM11">
        <f t="shared" si="26"/>
        <v>-6.3458675336652819E-3</v>
      </c>
      <c r="AN11">
        <f t="shared" si="27"/>
        <v>-5.5102995377851287E-3</v>
      </c>
      <c r="AQ11">
        <v>90</v>
      </c>
      <c r="AS11">
        <f t="shared" si="28"/>
        <v>-6.9457027299651156E-5</v>
      </c>
      <c r="AT11">
        <f t="shared" si="29"/>
        <v>-7.7433276416402511E-4</v>
      </c>
      <c r="AU11">
        <f t="shared" si="30"/>
        <v>-1.5687934898210708E-3</v>
      </c>
      <c r="AV11">
        <f t="shared" si="31"/>
        <v>-2.1244323016837239E-3</v>
      </c>
      <c r="AW11">
        <f t="shared" si="32"/>
        <v>-2.4708524938138994E-3</v>
      </c>
      <c r="AX11">
        <f t="shared" si="33"/>
        <v>-2.6751701817311585E-3</v>
      </c>
      <c r="AY11">
        <f t="shared" si="34"/>
        <v>-2.7873437568231413E-3</v>
      </c>
      <c r="AZ11">
        <f t="shared" si="35"/>
        <v>-2.8399165646563525E-3</v>
      </c>
      <c r="BA11">
        <f t="shared" si="36"/>
        <v>-2.8536457123536324E-3</v>
      </c>
      <c r="BB11">
        <f t="shared" si="37"/>
        <v>-2.8418700888165524E-3</v>
      </c>
      <c r="BC11">
        <f t="shared" si="38"/>
        <v>-2.3460129566491069E-3</v>
      </c>
      <c r="BD11">
        <f t="shared" si="39"/>
        <v>-1.872246879909557E-3</v>
      </c>
      <c r="BE11">
        <f t="shared" si="40"/>
        <v>-1.5155961394824559E-3</v>
      </c>
      <c r="BF11">
        <f t="shared" si="41"/>
        <v>-1.2421253395755543E-3</v>
      </c>
    </row>
    <row r="12" spans="2:58" x14ac:dyDescent="0.3">
      <c r="G12">
        <v>95</v>
      </c>
      <c r="I12">
        <f t="shared" si="0"/>
        <v>-2.3973076818506887E-2</v>
      </c>
      <c r="J12">
        <f t="shared" si="1"/>
        <v>-1.9670362223235344E-2</v>
      </c>
      <c r="K12">
        <f t="shared" si="2"/>
        <v>-1.6748941905528867E-2</v>
      </c>
      <c r="L12">
        <f t="shared" si="3"/>
        <v>-1.4741066296187516E-2</v>
      </c>
      <c r="M12">
        <f t="shared" si="4"/>
        <v>-1.3267407263215751E-2</v>
      </c>
      <c r="N12">
        <f t="shared" si="5"/>
        <v>-1.2130098574116573E-2</v>
      </c>
      <c r="O12">
        <f t="shared" si="6"/>
        <v>-1.1219144924587754E-2</v>
      </c>
      <c r="P12">
        <f t="shared" si="7"/>
        <v>-1.0468662101675042E-2</v>
      </c>
      <c r="Q12">
        <f t="shared" si="8"/>
        <v>-9.8366644562263069E-3</v>
      </c>
      <c r="R12">
        <f t="shared" si="9"/>
        <v>-9.2950280449470776E-3</v>
      </c>
      <c r="S12">
        <f t="shared" si="10"/>
        <v>-6.2631892850285977E-3</v>
      </c>
      <c r="T12">
        <f t="shared" si="11"/>
        <v>-4.8748413882088101E-3</v>
      </c>
      <c r="U12">
        <f t="shared" si="12"/>
        <v>-4.0371503458012745E-3</v>
      </c>
      <c r="V12">
        <f t="shared" si="13"/>
        <v>-3.462305773002881E-3</v>
      </c>
      <c r="Y12">
        <v>95</v>
      </c>
      <c r="AA12">
        <f t="shared" si="14"/>
        <v>-4.3065307711909202E-2</v>
      </c>
      <c r="AB12">
        <f t="shared" si="15"/>
        <v>-3.2383641385315652E-2</v>
      </c>
      <c r="AC12">
        <f t="shared" si="16"/>
        <v>-2.6840385672500421E-2</v>
      </c>
      <c r="AD12">
        <f t="shared" si="17"/>
        <v>-2.3337674636357358E-2</v>
      </c>
      <c r="AE12">
        <f t="shared" si="18"/>
        <v>-2.0872029776317795E-2</v>
      </c>
      <c r="AF12">
        <f t="shared" si="19"/>
        <v>-1.9016171047862015E-2</v>
      </c>
      <c r="AG12">
        <f t="shared" si="20"/>
        <v>-1.7554217253300742E-2</v>
      </c>
      <c r="AH12">
        <f t="shared" si="21"/>
        <v>-1.6363973370764433E-2</v>
      </c>
      <c r="AI12">
        <f t="shared" si="22"/>
        <v>-1.5370448375468578E-2</v>
      </c>
      <c r="AJ12">
        <f t="shared" si="23"/>
        <v>-1.452474762321824E-2</v>
      </c>
      <c r="AK12">
        <f t="shared" si="24"/>
        <v>-9.8677863597827955E-3</v>
      </c>
      <c r="AL12">
        <f t="shared" si="25"/>
        <v>-7.7644852947259145E-3</v>
      </c>
      <c r="AM12">
        <f t="shared" si="26"/>
        <v>-6.4988006664126021E-3</v>
      </c>
      <c r="AN12">
        <f t="shared" si="27"/>
        <v>-5.6298061572505418E-3</v>
      </c>
      <c r="AQ12">
        <v>95</v>
      </c>
      <c r="AS12">
        <f t="shared" si="28"/>
        <v>-4.604393935016958E-3</v>
      </c>
      <c r="AT12">
        <f t="shared" si="29"/>
        <v>-6.1235178933894477E-3</v>
      </c>
      <c r="AU12">
        <f t="shared" si="30"/>
        <v>-6.0843492023878619E-3</v>
      </c>
      <c r="AV12">
        <f t="shared" si="31"/>
        <v>-5.7574969830346164E-3</v>
      </c>
      <c r="AW12">
        <f t="shared" si="32"/>
        <v>-5.3927495389022194E-3</v>
      </c>
      <c r="AX12">
        <f t="shared" si="33"/>
        <v>-5.0485556385893027E-3</v>
      </c>
      <c r="AY12">
        <f t="shared" si="34"/>
        <v>-4.7374180240533055E-3</v>
      </c>
      <c r="AZ12">
        <f t="shared" si="35"/>
        <v>-4.459309455380432E-3</v>
      </c>
      <c r="BA12">
        <f t="shared" si="36"/>
        <v>-4.21087053924382E-3</v>
      </c>
      <c r="BB12">
        <f t="shared" si="37"/>
        <v>-3.9881870179831911E-3</v>
      </c>
      <c r="BC12">
        <f t="shared" si="38"/>
        <v>-2.5954135802699644E-3</v>
      </c>
      <c r="BD12">
        <f t="shared" si="39"/>
        <v>-1.886723005232873E-3</v>
      </c>
      <c r="BE12">
        <f t="shared" si="40"/>
        <v>-1.4408918049755347E-3</v>
      </c>
      <c r="BF12">
        <f t="shared" si="41"/>
        <v>-1.1277119060622385E-3</v>
      </c>
    </row>
    <row r="13" spans="2:58" x14ac:dyDescent="0.3">
      <c r="G13">
        <v>100</v>
      </c>
      <c r="I13">
        <f t="shared" si="0"/>
        <v>-3.3173367079936102E-2</v>
      </c>
      <c r="J13">
        <f t="shared" si="1"/>
        <v>-2.3042391243406655E-2</v>
      </c>
      <c r="K13">
        <f t="shared" si="2"/>
        <v>-1.8552066981106369E-2</v>
      </c>
      <c r="L13">
        <f t="shared" si="3"/>
        <v>-1.587416177384374E-2</v>
      </c>
      <c r="M13">
        <f t="shared" si="4"/>
        <v>-1.4045957506476475E-2</v>
      </c>
      <c r="N13">
        <f t="shared" si="5"/>
        <v>-1.2695947402017051E-2</v>
      </c>
      <c r="O13">
        <f t="shared" si="6"/>
        <v>-1.1646370073008503E-2</v>
      </c>
      <c r="P13">
        <f t="shared" si="7"/>
        <v>-1.0800068013464793E-2</v>
      </c>
      <c r="Q13">
        <f t="shared" si="8"/>
        <v>-1.0098861809140571E-2</v>
      </c>
      <c r="R13">
        <f t="shared" si="9"/>
        <v>-9.5055035715335429E-3</v>
      </c>
      <c r="S13">
        <f t="shared" si="10"/>
        <v>-6.289626983281749E-3</v>
      </c>
      <c r="T13">
        <f t="shared" si="11"/>
        <v>-4.8633397413118526E-3</v>
      </c>
      <c r="U13">
        <f t="shared" si="12"/>
        <v>-4.0131795155246728E-3</v>
      </c>
      <c r="V13">
        <f t="shared" si="13"/>
        <v>-3.4335954354907773E-3</v>
      </c>
      <c r="Y13">
        <v>100</v>
      </c>
      <c r="AA13">
        <f t="shared" si="14"/>
        <v>-5.0429914019782029E-2</v>
      </c>
      <c r="AB13">
        <f t="shared" si="15"/>
        <v>-3.5226833826804554E-2</v>
      </c>
      <c r="AC13">
        <f t="shared" si="16"/>
        <v>-2.8486129247863486E-2</v>
      </c>
      <c r="AD13">
        <f t="shared" si="17"/>
        <v>-2.446478014111279E-2</v>
      </c>
      <c r="AE13">
        <f t="shared" si="18"/>
        <v>-2.1718448927661036E-2</v>
      </c>
      <c r="AF13">
        <f t="shared" si="19"/>
        <v>-1.9689741712229928E-2</v>
      </c>
      <c r="AG13">
        <f t="shared" si="20"/>
        <v>-1.8111936867529634E-2</v>
      </c>
      <c r="AH13">
        <f t="shared" si="21"/>
        <v>-1.6839246237944125E-2</v>
      </c>
      <c r="AI13">
        <f t="shared" si="22"/>
        <v>-1.5784364607294689E-2</v>
      </c>
      <c r="AJ13">
        <f t="shared" si="23"/>
        <v>-1.4891393827865178E-2</v>
      </c>
      <c r="AK13">
        <f t="shared" si="24"/>
        <v>-1.0042987801515472E-2</v>
      </c>
      <c r="AL13">
        <f t="shared" si="25"/>
        <v>-7.8837089439053269E-3</v>
      </c>
      <c r="AM13">
        <f t="shared" si="26"/>
        <v>-6.5911833409823374E-3</v>
      </c>
      <c r="AN13">
        <f t="shared" si="27"/>
        <v>-5.7062268288461671E-3</v>
      </c>
      <c r="AQ13">
        <v>100</v>
      </c>
      <c r="AS13">
        <f t="shared" si="28"/>
        <v>-1.587654101649514E-2</v>
      </c>
      <c r="AT13">
        <f t="shared" si="29"/>
        <v>-1.080104881991133E-2</v>
      </c>
      <c r="AU13">
        <f t="shared" si="30"/>
        <v>-8.5483945394121096E-3</v>
      </c>
      <c r="AV13">
        <f t="shared" si="31"/>
        <v>-7.2032540167636609E-3</v>
      </c>
      <c r="AW13">
        <f t="shared" si="32"/>
        <v>-6.2837997868473456E-3</v>
      </c>
      <c r="AX13">
        <f t="shared" si="33"/>
        <v>-5.6040379678348531E-3</v>
      </c>
      <c r="AY13">
        <f t="shared" si="34"/>
        <v>-5.0749448462215482E-3</v>
      </c>
      <c r="AZ13">
        <f t="shared" si="35"/>
        <v>-4.6478483826995496E-3</v>
      </c>
      <c r="BA13">
        <f t="shared" si="36"/>
        <v>-4.2935940031354793E-3</v>
      </c>
      <c r="BB13">
        <f t="shared" si="37"/>
        <v>-3.9935104829025292E-3</v>
      </c>
      <c r="BC13">
        <f t="shared" si="38"/>
        <v>-2.3599053499616311E-3</v>
      </c>
      <c r="BD13">
        <f t="shared" si="39"/>
        <v>-1.6293655512835663E-3</v>
      </c>
      <c r="BE13">
        <f t="shared" si="40"/>
        <v>-1.1912565853016497E-3</v>
      </c>
      <c r="BF13">
        <f t="shared" si="41"/>
        <v>-8.912725303741679E-4</v>
      </c>
    </row>
    <row r="14" spans="2:58" x14ac:dyDescent="0.3">
      <c r="G14">
        <v>105</v>
      </c>
      <c r="I14">
        <f t="shared" si="0"/>
        <v>-2.383223905834371E-2</v>
      </c>
      <c r="J14">
        <f t="shared" si="1"/>
        <v>-1.9359217431514291E-2</v>
      </c>
      <c r="K14">
        <f t="shared" si="2"/>
        <v>-1.6422717431738766E-2</v>
      </c>
      <c r="L14">
        <f t="shared" si="3"/>
        <v>-1.442479277122736E-2</v>
      </c>
      <c r="M14">
        <f t="shared" si="4"/>
        <v>-1.2965757469614536E-2</v>
      </c>
      <c r="N14">
        <f t="shared" si="5"/>
        <v>-1.1843119778962963E-2</v>
      </c>
      <c r="O14">
        <f t="shared" si="6"/>
        <v>-1.0945730975247274E-2</v>
      </c>
      <c r="P14">
        <f t="shared" si="7"/>
        <v>-1.0207496548281189E-2</v>
      </c>
      <c r="Q14">
        <f t="shared" si="8"/>
        <v>-9.5864956749972287E-3</v>
      </c>
      <c r="R14">
        <f t="shared" si="9"/>
        <v>-9.0547417301934611E-3</v>
      </c>
      <c r="S14">
        <f t="shared" si="10"/>
        <v>-6.0848427760353931E-3</v>
      </c>
      <c r="T14">
        <f t="shared" si="11"/>
        <v>-4.7280089168652718E-3</v>
      </c>
      <c r="U14">
        <f t="shared" si="12"/>
        <v>-3.9101855963548249E-3</v>
      </c>
      <c r="V14">
        <f t="shared" si="13"/>
        <v>-3.3493617689093732E-3</v>
      </c>
      <c r="Y14">
        <v>105</v>
      </c>
      <c r="AA14">
        <f t="shared" si="14"/>
        <v>-4.434447712002039E-2</v>
      </c>
      <c r="AB14">
        <f t="shared" si="15"/>
        <v>-3.3152833020150423E-2</v>
      </c>
      <c r="AC14">
        <f t="shared" si="16"/>
        <v>-2.7426394828022834E-2</v>
      </c>
      <c r="AD14">
        <f t="shared" si="17"/>
        <v>-2.3825813962483393E-2</v>
      </c>
      <c r="AE14">
        <f t="shared" si="18"/>
        <v>-2.1297754660577151E-2</v>
      </c>
      <c r="AF14">
        <f t="shared" si="19"/>
        <v>-1.9397896326821137E-2</v>
      </c>
      <c r="AG14">
        <f t="shared" si="20"/>
        <v>-1.7902863275272088E-2</v>
      </c>
      <c r="AH14">
        <f t="shared" si="21"/>
        <v>-1.6686613131416193E-2</v>
      </c>
      <c r="AI14">
        <f t="shared" si="22"/>
        <v>-1.5671960507313846E-2</v>
      </c>
      <c r="AJ14">
        <f t="shared" si="23"/>
        <v>-1.4808659655744903E-2</v>
      </c>
      <c r="AK14">
        <f t="shared" si="24"/>
        <v>-1.0059989052764239E-2</v>
      </c>
      <c r="AL14">
        <f t="shared" si="25"/>
        <v>-7.9173932603715542E-3</v>
      </c>
      <c r="AM14">
        <f t="shared" si="26"/>
        <v>-6.62841328844115E-3</v>
      </c>
      <c r="AN14">
        <f t="shared" si="27"/>
        <v>-5.7434844548699118E-3</v>
      </c>
      <c r="AQ14">
        <v>105</v>
      </c>
      <c r="AS14">
        <f t="shared" si="28"/>
        <v>-2.5497239430425818E-3</v>
      </c>
      <c r="AT14">
        <f t="shared" si="29"/>
        <v>-4.1909072557798945E-3</v>
      </c>
      <c r="AU14">
        <f t="shared" si="30"/>
        <v>-4.2843611236363299E-3</v>
      </c>
      <c r="AV14">
        <f t="shared" si="31"/>
        <v>-4.0810845440697324E-3</v>
      </c>
      <c r="AW14">
        <f t="shared" si="32"/>
        <v>-3.8234406984483855E-3</v>
      </c>
      <c r="AX14">
        <f t="shared" si="33"/>
        <v>-3.5709201318294931E-3</v>
      </c>
      <c r="AY14">
        <f t="shared" si="34"/>
        <v>-3.3385825019047973E-3</v>
      </c>
      <c r="AZ14">
        <f t="shared" si="35"/>
        <v>-3.1288105870208261E-3</v>
      </c>
      <c r="BA14">
        <f t="shared" si="36"/>
        <v>-2.9402106200932072E-3</v>
      </c>
      <c r="BB14">
        <f t="shared" si="37"/>
        <v>-2.7704127291370024E-3</v>
      </c>
      <c r="BC14">
        <f t="shared" si="38"/>
        <v>-1.6986370329751519E-3</v>
      </c>
      <c r="BD14">
        <f t="shared" si="39"/>
        <v>-1.1498048286844897E-3</v>
      </c>
      <c r="BE14">
        <f t="shared" si="40"/>
        <v>-8.0420330910446975E-4</v>
      </c>
      <c r="BF14">
        <f t="shared" si="41"/>
        <v>-5.6158554531547254E-4</v>
      </c>
    </row>
    <row r="15" spans="2:58" x14ac:dyDescent="0.3">
      <c r="G15">
        <v>110</v>
      </c>
      <c r="I15">
        <f t="shared" si="0"/>
        <v>-8.8078461183024644E-3</v>
      </c>
      <c r="J15">
        <f t="shared" si="1"/>
        <v>-1.1826295500555216E-2</v>
      </c>
      <c r="K15">
        <f t="shared" si="2"/>
        <v>-1.176345996590113E-2</v>
      </c>
      <c r="L15">
        <f t="shared" si="3"/>
        <v>-1.1177621625340653E-2</v>
      </c>
      <c r="M15">
        <f t="shared" si="4"/>
        <v>-1.053014103169682E-2</v>
      </c>
      <c r="N15">
        <f t="shared" si="5"/>
        <v>-9.9236947822970295E-3</v>
      </c>
      <c r="O15">
        <f t="shared" si="6"/>
        <v>-9.3785878765410644E-3</v>
      </c>
      <c r="P15">
        <f t="shared" si="7"/>
        <v>-8.8935200133453147E-3</v>
      </c>
      <c r="Q15">
        <f t="shared" si="8"/>
        <v>-8.4617846191900516E-3</v>
      </c>
      <c r="R15">
        <f t="shared" si="9"/>
        <v>-8.0760015707448361E-3</v>
      </c>
      <c r="S15">
        <f t="shared" si="10"/>
        <v>-5.6870921513339726E-3</v>
      </c>
      <c r="T15">
        <f t="shared" si="11"/>
        <v>-4.4878437083380341E-3</v>
      </c>
      <c r="U15">
        <f t="shared" si="12"/>
        <v>-3.7398244265461323E-3</v>
      </c>
      <c r="V15">
        <f t="shared" si="13"/>
        <v>-3.2176053423114254E-3</v>
      </c>
      <c r="Y15">
        <v>110</v>
      </c>
      <c r="AA15">
        <f t="shared" si="14"/>
        <v>-3.0145517541572544E-2</v>
      </c>
      <c r="AB15">
        <f t="shared" si="15"/>
        <v>-2.7424254240045728E-2</v>
      </c>
      <c r="AC15">
        <f t="shared" si="16"/>
        <v>-2.4217245091292444E-2</v>
      </c>
      <c r="AD15">
        <f t="shared" si="17"/>
        <v>-2.1736859963508132E-2</v>
      </c>
      <c r="AE15">
        <f t="shared" si="18"/>
        <v>-1.9816142944062028E-2</v>
      </c>
      <c r="AF15">
        <f t="shared" si="19"/>
        <v>-1.8287148465902233E-2</v>
      </c>
      <c r="AG15">
        <f t="shared" si="20"/>
        <v>-1.7037306857940117E-2</v>
      </c>
      <c r="AH15">
        <f t="shared" si="21"/>
        <v>-1.5992657542040999E-2</v>
      </c>
      <c r="AI15">
        <f t="shared" si="22"/>
        <v>-1.5103355869618489E-2</v>
      </c>
      <c r="AJ15">
        <f t="shared" si="23"/>
        <v>-1.4334729425121259E-2</v>
      </c>
      <c r="AK15">
        <f t="shared" si="24"/>
        <v>-9.9365652545404491E-3</v>
      </c>
      <c r="AL15">
        <f t="shared" si="25"/>
        <v>-7.8746467543464385E-3</v>
      </c>
      <c r="AM15">
        <f t="shared" si="26"/>
        <v>-6.6161961438274313E-3</v>
      </c>
      <c r="AN15">
        <f t="shared" si="27"/>
        <v>-5.7455565858172165E-3</v>
      </c>
      <c r="AQ15">
        <v>110</v>
      </c>
      <c r="AS15">
        <f t="shared" si="28"/>
        <v>2.5583191026071522E-3</v>
      </c>
      <c r="AT15">
        <f t="shared" si="29"/>
        <v>1.4916852803152835E-3</v>
      </c>
      <c r="AU15">
        <f t="shared" si="30"/>
        <v>5.400336179259464E-4</v>
      </c>
      <c r="AV15">
        <f t="shared" si="31"/>
        <v>-7.5155342437636659E-5</v>
      </c>
      <c r="AW15">
        <f t="shared" si="32"/>
        <v>-4.5526418507062271E-4</v>
      </c>
      <c r="AX15">
        <f t="shared" si="33"/>
        <v>-6.8912122715647994E-4</v>
      </c>
      <c r="AY15">
        <f t="shared" si="34"/>
        <v>-8.3202287651568617E-4</v>
      </c>
      <c r="AZ15">
        <f t="shared" si="35"/>
        <v>-9.1714868461760827E-4</v>
      </c>
      <c r="BA15">
        <f t="shared" si="36"/>
        <v>-9.6471219031866269E-4</v>
      </c>
      <c r="BB15">
        <f t="shared" si="37"/>
        <v>-9.8735577700534275E-4</v>
      </c>
      <c r="BC15">
        <f t="shared" si="38"/>
        <v>-7.9807676994680726E-4</v>
      </c>
      <c r="BD15">
        <f t="shared" si="39"/>
        <v>-5.3799921543561168E-4</v>
      </c>
      <c r="BE15">
        <f t="shared" si="40"/>
        <v>-3.3365523006058362E-4</v>
      </c>
      <c r="BF15">
        <f t="shared" si="41"/>
        <v>-1.749312874260272E-4</v>
      </c>
    </row>
    <row r="16" spans="2:58" x14ac:dyDescent="0.3">
      <c r="G16">
        <v>115</v>
      </c>
      <c r="I16">
        <f t="shared" si="0"/>
        <v>-4.1262939438538944E-4</v>
      </c>
      <c r="J16">
        <f t="shared" si="1"/>
        <v>-4.8835701044258901E-3</v>
      </c>
      <c r="K16">
        <f t="shared" si="2"/>
        <v>-6.6841737755640252E-3</v>
      </c>
      <c r="L16">
        <f t="shared" si="3"/>
        <v>-7.3337479060625521E-3</v>
      </c>
      <c r="M16">
        <f t="shared" si="4"/>
        <v>-7.5057152115247895E-3</v>
      </c>
      <c r="N16">
        <f t="shared" si="5"/>
        <v>-7.4664818850384666E-3</v>
      </c>
      <c r="O16">
        <f t="shared" si="6"/>
        <v>-7.3306692098870927E-3</v>
      </c>
      <c r="P16">
        <f t="shared" si="7"/>
        <v>-7.1515529434247301E-3</v>
      </c>
      <c r="Q16">
        <f t="shared" si="8"/>
        <v>-6.9553139399162215E-3</v>
      </c>
      <c r="R16">
        <f t="shared" si="9"/>
        <v>-6.7552639740820269E-3</v>
      </c>
      <c r="S16">
        <f t="shared" si="10"/>
        <v>-5.1428626193629531E-3</v>
      </c>
      <c r="T16">
        <f t="shared" si="11"/>
        <v>-4.1641491481081904E-3</v>
      </c>
      <c r="U16">
        <f t="shared" si="12"/>
        <v>-3.5145196807035515E-3</v>
      </c>
      <c r="V16">
        <f t="shared" si="13"/>
        <v>-3.0465589951343955E-3</v>
      </c>
      <c r="Y16">
        <v>115</v>
      </c>
      <c r="AA16">
        <f t="shared" si="14"/>
        <v>-1.5932084049782788E-2</v>
      </c>
      <c r="AB16">
        <f t="shared" si="15"/>
        <v>-2.0129448753042394E-2</v>
      </c>
      <c r="AC16">
        <f t="shared" si="16"/>
        <v>-1.9758870791303805E-2</v>
      </c>
      <c r="AD16">
        <f t="shared" si="17"/>
        <v>-1.8690775043302178E-2</v>
      </c>
      <c r="AE16">
        <f t="shared" si="18"/>
        <v>-1.7583026465543689E-2</v>
      </c>
      <c r="AF16">
        <f t="shared" si="19"/>
        <v>-1.6569651507169068E-2</v>
      </c>
      <c r="AG16">
        <f t="shared" si="20"/>
        <v>-1.5669932082095918E-2</v>
      </c>
      <c r="AH16">
        <f t="shared" si="21"/>
        <v>-1.4875318867875248E-2</v>
      </c>
      <c r="AI16">
        <f t="shared" si="22"/>
        <v>-1.4171623219197476E-2</v>
      </c>
      <c r="AJ16">
        <f t="shared" si="23"/>
        <v>-1.3545059086436483E-2</v>
      </c>
      <c r="AK16">
        <f t="shared" si="24"/>
        <v>-9.692686930245482E-3</v>
      </c>
      <c r="AL16">
        <f t="shared" si="25"/>
        <v>-7.7650257703771397E-3</v>
      </c>
      <c r="AM16">
        <f t="shared" si="26"/>
        <v>-6.5602838545613827E-3</v>
      </c>
      <c r="AN16">
        <f t="shared" si="27"/>
        <v>-5.7163497316359835E-3</v>
      </c>
      <c r="AQ16">
        <v>115</v>
      </c>
      <c r="AS16">
        <f t="shared" si="28"/>
        <v>2.7360522598924991E-3</v>
      </c>
      <c r="AT16">
        <f t="shared" si="29"/>
        <v>2.6459147010131617E-3</v>
      </c>
      <c r="AU16">
        <f t="shared" si="30"/>
        <v>2.3604389904379242E-3</v>
      </c>
      <c r="AV16">
        <f t="shared" si="31"/>
        <v>1.9966955978992732E-3</v>
      </c>
      <c r="AW16">
        <f t="shared" si="32"/>
        <v>1.6495573833138029E-3</v>
      </c>
      <c r="AX16">
        <f t="shared" si="33"/>
        <v>1.3511916556137554E-3</v>
      </c>
      <c r="AY16">
        <f t="shared" si="34"/>
        <v>1.1051372984933281E-3</v>
      </c>
      <c r="AZ16">
        <f t="shared" si="35"/>
        <v>9.0550511555693926E-4</v>
      </c>
      <c r="BA16">
        <f t="shared" si="36"/>
        <v>7.4443291706789423E-4</v>
      </c>
      <c r="BB16">
        <f t="shared" si="37"/>
        <v>6.1458164504419666E-4</v>
      </c>
      <c r="BC16">
        <f t="shared" si="38"/>
        <v>1.3453152612770866E-4</v>
      </c>
      <c r="BD16">
        <f t="shared" si="39"/>
        <v>1.1063255452831992E-4</v>
      </c>
      <c r="BE16">
        <f t="shared" si="40"/>
        <v>1.6552241235183912E-4</v>
      </c>
      <c r="BF16">
        <f t="shared" si="41"/>
        <v>2.3299782223387103E-4</v>
      </c>
    </row>
    <row r="17" spans="7:58" x14ac:dyDescent="0.3">
      <c r="G17">
        <v>120</v>
      </c>
      <c r="I17">
        <f t="shared" si="0"/>
        <v>2.1645966900830415E-3</v>
      </c>
      <c r="J17">
        <f t="shared" si="1"/>
        <v>-5.2188182581148666E-4</v>
      </c>
      <c r="K17">
        <f t="shared" si="2"/>
        <v>-2.6176478416384081E-3</v>
      </c>
      <c r="L17">
        <f t="shared" si="3"/>
        <v>-3.8598170564632587E-3</v>
      </c>
      <c r="M17">
        <f t="shared" si="4"/>
        <v>-4.5676986266598345E-3</v>
      </c>
      <c r="N17">
        <f t="shared" si="5"/>
        <v>-4.9631220083336241E-3</v>
      </c>
      <c r="O17">
        <f t="shared" si="6"/>
        <v>-5.1732390212707521E-3</v>
      </c>
      <c r="P17">
        <f t="shared" si="7"/>
        <v>-5.2706182533947942E-3</v>
      </c>
      <c r="Q17">
        <f t="shared" si="8"/>
        <v>-5.2978374623867041E-3</v>
      </c>
      <c r="R17">
        <f t="shared" si="9"/>
        <v>-5.2806878842294354E-3</v>
      </c>
      <c r="S17">
        <f t="shared" si="10"/>
        <v>-4.4999367223590775E-3</v>
      </c>
      <c r="T17">
        <f t="shared" si="11"/>
        <v>-3.7784131911190373E-3</v>
      </c>
      <c r="U17">
        <f t="shared" si="12"/>
        <v>-3.2465642122977674E-3</v>
      </c>
      <c r="V17">
        <f t="shared" si="13"/>
        <v>-2.844238479630232E-3</v>
      </c>
      <c r="Y17">
        <v>120</v>
      </c>
      <c r="AA17">
        <f t="shared" si="14"/>
        <v>-6.1092408940331905E-3</v>
      </c>
      <c r="AB17">
        <f t="shared" si="15"/>
        <v>-1.310534968979812E-2</v>
      </c>
      <c r="AC17">
        <f t="shared" si="16"/>
        <v>-1.4947005925677725E-2</v>
      </c>
      <c r="AD17">
        <f t="shared" si="17"/>
        <v>-1.5202763923008351E-2</v>
      </c>
      <c r="AE17">
        <f t="shared" si="18"/>
        <v>-1.4929145860893642E-2</v>
      </c>
      <c r="AF17">
        <f t="shared" si="19"/>
        <v>-1.4474449731285272E-2</v>
      </c>
      <c r="AG17">
        <f t="shared" si="20"/>
        <v>-1.3968310780124225E-2</v>
      </c>
      <c r="AH17">
        <f t="shared" si="21"/>
        <v>-1.3462378183588303E-2</v>
      </c>
      <c r="AI17">
        <f t="shared" si="22"/>
        <v>-1.2977394085094992E-2</v>
      </c>
      <c r="AJ17">
        <f t="shared" si="23"/>
        <v>-1.2520966771419909E-2</v>
      </c>
      <c r="AK17">
        <f t="shared" si="24"/>
        <v>-9.3489575952225932E-3</v>
      </c>
      <c r="AL17">
        <f t="shared" si="25"/>
        <v>-7.5980689808797085E-3</v>
      </c>
      <c r="AM17">
        <f t="shared" si="26"/>
        <v>-6.4662884071539917E-3</v>
      </c>
      <c r="AN17">
        <f t="shared" si="27"/>
        <v>-5.659613570313241E-3</v>
      </c>
      <c r="AQ17">
        <v>120</v>
      </c>
      <c r="AS17">
        <f t="shared" si="28"/>
        <v>2.73698670721447E-3</v>
      </c>
      <c r="AT17">
        <f t="shared" si="29"/>
        <v>2.7314576301087638E-3</v>
      </c>
      <c r="AU17">
        <f t="shared" si="30"/>
        <v>2.6948030203742938E-3</v>
      </c>
      <c r="AV17">
        <f t="shared" si="31"/>
        <v>2.6007701695916754E-3</v>
      </c>
      <c r="AW17">
        <f t="shared" si="32"/>
        <v>2.4612613083598617E-3</v>
      </c>
      <c r="AX17">
        <f t="shared" si="33"/>
        <v>2.2997275948049112E-3</v>
      </c>
      <c r="AY17">
        <f t="shared" si="34"/>
        <v>2.1341479781971742E-3</v>
      </c>
      <c r="AZ17">
        <f t="shared" si="35"/>
        <v>1.9750371781977975E-3</v>
      </c>
      <c r="BA17">
        <f t="shared" si="36"/>
        <v>1.8275552626760667E-3</v>
      </c>
      <c r="BB17">
        <f t="shared" si="37"/>
        <v>1.6936557432989537E-3</v>
      </c>
      <c r="BC17">
        <f t="shared" si="38"/>
        <v>9.4958766588929986E-4</v>
      </c>
      <c r="BD17">
        <f t="shared" si="39"/>
        <v>7.2010124828512316E-4</v>
      </c>
      <c r="BE17">
        <f t="shared" si="40"/>
        <v>6.4815624900885574E-4</v>
      </c>
      <c r="BF17">
        <f t="shared" si="41"/>
        <v>6.3245886465487517E-4</v>
      </c>
    </row>
    <row r="18" spans="7:58" x14ac:dyDescent="0.3">
      <c r="G18">
        <v>125</v>
      </c>
      <c r="I18">
        <f t="shared" si="0"/>
        <v>2.6640612540707854E-3</v>
      </c>
      <c r="J18">
        <f t="shared" si="1"/>
        <v>1.5682826585624932E-3</v>
      </c>
      <c r="K18">
        <f t="shared" si="2"/>
        <v>2.9693155843233946E-5</v>
      </c>
      <c r="L18">
        <f t="shared" si="3"/>
        <v>-1.2225265960764896E-3</v>
      </c>
      <c r="M18">
        <f t="shared" si="4"/>
        <v>-2.122060386055215E-3</v>
      </c>
      <c r="N18">
        <f t="shared" si="5"/>
        <v>-2.7478593365228557E-3</v>
      </c>
      <c r="O18">
        <f t="shared" si="6"/>
        <v>-3.1793439931051791E-3</v>
      </c>
      <c r="P18">
        <f t="shared" si="7"/>
        <v>-3.4751347449318375E-3</v>
      </c>
      <c r="Q18">
        <f t="shared" si="8"/>
        <v>-3.6757308523852018E-3</v>
      </c>
      <c r="R18">
        <f t="shared" si="9"/>
        <v>-3.8088170694130538E-3</v>
      </c>
      <c r="S18">
        <f t="shared" si="10"/>
        <v>-3.8024576471553401E-3</v>
      </c>
      <c r="T18">
        <f t="shared" si="11"/>
        <v>-3.3508059294883779E-3</v>
      </c>
      <c r="U18">
        <f t="shared" si="12"/>
        <v>-2.9474980183346192E-3</v>
      </c>
      <c r="V18">
        <f t="shared" si="13"/>
        <v>-2.6181386315105035E-3</v>
      </c>
      <c r="Y18">
        <v>125</v>
      </c>
      <c r="AA18">
        <f t="shared" si="14"/>
        <v>-8.4167040319571443E-4</v>
      </c>
      <c r="AB18">
        <f t="shared" si="15"/>
        <v>-7.4060691455719316E-3</v>
      </c>
      <c r="AC18">
        <f t="shared" si="16"/>
        <v>-1.0453368483121001E-2</v>
      </c>
      <c r="AD18">
        <f t="shared" si="17"/>
        <v>-1.1703811603569023E-2</v>
      </c>
      <c r="AE18">
        <f t="shared" si="18"/>
        <v>-1.214759418968365E-2</v>
      </c>
      <c r="AF18">
        <f t="shared" si="19"/>
        <v>-1.2211593065403835E-2</v>
      </c>
      <c r="AG18">
        <f t="shared" si="20"/>
        <v>-1.2089505497760973E-2</v>
      </c>
      <c r="AH18">
        <f t="shared" si="21"/>
        <v>-1.1875344186170067E-2</v>
      </c>
      <c r="AI18">
        <f t="shared" si="22"/>
        <v>-1.1617300254076779E-2</v>
      </c>
      <c r="AJ18">
        <f t="shared" si="23"/>
        <v>-1.1341061644959231E-2</v>
      </c>
      <c r="AK18">
        <f t="shared" si="24"/>
        <v>-8.9254695983287391E-3</v>
      </c>
      <c r="AL18">
        <f t="shared" si="25"/>
        <v>-7.3829678156991279E-3</v>
      </c>
      <c r="AM18">
        <f t="shared" si="26"/>
        <v>-6.3395549713659008E-3</v>
      </c>
      <c r="AN18">
        <f t="shared" si="27"/>
        <v>-5.5788854348364563E-3</v>
      </c>
      <c r="AQ18">
        <v>125</v>
      </c>
      <c r="AS18">
        <f t="shared" si="28"/>
        <v>2.7369876705364785E-3</v>
      </c>
      <c r="AT18">
        <f t="shared" si="29"/>
        <v>2.7342085161821315E-3</v>
      </c>
      <c r="AU18">
        <f t="shared" si="30"/>
        <v>2.7292501657144811E-3</v>
      </c>
      <c r="AV18">
        <f t="shared" si="31"/>
        <v>2.7130406833150013E-3</v>
      </c>
      <c r="AW18">
        <f t="shared" si="32"/>
        <v>2.676844997149176E-3</v>
      </c>
      <c r="AX18">
        <f t="shared" si="33"/>
        <v>2.6196952143021112E-3</v>
      </c>
      <c r="AY18">
        <f t="shared" si="34"/>
        <v>2.5460337423489784E-3</v>
      </c>
      <c r="AZ18">
        <f t="shared" si="35"/>
        <v>2.4617513044746589E-3</v>
      </c>
      <c r="BA18">
        <f t="shared" si="36"/>
        <v>2.372096069216182E-3</v>
      </c>
      <c r="BB18">
        <f t="shared" si="37"/>
        <v>2.2810487318854328E-3</v>
      </c>
      <c r="BC18">
        <f t="shared" si="38"/>
        <v>1.5789791490491566E-3</v>
      </c>
      <c r="BD18">
        <f t="shared" si="39"/>
        <v>1.2440118993482618E-3</v>
      </c>
      <c r="BE18">
        <f t="shared" si="40"/>
        <v>1.0835024458855074E-3</v>
      </c>
      <c r="BF18">
        <f t="shared" si="41"/>
        <v>1.0021008847770089E-3</v>
      </c>
    </row>
    <row r="19" spans="7:58" x14ac:dyDescent="0.3">
      <c r="G19">
        <v>130</v>
      </c>
      <c r="I19">
        <f t="shared" si="0"/>
        <v>2.7301811418871643E-3</v>
      </c>
      <c r="J19">
        <f t="shared" si="1"/>
        <v>2.3767974083581645E-3</v>
      </c>
      <c r="K19">
        <f t="shared" si="2"/>
        <v>1.5007420548488425E-3</v>
      </c>
      <c r="L19">
        <f t="shared" si="3"/>
        <v>5.3519491505958259E-4</v>
      </c>
      <c r="M19">
        <f t="shared" si="4"/>
        <v>-3.0404707023068048E-4</v>
      </c>
      <c r="N19">
        <f t="shared" si="5"/>
        <v>-9.769482367823169E-4</v>
      </c>
      <c r="O19">
        <f t="shared" si="6"/>
        <v>-1.5006867432075552E-3</v>
      </c>
      <c r="P19">
        <f t="shared" si="7"/>
        <v>-1.9038842568086447E-3</v>
      </c>
      <c r="Q19">
        <f t="shared" si="8"/>
        <v>-2.2130355837407262E-3</v>
      </c>
      <c r="R19">
        <f t="shared" si="9"/>
        <v>-2.4495749530291369E-3</v>
      </c>
      <c r="S19">
        <f t="shared" si="10"/>
        <v>-3.087985562656811E-3</v>
      </c>
      <c r="T19">
        <f t="shared" si="11"/>
        <v>-2.8992429676763611E-3</v>
      </c>
      <c r="U19">
        <f t="shared" si="12"/>
        <v>-2.6277199398311449E-3</v>
      </c>
      <c r="V19">
        <f t="shared" si="13"/>
        <v>-2.3750472436481645E-3</v>
      </c>
      <c r="Y19">
        <v>130</v>
      </c>
      <c r="AA19">
        <f t="shared" si="14"/>
        <v>1.476657402491671E-3</v>
      </c>
      <c r="AB19">
        <f t="shared" si="15"/>
        <v>-3.3227893551345923E-3</v>
      </c>
      <c r="AC19">
        <f t="shared" si="16"/>
        <v>-6.6582397102136889E-3</v>
      </c>
      <c r="AD19">
        <f t="shared" si="17"/>
        <v>-8.4925940100280279E-3</v>
      </c>
      <c r="AE19">
        <f t="shared" si="18"/>
        <v>-9.4625981097802379E-3</v>
      </c>
      <c r="AF19">
        <f t="shared" si="19"/>
        <v>-9.9514308016561605E-3</v>
      </c>
      <c r="AG19">
        <f t="shared" si="20"/>
        <v>-1.0165826843404471E-2</v>
      </c>
      <c r="AH19">
        <f t="shared" si="21"/>
        <v>-1.0219307229780471E-2</v>
      </c>
      <c r="AI19">
        <f t="shared" si="22"/>
        <v>-1.0176520887028376E-2</v>
      </c>
      <c r="AJ19">
        <f t="shared" si="23"/>
        <v>-1.0075623545492149E-2</v>
      </c>
      <c r="AK19">
        <f t="shared" si="24"/>
        <v>-8.4410239369225315E-3</v>
      </c>
      <c r="AL19">
        <f t="shared" si="25"/>
        <v>-7.1283464840293563E-3</v>
      </c>
      <c r="AM19">
        <f t="shared" si="26"/>
        <v>-6.1850808679763253E-3</v>
      </c>
      <c r="AN19">
        <f t="shared" si="27"/>
        <v>-5.4774574077337329E-3</v>
      </c>
      <c r="AQ19">
        <v>130</v>
      </c>
      <c r="AS19">
        <f t="shared" si="28"/>
        <v>2.7369876707763531E-3</v>
      </c>
      <c r="AT19">
        <f t="shared" si="29"/>
        <v>2.7342516865315192E-3</v>
      </c>
      <c r="AU19">
        <f t="shared" si="30"/>
        <v>2.7314263677809853E-3</v>
      </c>
      <c r="AV19">
        <f t="shared" si="31"/>
        <v>2.727366308882203E-3</v>
      </c>
      <c r="AW19">
        <f t="shared" si="32"/>
        <v>2.7189105193305414E-3</v>
      </c>
      <c r="AX19">
        <f t="shared" si="33"/>
        <v>2.7026694034965274E-3</v>
      </c>
      <c r="AY19">
        <f t="shared" si="34"/>
        <v>2.6769743834106612E-3</v>
      </c>
      <c r="AZ19">
        <f t="shared" si="35"/>
        <v>2.6420506808531806E-3</v>
      </c>
      <c r="BA19">
        <f t="shared" si="36"/>
        <v>2.5993007460876163E-3</v>
      </c>
      <c r="BB19">
        <f t="shared" si="37"/>
        <v>2.5505853413793364E-3</v>
      </c>
      <c r="BC19">
        <f t="shared" si="38"/>
        <v>2.0199382221646398E-3</v>
      </c>
      <c r="BD19">
        <f t="shared" si="39"/>
        <v>1.6639788040755373E-3</v>
      </c>
      <c r="BE19">
        <f t="shared" si="40"/>
        <v>1.4552661945767295E-3</v>
      </c>
      <c r="BF19">
        <f t="shared" si="41"/>
        <v>1.3291145405376417E-3</v>
      </c>
    </row>
    <row r="20" spans="7:58" x14ac:dyDescent="0.3">
      <c r="G20">
        <v>135</v>
      </c>
      <c r="I20">
        <f t="shared" si="0"/>
        <v>2.7365043100401076E-3</v>
      </c>
      <c r="J20">
        <f t="shared" si="1"/>
        <v>2.6386496439523587E-3</v>
      </c>
      <c r="K20">
        <f t="shared" si="2"/>
        <v>2.2195451185361131E-3</v>
      </c>
      <c r="L20">
        <f t="shared" si="3"/>
        <v>1.5910380363446787E-3</v>
      </c>
      <c r="M20">
        <f t="shared" si="4"/>
        <v>9.3221853123520303E-4</v>
      </c>
      <c r="N20">
        <f t="shared" si="5"/>
        <v>3.3106475916117235E-4</v>
      </c>
      <c r="O20">
        <f t="shared" si="6"/>
        <v>-1.8549651813691944E-4</v>
      </c>
      <c r="P20">
        <f t="shared" si="7"/>
        <v>-6.1728826891839148E-4</v>
      </c>
      <c r="Q20">
        <f t="shared" si="8"/>
        <v>-9.7360555662338584E-4</v>
      </c>
      <c r="R20">
        <f t="shared" si="9"/>
        <v>-1.2659209803035885E-3</v>
      </c>
      <c r="S20">
        <f t="shared" si="10"/>
        <v>-2.3862159175865325E-3</v>
      </c>
      <c r="T20">
        <f t="shared" si="11"/>
        <v>-2.4389078675605622E-3</v>
      </c>
      <c r="U20">
        <f t="shared" si="12"/>
        <v>-2.2962840402778527E-3</v>
      </c>
      <c r="V20">
        <f t="shared" si="13"/>
        <v>-2.1209495807714023E-3</v>
      </c>
      <c r="Y20">
        <v>135</v>
      </c>
      <c r="AA20">
        <f t="shared" si="14"/>
        <v>2.3440162297894453E-3</v>
      </c>
      <c r="AB20">
        <f t="shared" si="15"/>
        <v>-6.6981552281736138E-4</v>
      </c>
      <c r="AC20">
        <f t="shared" si="16"/>
        <v>-3.6891415492476595E-3</v>
      </c>
      <c r="AD20">
        <f t="shared" si="17"/>
        <v>-5.7339282761189481E-3</v>
      </c>
      <c r="AE20">
        <f t="shared" si="18"/>
        <v>-7.0217443309908102E-3</v>
      </c>
      <c r="AF20">
        <f t="shared" si="19"/>
        <v>-7.8170885546039216E-3</v>
      </c>
      <c r="AG20">
        <f t="shared" si="20"/>
        <v>-8.2986532041895694E-3</v>
      </c>
      <c r="AH20">
        <f t="shared" si="21"/>
        <v>-8.5780544028748063E-3</v>
      </c>
      <c r="AI20">
        <f t="shared" si="22"/>
        <v>-8.7249424102550689E-3</v>
      </c>
      <c r="AJ20">
        <f t="shared" si="23"/>
        <v>-8.7835670737753113E-3</v>
      </c>
      <c r="AK20">
        <f t="shared" si="24"/>
        <v>-7.9126479671477439E-3</v>
      </c>
      <c r="AL20">
        <f t="shared" si="25"/>
        <v>-6.8421275437640693E-3</v>
      </c>
      <c r="AM20">
        <f t="shared" si="26"/>
        <v>-6.007469127612167E-3</v>
      </c>
      <c r="AN20">
        <f t="shared" si="27"/>
        <v>-5.3583600072541846E-3</v>
      </c>
      <c r="AQ20">
        <v>135</v>
      </c>
      <c r="AS20">
        <f t="shared" si="28"/>
        <v>2.73698767077637E-3</v>
      </c>
      <c r="AT20">
        <f t="shared" si="29"/>
        <v>2.7342520493728586E-3</v>
      </c>
      <c r="AU20">
        <f t="shared" si="30"/>
        <v>2.7315165249788167E-3</v>
      </c>
      <c r="AV20">
        <f t="shared" si="31"/>
        <v>2.7286910338300929E-3</v>
      </c>
      <c r="AW20">
        <f t="shared" si="32"/>
        <v>2.7252248745543847E-3</v>
      </c>
      <c r="AX20">
        <f t="shared" si="33"/>
        <v>2.719894362864737E-3</v>
      </c>
      <c r="AY20">
        <f t="shared" si="34"/>
        <v>2.711261274899718E-3</v>
      </c>
      <c r="AZ20">
        <f t="shared" si="35"/>
        <v>2.6982577094780144E-3</v>
      </c>
      <c r="BA20">
        <f t="shared" si="36"/>
        <v>2.6804276991071198E-3</v>
      </c>
      <c r="BB20">
        <f t="shared" si="37"/>
        <v>2.6578678244114249E-3</v>
      </c>
      <c r="BC20">
        <f t="shared" si="38"/>
        <v>2.3052366397097001E-3</v>
      </c>
      <c r="BD20">
        <f t="shared" si="39"/>
        <v>1.9819951844858145E-3</v>
      </c>
      <c r="BE20">
        <f t="shared" si="40"/>
        <v>1.7588726751749616E-3</v>
      </c>
      <c r="BF20">
        <f t="shared" si="41"/>
        <v>1.6079797734797462E-3</v>
      </c>
    </row>
    <row r="21" spans="7:58" x14ac:dyDescent="0.3">
      <c r="G21">
        <v>140</v>
      </c>
      <c r="I21">
        <f t="shared" si="0"/>
        <v>2.7369606837157794E-3</v>
      </c>
      <c r="J21">
        <f t="shared" si="1"/>
        <v>2.7115789648666211E-3</v>
      </c>
      <c r="K21">
        <f t="shared" si="2"/>
        <v>2.5349331761483945E-3</v>
      </c>
      <c r="L21">
        <f t="shared" si="3"/>
        <v>2.1730034134580679E-3</v>
      </c>
      <c r="M21">
        <f t="shared" si="4"/>
        <v>1.7137215450104808E-3</v>
      </c>
      <c r="N21">
        <f t="shared" si="5"/>
        <v>1.2370468397636819E-3</v>
      </c>
      <c r="O21">
        <f t="shared" si="6"/>
        <v>7.8686762400335486E-4</v>
      </c>
      <c r="P21">
        <f t="shared" si="7"/>
        <v>3.815793477417165E-4</v>
      </c>
      <c r="Q21">
        <f t="shared" si="8"/>
        <v>2.5865008416631274E-5</v>
      </c>
      <c r="R21">
        <f t="shared" si="9"/>
        <v>-2.8206320125005128E-4</v>
      </c>
      <c r="S21">
        <f t="shared" si="10"/>
        <v>-1.7189122994861077E-3</v>
      </c>
      <c r="T21">
        <f t="shared" si="11"/>
        <v>-1.9821181894974639E-3</v>
      </c>
      <c r="U21">
        <f t="shared" si="12"/>
        <v>-1.9608334561523741E-3</v>
      </c>
      <c r="V21">
        <f t="shared" si="13"/>
        <v>-1.8609995221091523E-3</v>
      </c>
      <c r="Y21">
        <v>140</v>
      </c>
      <c r="AA21">
        <f t="shared" si="14"/>
        <v>2.626915654403135E-3</v>
      </c>
      <c r="AB21">
        <f t="shared" si="15"/>
        <v>9.2119478713835489E-4</v>
      </c>
      <c r="AC21">
        <f t="shared" si="16"/>
        <v>-1.5043065473870991E-3</v>
      </c>
      <c r="AD21">
        <f t="shared" si="17"/>
        <v>-3.4840517712603565E-3</v>
      </c>
      <c r="AE21">
        <f t="shared" si="18"/>
        <v>-4.9036429262831463E-3</v>
      </c>
      <c r="AF21">
        <f t="shared" si="19"/>
        <v>-5.8862640915705883E-3</v>
      </c>
      <c r="AG21">
        <f t="shared" si="20"/>
        <v>-6.5581927676564913E-3</v>
      </c>
      <c r="AH21">
        <f t="shared" si="21"/>
        <v>-7.0131635481268844E-3</v>
      </c>
      <c r="AI21">
        <f t="shared" si="22"/>
        <v>-7.3160954801956427E-3</v>
      </c>
      <c r="AJ21">
        <f t="shared" si="23"/>
        <v>-7.5114126358889399E-3</v>
      </c>
      <c r="AK21">
        <f t="shared" si="24"/>
        <v>-7.3553448064190485E-3</v>
      </c>
      <c r="AL21">
        <f t="shared" si="25"/>
        <v>-6.5314622716995414E-3</v>
      </c>
      <c r="AM21">
        <f t="shared" si="26"/>
        <v>-5.8109075897312089E-3</v>
      </c>
      <c r="AN21">
        <f t="shared" si="27"/>
        <v>-5.2243578106122204E-3</v>
      </c>
      <c r="AQ21">
        <v>140</v>
      </c>
      <c r="AS21">
        <f t="shared" si="28"/>
        <v>2.73698767077637E-3</v>
      </c>
      <c r="AT21">
        <f t="shared" si="29"/>
        <v>2.7342520511380564E-3</v>
      </c>
      <c r="AU21">
        <f t="shared" si="30"/>
        <v>2.7315191111513125E-3</v>
      </c>
      <c r="AV21">
        <f t="shared" si="31"/>
        <v>2.7287836986285082E-3</v>
      </c>
      <c r="AW21">
        <f t="shared" si="32"/>
        <v>2.7259806891152022E-3</v>
      </c>
      <c r="AX21">
        <f t="shared" si="33"/>
        <v>2.7228475690484017E-3</v>
      </c>
      <c r="AY21">
        <f t="shared" si="34"/>
        <v>2.7188643215371191E-3</v>
      </c>
      <c r="AZ21">
        <f t="shared" si="35"/>
        <v>2.7133783767033194E-3</v>
      </c>
      <c r="BA21">
        <f t="shared" si="36"/>
        <v>2.7057950439785834E-3</v>
      </c>
      <c r="BB21">
        <f t="shared" si="37"/>
        <v>2.6957052802764523E-3</v>
      </c>
      <c r="BC21">
        <f t="shared" si="38"/>
        <v>2.4779096963439586E-3</v>
      </c>
      <c r="BD21">
        <f t="shared" si="39"/>
        <v>2.2116472374974733E-3</v>
      </c>
      <c r="BE21">
        <f t="shared" si="40"/>
        <v>1.9977679912232429E-3</v>
      </c>
      <c r="BF21">
        <f t="shared" si="41"/>
        <v>1.8386140536978475E-3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2A93C-74F9-4534-9F38-7FE0028FDB44}">
  <sheetPr codeName="Sheet4"/>
  <dimension ref="B1:BE21"/>
  <sheetViews>
    <sheetView workbookViewId="0">
      <selection activeCell="Z12" sqref="Z12"/>
    </sheetView>
  </sheetViews>
  <sheetFormatPr defaultRowHeight="14.4" x14ac:dyDescent="0.3"/>
  <cols>
    <col min="9" max="9" width="12" bestFit="1" customWidth="1"/>
    <col min="10" max="10" width="11" bestFit="1" customWidth="1"/>
    <col min="11" max="13" width="12" bestFit="1" customWidth="1"/>
    <col min="44" max="45" width="12" bestFit="1" customWidth="1"/>
    <col min="46" max="46" width="11" bestFit="1" customWidth="1"/>
    <col min="47" max="51" width="12" bestFit="1" customWidth="1"/>
    <col min="52" max="52" width="10" bestFit="1" customWidth="1"/>
    <col min="53" max="53" width="12" bestFit="1" customWidth="1"/>
  </cols>
  <sheetData>
    <row r="1" spans="2:57" x14ac:dyDescent="0.3">
      <c r="Z1" t="s">
        <v>27</v>
      </c>
      <c r="AA1">
        <v>0.3</v>
      </c>
      <c r="AQ1" t="s">
        <v>27</v>
      </c>
      <c r="AR1">
        <v>0.1</v>
      </c>
    </row>
    <row r="2" spans="2:57" x14ac:dyDescent="0.3">
      <c r="B2" t="s">
        <v>39</v>
      </c>
    </row>
    <row r="3" spans="2:57" x14ac:dyDescent="0.3">
      <c r="H3" t="s">
        <v>31</v>
      </c>
      <c r="I3">
        <v>0.1</v>
      </c>
      <c r="J3">
        <v>0.2</v>
      </c>
      <c r="K3">
        <v>0.3</v>
      </c>
      <c r="L3">
        <v>0.4</v>
      </c>
      <c r="M3">
        <v>0.5</v>
      </c>
      <c r="N3">
        <v>0.6</v>
      </c>
      <c r="O3">
        <v>0.7</v>
      </c>
      <c r="P3">
        <v>0.8</v>
      </c>
      <c r="Q3">
        <v>0.9</v>
      </c>
      <c r="R3">
        <v>1</v>
      </c>
      <c r="S3">
        <v>2</v>
      </c>
      <c r="T3">
        <v>3</v>
      </c>
      <c r="U3">
        <v>4</v>
      </c>
      <c r="V3">
        <v>5</v>
      </c>
      <c r="Z3" t="s">
        <v>31</v>
      </c>
      <c r="AA3">
        <v>0.1</v>
      </c>
      <c r="AB3">
        <v>0.2</v>
      </c>
      <c r="AC3">
        <v>0.3</v>
      </c>
      <c r="AD3">
        <v>0.4</v>
      </c>
      <c r="AE3">
        <v>0.5</v>
      </c>
      <c r="AF3">
        <v>0.6</v>
      </c>
      <c r="AG3">
        <v>0.7</v>
      </c>
      <c r="AH3">
        <v>0.8</v>
      </c>
      <c r="AI3">
        <v>0.9</v>
      </c>
      <c r="AJ3">
        <v>1</v>
      </c>
      <c r="AK3">
        <v>2</v>
      </c>
      <c r="AL3">
        <v>3</v>
      </c>
      <c r="AM3">
        <v>4</v>
      </c>
      <c r="AN3">
        <v>5</v>
      </c>
      <c r="AQ3" t="s">
        <v>31</v>
      </c>
      <c r="AR3">
        <v>0.1</v>
      </c>
      <c r="AS3">
        <v>0.2</v>
      </c>
      <c r="AT3">
        <v>0.3</v>
      </c>
      <c r="AU3">
        <v>0.4</v>
      </c>
      <c r="AV3">
        <v>0.5</v>
      </c>
      <c r="AW3">
        <v>0.6</v>
      </c>
      <c r="AX3">
        <v>0.7</v>
      </c>
      <c r="AY3">
        <v>0.8</v>
      </c>
      <c r="AZ3">
        <v>0.9</v>
      </c>
      <c r="BA3">
        <v>1</v>
      </c>
      <c r="BB3">
        <v>2</v>
      </c>
      <c r="BC3">
        <v>3</v>
      </c>
      <c r="BD3">
        <v>4</v>
      </c>
      <c r="BE3">
        <v>5</v>
      </c>
    </row>
    <row r="4" spans="2:57" x14ac:dyDescent="0.3">
      <c r="G4" t="s">
        <v>24</v>
      </c>
      <c r="Y4" t="s">
        <v>24</v>
      </c>
      <c r="AP4" t="s">
        <v>24</v>
      </c>
    </row>
    <row r="5" spans="2:57" x14ac:dyDescent="0.3">
      <c r="B5" t="s">
        <v>23</v>
      </c>
      <c r="D5" t="s">
        <v>30</v>
      </c>
      <c r="G5">
        <v>60</v>
      </c>
      <c r="I5">
        <f>OptionRho($D$5,G5,$D$7,$I$3,$D$10,$D$9,$D$11)</f>
        <v>2.9155373317769776E-17</v>
      </c>
      <c r="J5">
        <f>OptionRho($D$5,G5,$D$7,$J$3,$D$10,$D$9,$D$11)</f>
        <v>9.8144996773923621E-10</v>
      </c>
      <c r="K5">
        <f>OptionRho($D$5,G5,$D$7,$K$3,$D$10,$D$9,$D$11)</f>
        <v>4.0745379654174117E-7</v>
      </c>
      <c r="L5">
        <f>OptionRho($D$5,G5,$D$7,$L$3,$D$10,$D$9,$D$11)</f>
        <v>9.3629247971002436E-6</v>
      </c>
      <c r="M5">
        <f>OptionRho($D$5,G5,$D$7,$M$3,$D$10,$D$9,$D$11)</f>
        <v>6.588679923516248E-5</v>
      </c>
      <c r="N5">
        <f>OptionRho($D$5,G5,$D$7,$N$3,$D$10,$D$9,$D$11)</f>
        <v>2.5336754690401985E-4</v>
      </c>
      <c r="O5">
        <f>OptionRho($D$5,G5,$D$7,$O$3,$D$10,$D$9,$D$11)</f>
        <v>6.8496313647904098E-4</v>
      </c>
      <c r="P5">
        <f>OptionRho($D$5,G5,$D$7,$P$3,$D$10,$D$9,$D$11)</f>
        <v>1.4792299832123142E-3</v>
      </c>
      <c r="Q5">
        <f>OptionRho($D$5,G5,$D$7,$Q$3,$D$10,$D$9,$D$11)</f>
        <v>2.742313900181243E-3</v>
      </c>
      <c r="R5">
        <f>OptionRho($D$5,G5,$D$7,$R$3,$D$10,$D$9,$D$11)</f>
        <v>4.5595912570109316E-3</v>
      </c>
      <c r="S5">
        <f>OptionRho($D$5,G5,$D$7,$S$3,$D$10,$D$9,$D$11)</f>
        <v>5.9353081456012938E-2</v>
      </c>
      <c r="T5">
        <f>OptionRho($D$5,G5,$D$7,$T$3,$D$10,$D$9,$D$11)</f>
        <v>0.17245259544138369</v>
      </c>
      <c r="U5">
        <f>OptionRho($D$5,G5,$D$7,$U$3,$D$10,$D$9,$D$11)</f>
        <v>0.32377152020462435</v>
      </c>
      <c r="V5">
        <f>OptionRho($D$5,G5,$D$7,$V$3,$D$10,$D$9,$D$11)</f>
        <v>0.4989815054427264</v>
      </c>
      <c r="Y5">
        <v>60</v>
      </c>
      <c r="AA5">
        <f>OptionRho($D$5,Y5,$D$7,$AA$3,$D$10,$AA$1,$D$11)</f>
        <v>2.9526232275500711E-9</v>
      </c>
      <c r="AB5">
        <f>OptionRho($D$5,Y5,$D$7,$AB$3,$D$10,$AA$1,$D$11)</f>
        <v>1.1332530343148013E-5</v>
      </c>
      <c r="AC5">
        <f>OptionRho($D$5,Y5,$D$7,$AC$3,$D$10,$AA$1,$D$11)</f>
        <v>2.2587447202926817E-4</v>
      </c>
      <c r="AD5">
        <f>OptionRho($D$5,Y5,$D$7,$AD$3,$D$10,$AA$1,$D$11)</f>
        <v>1.1301837002767319E-3</v>
      </c>
      <c r="AE5">
        <f>OptionRho($D$5,Y5,$D$7,$AE$3,$D$10,$AA$1,$D$11)</f>
        <v>3.1727274899903948E-3</v>
      </c>
      <c r="AF5">
        <f>OptionRho($D$5,Y5,$D$7,$AF$3,$D$10,$AA$1,$D$11)</f>
        <v>6.5908885371946321E-3</v>
      </c>
      <c r="AG5">
        <f>OptionRho($D$5,Y5,$D$7,$AG$3,$D$10,$AA$1,$D$11)</f>
        <v>1.1449306418409964E-2</v>
      </c>
      <c r="AH5">
        <f>OptionRho($D$5,Y5,$D$7,$AH$3,$D$10,$AA$1,$D$11)</f>
        <v>1.7711463627698015E-2</v>
      </c>
      <c r="AI5">
        <f>OptionRho($D$5,Y5,$D$7,$AI$3,$D$10,$AA$1,$D$11)</f>
        <v>2.5290931687880013E-2</v>
      </c>
      <c r="AJ5">
        <f>OptionRho($D$5,Y5,$D$7,$AJ$3,$D$10,$AA$1,$D$11)</f>
        <v>3.4081262074599161E-2</v>
      </c>
      <c r="AK5">
        <f>OptionRho($D$5,Y5,$D$7,$AK$3,$D$10,$AA$1,$D$11)</f>
        <v>0.16760740288014708</v>
      </c>
      <c r="AL5">
        <f>OptionRho($D$5,Y5,$D$7,$AL$3,$D$10,$AA$1,$D$11)</f>
        <v>0.34347278354932753</v>
      </c>
      <c r="AM5">
        <f>OptionRho($D$5,Y5,$D$7,$AM$3,$D$10,$AA$1,$D$11)</f>
        <v>0.53429576659871825</v>
      </c>
      <c r="AN5">
        <f>OptionRho($D$5,Y5,$D$7,$AN$3,$D$10,$AA$1,$D$11)</f>
        <v>0.72913289318308616</v>
      </c>
      <c r="AP5">
        <v>60</v>
      </c>
      <c r="AR5">
        <f>OptionRho($D$5,AP5,$D$7,$AA$3,$D$10,$AR$1,$D$11)</f>
        <v>6.8997547428960883E-60</v>
      </c>
      <c r="AS5">
        <f>OptionRho($D$5,AP5,$D$7,$AB$3,$D$10,$AR$1,$D$11)</f>
        <v>4.1705600383653559E-31</v>
      </c>
      <c r="AT5">
        <f>OptionRho($D$5,AP5,$D$7,$AC$3,$D$10,$AR$1,$D$11)</f>
        <v>2.1207973599216589E-21</v>
      </c>
      <c r="AU5">
        <f>OptionRho($D$5,AP5,$D$7,$AD$3,$D$10,$AR$1,$D$11)</f>
        <v>1.7146657173941722E-16</v>
      </c>
      <c r="AV5">
        <f>OptionRho($D$5,AP5,$D$7,$AE$3,$D$10,$AR$1,$D$11)</f>
        <v>1.6258128709111354E-13</v>
      </c>
      <c r="AW5">
        <f>OptionRho($D$5,AP5,$D$7,$AF$3,$D$10,$AR$1,$D$11)</f>
        <v>1.6481813086334279E-11</v>
      </c>
      <c r="AX5">
        <f>OptionRho($D$5,AP5,$D$7,$AG$3,$D$10,$AR$1,$D$11)</f>
        <v>4.6233752509654254E-10</v>
      </c>
      <c r="AY5">
        <f>OptionRho($D$5,AP5,$D$7,$AH$3,$D$10,$AR$1,$D$11)</f>
        <v>5.7838836856354677E-9</v>
      </c>
      <c r="AZ5">
        <f>OptionRho($D$5,AP5,$D$7,$AI$3,$D$10,$AR$1,$D$11)</f>
        <v>4.2109995631038731E-8</v>
      </c>
      <c r="BA5">
        <f>OptionRho($D$5,AP5,$D$7,$AJ$3,$D$10,$AR$1,$D$11)</f>
        <v>2.0944883154902559E-7</v>
      </c>
      <c r="BB5">
        <f>OptionRho($D$5,AP5,$D$7,$AK$3,$D$10,$AR$1,$D$11)</f>
        <v>3.9017006065321993E-4</v>
      </c>
      <c r="BC5">
        <f>OptionRho($D$5,AP5,$D$7,$AL$3,$D$10,$AR$1,$D$11)</f>
        <v>6.1154603756096351E-3</v>
      </c>
      <c r="BD5">
        <f>OptionRho($D$5,AP5,$D$7,$AM$3,$D$10,$AR$1,$D$11)</f>
        <v>2.7137815674117115E-2</v>
      </c>
      <c r="BE5">
        <f>OptionRho($D$5,AP5,$D$7,$AN$3,$D$10,$AR$1,$D$11)</f>
        <v>7.0877394865647217E-2</v>
      </c>
    </row>
    <row r="6" spans="2:57" x14ac:dyDescent="0.3">
      <c r="B6" t="s">
        <v>24</v>
      </c>
      <c r="D6">
        <v>100</v>
      </c>
      <c r="G6">
        <v>65</v>
      </c>
      <c r="I6">
        <f t="shared" ref="I6:I21" si="0">OptionRho($D$5,G6,$D$7,$I$3,$D$10,$D$9,$D$11)</f>
        <v>4.3284662987202281E-13</v>
      </c>
      <c r="J6">
        <f t="shared" ref="J6:J21" si="1">OptionRho($D$5,G6,$D$7,$J$3,$D$10,$D$9,$D$11)</f>
        <v>1.3045620291245923E-7</v>
      </c>
      <c r="K6">
        <f t="shared" ref="K6:K21" si="2">OptionRho($D$5,G6,$D$7,$K$3,$D$10,$D$9,$D$11)</f>
        <v>1.1214508890306986E-5</v>
      </c>
      <c r="L6">
        <f t="shared" ref="L6:L21" si="3">OptionRho($D$5,G6,$D$7,$L$3,$D$10,$D$9,$D$11)</f>
        <v>1.1705675325644336E-4</v>
      </c>
      <c r="M6">
        <f t="shared" ref="M6:M21" si="4">OptionRho($D$5,G6,$D$7,$M$3,$D$10,$D$9,$D$11)</f>
        <v>5.124182147004363E-4</v>
      </c>
      <c r="N6">
        <f t="shared" ref="N6:N21" si="5">OptionRho($D$5,G6,$D$7,$N$3,$D$10,$D$9,$D$11)</f>
        <v>1.4346745368583711E-3</v>
      </c>
      <c r="O6">
        <f t="shared" ref="O6:O21" si="6">OptionRho($D$5,G6,$D$7,$O$3,$D$10,$D$9,$D$11)</f>
        <v>3.0898154554743775E-3</v>
      </c>
      <c r="P6">
        <f t="shared" ref="P6:P21" si="7">OptionRho($D$5,G6,$D$7,$P$3,$D$10,$D$9,$D$11)</f>
        <v>5.6236751489784891E-3</v>
      </c>
      <c r="Q6">
        <f t="shared" ref="Q6:Q21" si="8">OptionRho($D$5,G6,$D$7,$Q$3,$D$10,$D$9,$D$11)</f>
        <v>9.1231525678742362E-3</v>
      </c>
      <c r="R6">
        <f t="shared" ref="R6:R21" si="9">OptionRho($D$5,G6,$D$7,$R$3,$D$10,$D$9,$D$11)</f>
        <v>1.3628210187071797E-2</v>
      </c>
      <c r="S6">
        <f t="shared" ref="S6:S21" si="10">OptionRho($D$5,G6,$D$7,$S$3,$D$10,$D$9,$D$11)</f>
        <v>0.10879243138680189</v>
      </c>
      <c r="T6">
        <f t="shared" ref="T6:T21" si="11">OptionRho($D$5,G6,$D$7,$T$3,$D$10,$D$9,$D$11)</f>
        <v>0.26706226544028677</v>
      </c>
      <c r="U6">
        <f t="shared" ref="U6:U21" si="12">OptionRho($D$5,G6,$D$7,$U$3,$D$10,$D$9,$D$11)</f>
        <v>0.45966579050016665</v>
      </c>
      <c r="V6">
        <f t="shared" ref="V6:V21" si="13">OptionRho($D$5,G6,$D$7,$V$3,$D$10,$D$9,$D$11)</f>
        <v>0.67144050131601485</v>
      </c>
      <c r="Y6">
        <v>65</v>
      </c>
      <c r="AA6">
        <f t="shared" ref="AA6:AA21" si="14">OptionRho($D$5,Y6,$D$7,$AA$3,$D$10,$AA$1,$D$11)</f>
        <v>2.3477394326331548E-7</v>
      </c>
      <c r="AB6">
        <f t="shared" ref="AB6:AB21" si="15">OptionRho($D$5,Y6,$D$7,$AB$3,$D$10,$AA$1,$D$11)</f>
        <v>1.1000326823056661E-4</v>
      </c>
      <c r="AC6">
        <f t="shared" ref="AC6:AC21" si="16">OptionRho($D$5,Y6,$D$7,$AC$3,$D$10,$AA$1,$D$11)</f>
        <v>1.0828646304118204E-3</v>
      </c>
      <c r="AD6">
        <f t="shared" ref="AD6:AD21" si="17">OptionRho($D$5,Y6,$D$7,$AD$3,$D$10,$AA$1,$D$11)</f>
        <v>3.7982446397381545E-3</v>
      </c>
      <c r="AE6">
        <f t="shared" ref="AE6:AE21" si="18">OptionRho($D$5,Y6,$D$7,$AE$3,$D$10,$AA$1,$D$11)</f>
        <v>8.6022397763405953E-3</v>
      </c>
      <c r="AF6">
        <f t="shared" ref="AF6:AF21" si="19">OptionRho($D$5,Y6,$D$7,$AF$3,$D$10,$AA$1,$D$11)</f>
        <v>1.5469602201022619E-2</v>
      </c>
      <c r="AG6">
        <f t="shared" ref="AG6:AG21" si="20">OptionRho($D$5,Y6,$D$7,$AG$3,$D$10,$AA$1,$D$11)</f>
        <v>2.4222946495275673E-2</v>
      </c>
      <c r="AH6">
        <f t="shared" ref="AH6:AH21" si="21">OptionRho($D$5,Y6,$D$7,$AH$3,$D$10,$AA$1,$D$11)</f>
        <v>3.4644139974960214E-2</v>
      </c>
      <c r="AI6">
        <f t="shared" ref="AI6:AI21" si="22">OptionRho($D$5,Y6,$D$7,$AI$3,$D$10,$AA$1,$D$11)</f>
        <v>4.652006501990831E-2</v>
      </c>
      <c r="AJ6">
        <f t="shared" ref="AJ6:AJ21" si="23">OptionRho($D$5,Y6,$D$7,$AJ$3,$D$10,$AA$1,$D$11)</f>
        <v>5.9658621895937708E-2</v>
      </c>
      <c r="AK6">
        <f t="shared" ref="AK6:AK21" si="24">OptionRho($D$5,Y6,$D$7,$AK$3,$D$10,$AA$1,$D$11)</f>
        <v>0.23314848276281694</v>
      </c>
      <c r="AL6">
        <f t="shared" ref="AL6:AL21" si="25">OptionRho($D$5,Y6,$D$7,$AL$3,$D$10,$AA$1,$D$11)</f>
        <v>0.44032078635685484</v>
      </c>
      <c r="AM6">
        <f t="shared" ref="AM6:AM21" si="26">OptionRho($D$5,Y6,$D$7,$AM$3,$D$10,$AA$1,$D$11)</f>
        <v>0.65612241719610553</v>
      </c>
      <c r="AN6">
        <f t="shared" ref="AN6:AN21" si="27">OptionRho($D$5,Y6,$D$7,$AN$3,$D$10,$AA$1,$D$11)</f>
        <v>0.87156514480259184</v>
      </c>
      <c r="AP6">
        <v>65</v>
      </c>
      <c r="AR6">
        <f t="shared" ref="AR6:AR21" si="28">OptionRho($D$5,AP6,$D$7,$AA$3,$D$10,$AR$1,$D$11)</f>
        <v>1.824025691521059E-43</v>
      </c>
      <c r="AS6">
        <f t="shared" ref="AS6:AS21" si="29">OptionRho($D$5,AP6,$D$7,$AB$3,$D$10,$AR$1,$D$11)</f>
        <v>7.2236755311601088E-23</v>
      </c>
      <c r="AT6">
        <f t="shared" ref="AT6:AT21" si="30">OptionRho($D$5,AP6,$D$7,$AC$3,$D$10,$AR$1,$D$11)</f>
        <v>6.8680684372739567E-16</v>
      </c>
      <c r="AU6">
        <f t="shared" ref="AU6:AU21" si="31">OptionRho($D$5,AP6,$D$7,$AD$3,$D$10,$AR$1,$D$11)</f>
        <v>2.3996762916801391E-12</v>
      </c>
      <c r="AV6">
        <f t="shared" ref="AV6:AV21" si="32">OptionRho($D$5,AP6,$D$7,$AE$3,$D$10,$AR$1,$D$11)</f>
        <v>3.4533346751725232E-10</v>
      </c>
      <c r="AW6">
        <f t="shared" ref="AW6:AW21" si="33">OptionRho($D$5,AP6,$D$7,$AF$3,$D$10,$AR$1,$D$11)</f>
        <v>9.9575989539410699E-9</v>
      </c>
      <c r="AX6">
        <f t="shared" ref="AX6:AX21" si="34">OptionRho($D$5,AP6,$D$7,$AG$3,$D$10,$AR$1,$D$11)</f>
        <v>1.1375608625566583E-7</v>
      </c>
      <c r="AY6">
        <f t="shared" ref="AY6:AY21" si="35">OptionRho($D$5,AP6,$D$7,$AH$3,$D$10,$AR$1,$D$11)</f>
        <v>7.2532656593866114E-7</v>
      </c>
      <c r="AZ6">
        <f t="shared" ref="AZ6:AZ21" si="36">OptionRho($D$5,AP6,$D$7,$AI$3,$D$10,$AR$1,$D$11)</f>
        <v>3.1257694746679378E-6</v>
      </c>
      <c r="BA6">
        <f t="shared" ref="BA6:BA21" si="37">OptionRho($D$5,AP6,$D$7,$AJ$3,$D$10,$AR$1,$D$11)</f>
        <v>1.0218383303882987E-5</v>
      </c>
      <c r="BB6">
        <f t="shared" ref="BB6:BB21" si="38">OptionRho($D$5,AP6,$D$7,$AK$3,$D$10,$AR$1,$D$11)</f>
        <v>2.8682719393543542E-3</v>
      </c>
      <c r="BC6">
        <f t="shared" ref="BC6:BC21" si="39">OptionRho($D$5,AP6,$D$7,$AL$3,$D$10,$AR$1,$D$11)</f>
        <v>2.3831658067032861E-2</v>
      </c>
      <c r="BD6">
        <f t="shared" ref="BD6:BD21" si="40">OptionRho($D$5,AP6,$D$7,$AM$3,$D$10,$AR$1,$D$11)</f>
        <v>7.6832332776932757E-2</v>
      </c>
      <c r="BE6">
        <f t="shared" ref="BE6:BE21" si="41">OptionRho($D$5,AP6,$D$7,$AN$3,$D$10,$AR$1,$D$11)</f>
        <v>0.16543665197834301</v>
      </c>
    </row>
    <row r="7" spans="2:57" x14ac:dyDescent="0.3">
      <c r="B7" t="s">
        <v>25</v>
      </c>
      <c r="D7">
        <v>100</v>
      </c>
      <c r="G7">
        <v>70</v>
      </c>
      <c r="I7">
        <f t="shared" si="0"/>
        <v>7.7692467200589764E-10</v>
      </c>
      <c r="J7">
        <f t="shared" si="1"/>
        <v>6.0569776566511092E-6</v>
      </c>
      <c r="K7">
        <f t="shared" si="2"/>
        <v>1.534011080390588E-4</v>
      </c>
      <c r="L7">
        <f t="shared" si="3"/>
        <v>8.671070253851767E-4</v>
      </c>
      <c r="M7">
        <f t="shared" si="4"/>
        <v>2.6230859396038069E-3</v>
      </c>
      <c r="N7">
        <f t="shared" si="5"/>
        <v>5.7342650040421743E-3</v>
      </c>
      <c r="O7">
        <f t="shared" si="6"/>
        <v>1.0340638105047843E-2</v>
      </c>
      <c r="P7">
        <f t="shared" si="7"/>
        <v>1.6463949579291832E-2</v>
      </c>
      <c r="Q7">
        <f t="shared" si="8"/>
        <v>2.4057851465664689E-2</v>
      </c>
      <c r="R7">
        <f t="shared" si="9"/>
        <v>3.3041361033821035E-2</v>
      </c>
      <c r="S7">
        <f t="shared" si="10"/>
        <v>0.17932080685197074</v>
      </c>
      <c r="T7">
        <f t="shared" si="11"/>
        <v>0.38476487533043752</v>
      </c>
      <c r="U7">
        <f t="shared" si="12"/>
        <v>0.6174994858488011</v>
      </c>
      <c r="V7">
        <f t="shared" si="13"/>
        <v>0.8636305114580537</v>
      </c>
      <c r="Y7">
        <v>70</v>
      </c>
      <c r="AA7">
        <f t="shared" si="14"/>
        <v>7.3280508906908516E-6</v>
      </c>
      <c r="AB7">
        <f t="shared" si="15"/>
        <v>6.7012653150436694E-4</v>
      </c>
      <c r="AC7">
        <f t="shared" si="16"/>
        <v>3.8055475002660962E-3</v>
      </c>
      <c r="AD7">
        <f t="shared" si="17"/>
        <v>1.0108518694220895E-2</v>
      </c>
      <c r="AE7">
        <f t="shared" si="18"/>
        <v>1.9341199007050006E-2</v>
      </c>
      <c r="AF7">
        <f t="shared" si="19"/>
        <v>3.104568855619053E-2</v>
      </c>
      <c r="AG7">
        <f t="shared" si="20"/>
        <v>4.4784244022574062E-2</v>
      </c>
      <c r="AH7">
        <f t="shared" si="21"/>
        <v>6.0191244882771701E-2</v>
      </c>
      <c r="AI7">
        <f t="shared" si="22"/>
        <v>7.6972593895436286E-2</v>
      </c>
      <c r="AJ7">
        <f t="shared" si="23"/>
        <v>9.4893482029156068E-2</v>
      </c>
      <c r="AK7">
        <f t="shared" si="24"/>
        <v>0.30833945975697685</v>
      </c>
      <c r="AL7">
        <f t="shared" si="25"/>
        <v>0.54482049449278391</v>
      </c>
      <c r="AM7">
        <f t="shared" si="26"/>
        <v>0.78359786030381173</v>
      </c>
      <c r="AN7">
        <f t="shared" si="27"/>
        <v>1.0178771687584245</v>
      </c>
      <c r="AP7">
        <v>70</v>
      </c>
      <c r="AR7">
        <f t="shared" si="28"/>
        <v>9.954666886739304E-31</v>
      </c>
      <c r="AS7">
        <f t="shared" si="29"/>
        <v>1.8148881916339142E-16</v>
      </c>
      <c r="AT7">
        <f t="shared" si="30"/>
        <v>1.3307124507183836E-11</v>
      </c>
      <c r="AU7">
        <f t="shared" si="31"/>
        <v>4.0794980511215184E-9</v>
      </c>
      <c r="AV7">
        <f t="shared" si="32"/>
        <v>1.3625021969122364E-7</v>
      </c>
      <c r="AW7">
        <f t="shared" si="33"/>
        <v>1.4829729609667339E-6</v>
      </c>
      <c r="AX7">
        <f t="shared" si="34"/>
        <v>8.4440564273303502E-6</v>
      </c>
      <c r="AY7">
        <f t="shared" si="35"/>
        <v>3.1927561083099139E-5</v>
      </c>
      <c r="AZ7">
        <f t="shared" si="36"/>
        <v>9.1613031212593103E-5</v>
      </c>
      <c r="BA7">
        <f t="shared" si="37"/>
        <v>2.1625953663559442E-4</v>
      </c>
      <c r="BB7">
        <f t="shared" si="38"/>
        <v>1.3949867109230144E-2</v>
      </c>
      <c r="BC7">
        <f t="shared" si="39"/>
        <v>7.0649659059548314E-2</v>
      </c>
      <c r="BD7">
        <f t="shared" si="40"/>
        <v>0.17736667658110342</v>
      </c>
      <c r="BE7">
        <f t="shared" si="41"/>
        <v>0.3281644793147272</v>
      </c>
    </row>
    <row r="8" spans="2:57" x14ac:dyDescent="0.3">
      <c r="B8" t="s">
        <v>26</v>
      </c>
      <c r="D8">
        <v>1</v>
      </c>
      <c r="G8">
        <v>75</v>
      </c>
      <c r="I8">
        <f t="shared" si="0"/>
        <v>2.5013539023405383E-7</v>
      </c>
      <c r="J8">
        <f t="shared" si="1"/>
        <v>1.1981739309242231E-4</v>
      </c>
      <c r="K8">
        <f t="shared" si="2"/>
        <v>1.1911631216126903E-3</v>
      </c>
      <c r="L8">
        <f t="shared" si="3"/>
        <v>4.2058365657656558E-3</v>
      </c>
      <c r="M8">
        <f t="shared" si="4"/>
        <v>9.5750502791312735E-3</v>
      </c>
      <c r="N8">
        <f t="shared" si="5"/>
        <v>1.7295450873604512E-2</v>
      </c>
      <c r="O8">
        <f t="shared" si="6"/>
        <v>2.7188766452768527E-2</v>
      </c>
      <c r="P8">
        <f t="shared" si="7"/>
        <v>3.9025965710024674E-2</v>
      </c>
      <c r="Q8">
        <f t="shared" si="8"/>
        <v>5.2579361449743296E-2</v>
      </c>
      <c r="R8">
        <f t="shared" si="9"/>
        <v>6.7641543932963441E-2</v>
      </c>
      <c r="S8">
        <f t="shared" si="10"/>
        <v>0.27119588189475019</v>
      </c>
      <c r="T8">
        <f t="shared" si="11"/>
        <v>0.52273981099216771</v>
      </c>
      <c r="U8">
        <f t="shared" si="12"/>
        <v>0.79297672467890534</v>
      </c>
      <c r="V8">
        <f t="shared" si="13"/>
        <v>1.070610955886903</v>
      </c>
      <c r="Y8">
        <v>75</v>
      </c>
      <c r="AA8">
        <f t="shared" si="14"/>
        <v>1.0716304021740663E-4</v>
      </c>
      <c r="AB8">
        <f t="shared" si="15"/>
        <v>2.8005079404176507E-3</v>
      </c>
      <c r="AC8">
        <f t="shared" si="16"/>
        <v>1.0404743079329298E-2</v>
      </c>
      <c r="AD8">
        <f t="shared" si="17"/>
        <v>2.2277486403587093E-2</v>
      </c>
      <c r="AE8">
        <f t="shared" si="18"/>
        <v>3.7375642733991826E-2</v>
      </c>
      <c r="AF8">
        <f t="shared" si="19"/>
        <v>5.4887827575266564E-2</v>
      </c>
      <c r="AG8">
        <f t="shared" si="20"/>
        <v>7.4233901250503012E-2</v>
      </c>
      <c r="AH8">
        <f t="shared" si="21"/>
        <v>9.4998591027931858E-2</v>
      </c>
      <c r="AI8">
        <f t="shared" si="22"/>
        <v>0.11687876444341773</v>
      </c>
      <c r="AJ8">
        <f t="shared" si="23"/>
        <v>0.13964806192115639</v>
      </c>
      <c r="AK8">
        <f t="shared" si="24"/>
        <v>0.3912877070729931</v>
      </c>
      <c r="AL8">
        <f t="shared" si="25"/>
        <v>0.65478709737318352</v>
      </c>
      <c r="AM8">
        <f t="shared" si="26"/>
        <v>0.91460887943075675</v>
      </c>
      <c r="AN8">
        <f t="shared" si="27"/>
        <v>1.1661280707499488</v>
      </c>
      <c r="AP8">
        <v>75</v>
      </c>
      <c r="AR8">
        <f t="shared" si="28"/>
        <v>5.3493516241294045E-21</v>
      </c>
      <c r="AS8">
        <f t="shared" si="29"/>
        <v>1.4484262281308254E-11</v>
      </c>
      <c r="AT8">
        <f t="shared" si="30"/>
        <v>2.6052631871411217E-8</v>
      </c>
      <c r="AU8">
        <f t="shared" si="31"/>
        <v>1.2492523960331803E-6</v>
      </c>
      <c r="AV8">
        <f t="shared" si="32"/>
        <v>1.3693783854780401E-5</v>
      </c>
      <c r="AW8">
        <f t="shared" si="33"/>
        <v>7.0864177060534547E-5</v>
      </c>
      <c r="AX8">
        <f t="shared" si="34"/>
        <v>2.3711237792182926E-4</v>
      </c>
      <c r="AY8">
        <f t="shared" si="35"/>
        <v>6.0144636736595401E-4</v>
      </c>
      <c r="AZ8">
        <f t="shared" si="36"/>
        <v>1.2646643565367435E-3</v>
      </c>
      <c r="BA8">
        <f t="shared" si="37"/>
        <v>2.3272427909089093E-3</v>
      </c>
      <c r="BB8">
        <f t="shared" si="38"/>
        <v>4.8605196983075763E-2</v>
      </c>
      <c r="BC8">
        <f t="shared" si="39"/>
        <v>0.16800016425945097</v>
      </c>
      <c r="BD8">
        <f t="shared" si="40"/>
        <v>0.34734979174896125</v>
      </c>
      <c r="BE8">
        <f t="shared" si="41"/>
        <v>0.57096303141784466</v>
      </c>
    </row>
    <row r="9" spans="2:57" x14ac:dyDescent="0.3">
      <c r="B9" t="s">
        <v>27</v>
      </c>
      <c r="D9">
        <v>0.2</v>
      </c>
      <c r="G9">
        <v>80</v>
      </c>
      <c r="I9">
        <f t="shared" si="0"/>
        <v>1.9684019476440405E-5</v>
      </c>
      <c r="J9">
        <f t="shared" si="1"/>
        <v>1.180615367981647E-3</v>
      </c>
      <c r="K9">
        <f t="shared" si="2"/>
        <v>5.8294742224800937E-3</v>
      </c>
      <c r="L9">
        <f t="shared" si="3"/>
        <v>1.4449660567580994E-2</v>
      </c>
      <c r="M9">
        <f t="shared" si="4"/>
        <v>2.6541221761137001E-2</v>
      </c>
      <c r="N9">
        <f t="shared" si="5"/>
        <v>4.1483206002554972E-2</v>
      </c>
      <c r="O9">
        <f t="shared" si="6"/>
        <v>5.8743138124230571E-2</v>
      </c>
      <c r="P9">
        <f t="shared" si="7"/>
        <v>7.7898920427139723E-2</v>
      </c>
      <c r="Q9">
        <f t="shared" si="8"/>
        <v>9.8621140558167994E-2</v>
      </c>
      <c r="R9">
        <f t="shared" si="9"/>
        <v>0.12065171933845739</v>
      </c>
      <c r="S9">
        <f t="shared" si="10"/>
        <v>0.38226402136740828</v>
      </c>
      <c r="T9">
        <f t="shared" si="11"/>
        <v>0.67677547849775832</v>
      </c>
      <c r="U9">
        <f t="shared" si="12"/>
        <v>0.98121354844747444</v>
      </c>
      <c r="V9">
        <f t="shared" si="13"/>
        <v>1.2873783982233833</v>
      </c>
      <c r="Y9">
        <v>80</v>
      </c>
      <c r="AA9">
        <f t="shared" si="14"/>
        <v>8.4379549560306417E-4</v>
      </c>
      <c r="AB9">
        <f t="shared" si="15"/>
        <v>8.6101600896775782E-3</v>
      </c>
      <c r="AC9">
        <f t="shared" si="16"/>
        <v>2.3188215227327152E-2</v>
      </c>
      <c r="AD9">
        <f t="shared" si="17"/>
        <v>4.2101668239852952E-2</v>
      </c>
      <c r="AE9">
        <f t="shared" si="18"/>
        <v>6.3836239230238859E-2</v>
      </c>
      <c r="AF9">
        <f t="shared" si="19"/>
        <v>8.7502447732684355E-2</v>
      </c>
      <c r="AG9">
        <f t="shared" si="20"/>
        <v>0.11254687988484213</v>
      </c>
      <c r="AH9">
        <f t="shared" si="21"/>
        <v>0.13860489518231894</v>
      </c>
      <c r="AI9">
        <f t="shared" si="22"/>
        <v>0.16542451185364437</v>
      </c>
      <c r="AJ9">
        <f t="shared" si="23"/>
        <v>0.19282474296583746</v>
      </c>
      <c r="AK9">
        <f t="shared" si="24"/>
        <v>0.47990477205190002</v>
      </c>
      <c r="AL9">
        <f t="shared" si="25"/>
        <v>0.76816408112647405</v>
      </c>
      <c r="AM9">
        <f t="shared" si="26"/>
        <v>1.0472989940256039</v>
      </c>
      <c r="AN9">
        <f t="shared" si="27"/>
        <v>1.3146822164902674</v>
      </c>
      <c r="AP9">
        <v>80</v>
      </c>
      <c r="AR9">
        <f t="shared" si="28"/>
        <v>9.5606229748062584E-14</v>
      </c>
      <c r="AS9">
        <f t="shared" si="29"/>
        <v>6.7762571900260923E-8</v>
      </c>
      <c r="AT9">
        <f t="shared" si="30"/>
        <v>7.77039222747902E-6</v>
      </c>
      <c r="AU9">
        <f t="shared" si="31"/>
        <v>9.387406712177922E-5</v>
      </c>
      <c r="AV9">
        <f t="shared" si="32"/>
        <v>4.4930628022144242E-4</v>
      </c>
      <c r="AW9">
        <f t="shared" si="33"/>
        <v>1.3367272087027218E-3</v>
      </c>
      <c r="AX9">
        <f t="shared" si="34"/>
        <v>3.0094142404680354E-3</v>
      </c>
      <c r="AY9">
        <f t="shared" si="35"/>
        <v>5.6671524536186417E-3</v>
      </c>
      <c r="AZ9">
        <f t="shared" si="36"/>
        <v>9.4469788357844919E-3</v>
      </c>
      <c r="BA9">
        <f t="shared" si="37"/>
        <v>1.4430579922614033E-2</v>
      </c>
      <c r="BB9">
        <f t="shared" si="38"/>
        <v>0.12916231918414769</v>
      </c>
      <c r="BC9">
        <f t="shared" si="39"/>
        <v>0.33403665227840929</v>
      </c>
      <c r="BD9">
        <f t="shared" si="40"/>
        <v>0.5952355943117198</v>
      </c>
      <c r="BE9">
        <f t="shared" si="41"/>
        <v>0.89308606477141772</v>
      </c>
    </row>
    <row r="10" spans="2:57" x14ac:dyDescent="0.3">
      <c r="B10" t="s">
        <v>28</v>
      </c>
      <c r="D10">
        <v>0.01</v>
      </c>
      <c r="G10">
        <v>85</v>
      </c>
      <c r="I10">
        <f t="shared" si="0"/>
        <v>4.8575796157643818E-4</v>
      </c>
      <c r="J10">
        <f t="shared" si="1"/>
        <v>6.5728086131009653E-3</v>
      </c>
      <c r="K10">
        <f t="shared" si="2"/>
        <v>1.9560484482833904E-2</v>
      </c>
      <c r="L10">
        <f t="shared" si="3"/>
        <v>3.7454643863001104E-2</v>
      </c>
      <c r="M10">
        <f t="shared" si="4"/>
        <v>5.8755556011287499E-2</v>
      </c>
      <c r="N10">
        <f t="shared" si="5"/>
        <v>8.2510457333700937E-2</v>
      </c>
      <c r="O10">
        <f t="shared" si="6"/>
        <v>0.10810010394461254</v>
      </c>
      <c r="P10">
        <f t="shared" si="7"/>
        <v>0.13510429218050068</v>
      </c>
      <c r="Q10">
        <f t="shared" si="8"/>
        <v>0.16322605204399809</v>
      </c>
      <c r="R10">
        <f t="shared" si="9"/>
        <v>0.19224806199408723</v>
      </c>
      <c r="S10">
        <f t="shared" si="10"/>
        <v>0.50846001160439569</v>
      </c>
      <c r="T10">
        <f t="shared" si="11"/>
        <v>0.84192775036698542</v>
      </c>
      <c r="U10">
        <f t="shared" si="12"/>
        <v>1.1772513441976242</v>
      </c>
      <c r="V10">
        <f t="shared" si="13"/>
        <v>1.509219653951388</v>
      </c>
      <c r="Y10">
        <v>85</v>
      </c>
      <c r="AA10">
        <f t="shared" si="14"/>
        <v>4.0019706155343393E-3</v>
      </c>
      <c r="AB10">
        <f t="shared" si="15"/>
        <v>2.0599015086440079E-2</v>
      </c>
      <c r="AC10">
        <f t="shared" si="16"/>
        <v>4.3722556636840146E-2</v>
      </c>
      <c r="AD10">
        <f t="shared" si="17"/>
        <v>7.0158187896353461E-2</v>
      </c>
      <c r="AE10">
        <f t="shared" si="18"/>
        <v>9.8529677259979437E-2</v>
      </c>
      <c r="AF10">
        <f t="shared" si="19"/>
        <v>0.12813282697945419</v>
      </c>
      <c r="AG10">
        <f t="shared" si="20"/>
        <v>0.15855986685171214</v>
      </c>
      <c r="AH10">
        <f t="shared" si="21"/>
        <v>0.1895536543143396</v>
      </c>
      <c r="AI10">
        <f t="shared" si="22"/>
        <v>0.22094174145759743</v>
      </c>
      <c r="AJ10">
        <f t="shared" si="23"/>
        <v>0.25260301138987579</v>
      </c>
      <c r="AK10">
        <f t="shared" si="24"/>
        <v>0.57209878012749971</v>
      </c>
      <c r="AL10">
        <f t="shared" si="25"/>
        <v>0.88310233648812408</v>
      </c>
      <c r="AM10">
        <f t="shared" si="26"/>
        <v>1.1800840446744412</v>
      </c>
      <c r="AN10">
        <f t="shared" si="27"/>
        <v>1.4621903371980651</v>
      </c>
      <c r="AP10">
        <v>85</v>
      </c>
      <c r="AR10">
        <f t="shared" si="28"/>
        <v>1.498171510428129E-8</v>
      </c>
      <c r="AS10">
        <f t="shared" si="29"/>
        <v>3.0362011070892119E-5</v>
      </c>
      <c r="AT10">
        <f t="shared" si="30"/>
        <v>4.9117640802576266E-4</v>
      </c>
      <c r="AU10">
        <f t="shared" si="31"/>
        <v>2.2206863454671427E-3</v>
      </c>
      <c r="AV10">
        <f t="shared" si="32"/>
        <v>5.8793072579454864E-3</v>
      </c>
      <c r="AW10">
        <f t="shared" si="33"/>
        <v>1.1766528591399655E-2</v>
      </c>
      <c r="AX10">
        <f t="shared" si="34"/>
        <v>1.9932210842367931E-2</v>
      </c>
      <c r="AY10">
        <f t="shared" si="35"/>
        <v>3.0294875417979789E-2</v>
      </c>
      <c r="AZ10">
        <f t="shared" si="36"/>
        <v>4.2714832976975065E-2</v>
      </c>
      <c r="BA10">
        <f t="shared" si="37"/>
        <v>5.7033185664748597E-2</v>
      </c>
      <c r="BB10">
        <f t="shared" si="38"/>
        <v>0.27526263359416991</v>
      </c>
      <c r="BC10">
        <f t="shared" si="39"/>
        <v>0.57408661084024171</v>
      </c>
      <c r="BD10">
        <f t="shared" si="40"/>
        <v>0.91485721832214872</v>
      </c>
      <c r="BE10">
        <f t="shared" si="41"/>
        <v>1.2807174822131724</v>
      </c>
    </row>
    <row r="11" spans="2:57" x14ac:dyDescent="0.3">
      <c r="B11" t="s">
        <v>29</v>
      </c>
      <c r="D11">
        <v>0</v>
      </c>
      <c r="G11">
        <v>90</v>
      </c>
      <c r="I11">
        <f t="shared" si="0"/>
        <v>4.6266505291057552E-3</v>
      </c>
      <c r="J11">
        <f t="shared" si="1"/>
        <v>2.2955278113909659E-2</v>
      </c>
      <c r="K11">
        <f t="shared" si="2"/>
        <v>4.8240469025865852E-2</v>
      </c>
      <c r="L11">
        <f t="shared" si="3"/>
        <v>7.714568152454411E-2</v>
      </c>
      <c r="M11">
        <f t="shared" si="4"/>
        <v>0.10825115598149131</v>
      </c>
      <c r="N11">
        <f t="shared" si="5"/>
        <v>0.14082638092999991</v>
      </c>
      <c r="O11">
        <f t="shared" si="6"/>
        <v>0.17444422479079946</v>
      </c>
      <c r="P11">
        <f t="shared" si="7"/>
        <v>0.2088321053401625</v>
      </c>
      <c r="Q11">
        <f t="shared" si="8"/>
        <v>0.24380474754909542</v>
      </c>
      <c r="R11">
        <f t="shared" si="9"/>
        <v>0.2792301046204449</v>
      </c>
      <c r="S11">
        <f t="shared" si="10"/>
        <v>0.64458771564347106</v>
      </c>
      <c r="T11">
        <f t="shared" si="11"/>
        <v>1.0131166738002781</v>
      </c>
      <c r="U11">
        <f t="shared" si="12"/>
        <v>1.3764368253482542</v>
      </c>
      <c r="V11">
        <f t="shared" si="13"/>
        <v>1.7319351169097623</v>
      </c>
      <c r="Y11">
        <v>90</v>
      </c>
      <c r="AA11">
        <f t="shared" si="14"/>
        <v>1.2546393350198692E-2</v>
      </c>
      <c r="AB11">
        <f t="shared" si="15"/>
        <v>4.015156999077784E-2</v>
      </c>
      <c r="AC11">
        <f t="shared" si="16"/>
        <v>7.1895756392573701E-2</v>
      </c>
      <c r="AD11">
        <f t="shared" si="17"/>
        <v>0.10543607299579148</v>
      </c>
      <c r="AE11">
        <f t="shared" si="18"/>
        <v>0.13991727530535455</v>
      </c>
      <c r="AF11">
        <f t="shared" si="19"/>
        <v>0.1749273970506767</v>
      </c>
      <c r="AG11">
        <f t="shared" si="20"/>
        <v>0.21023581921994061</v>
      </c>
      <c r="AH11">
        <f t="shared" si="21"/>
        <v>0.24570063770440545</v>
      </c>
      <c r="AI11">
        <f t="shared" si="22"/>
        <v>0.28122869505264242</v>
      </c>
      <c r="AJ11">
        <f t="shared" si="23"/>
        <v>0.31675590666078812</v>
      </c>
      <c r="AK11">
        <f t="shared" si="24"/>
        <v>0.66591346159028808</v>
      </c>
      <c r="AL11">
        <f t="shared" si="25"/>
        <v>0.99800015811264575</v>
      </c>
      <c r="AM11">
        <f t="shared" si="26"/>
        <v>1.3116465975777294</v>
      </c>
      <c r="AN11">
        <f t="shared" si="27"/>
        <v>1.6075618888968966</v>
      </c>
      <c r="AP11">
        <v>90</v>
      </c>
      <c r="AR11">
        <f t="shared" si="28"/>
        <v>4.5615435801455798E-5</v>
      </c>
      <c r="AS11">
        <f t="shared" si="29"/>
        <v>1.957894332731875E-3</v>
      </c>
      <c r="AT11">
        <f t="shared" si="30"/>
        <v>8.6635170446754065E-3</v>
      </c>
      <c r="AU11">
        <f t="shared" si="31"/>
        <v>2.0358699772475959E-2</v>
      </c>
      <c r="AV11">
        <f t="shared" si="32"/>
        <v>3.6258596069978881E-2</v>
      </c>
      <c r="AW11">
        <f t="shared" si="33"/>
        <v>5.5569135148285986E-2</v>
      </c>
      <c r="AX11">
        <f t="shared" si="34"/>
        <v>7.7653949825830557E-2</v>
      </c>
      <c r="AY11">
        <f t="shared" si="35"/>
        <v>0.10202507574836325</v>
      </c>
      <c r="AZ11">
        <f t="shared" si="36"/>
        <v>0.12830859013377557</v>
      </c>
      <c r="BA11">
        <f t="shared" si="37"/>
        <v>0.15621450219614411</v>
      </c>
      <c r="BB11">
        <f t="shared" si="38"/>
        <v>0.49021713340295131</v>
      </c>
      <c r="BC11">
        <f t="shared" si="39"/>
        <v>0.87613987301824248</v>
      </c>
      <c r="BD11">
        <f t="shared" si="40"/>
        <v>1.2865415020805311</v>
      </c>
      <c r="BE11">
        <f t="shared" si="41"/>
        <v>1.7105684720072716</v>
      </c>
    </row>
    <row r="12" spans="2:57" x14ac:dyDescent="0.3">
      <c r="G12">
        <v>95</v>
      </c>
      <c r="I12">
        <f t="shared" si="0"/>
        <v>2.0396276517295933E-2</v>
      </c>
      <c r="J12">
        <f t="shared" si="1"/>
        <v>5.5018256030450026E-2</v>
      </c>
      <c r="K12">
        <f t="shared" si="2"/>
        <v>9.274491325250403E-2</v>
      </c>
      <c r="L12">
        <f t="shared" si="3"/>
        <v>0.13187458778736869</v>
      </c>
      <c r="M12">
        <f t="shared" si="4"/>
        <v>0.1717865664850281</v>
      </c>
      <c r="N12">
        <f t="shared" si="5"/>
        <v>0.21217661617090136</v>
      </c>
      <c r="O12">
        <f t="shared" si="6"/>
        <v>0.25287075576346896</v>
      </c>
      <c r="P12">
        <f t="shared" si="7"/>
        <v>0.29375944234947271</v>
      </c>
      <c r="Q12">
        <f t="shared" si="8"/>
        <v>0.33476899762460488</v>
      </c>
      <c r="R12">
        <f t="shared" si="9"/>
        <v>0.37584742260070186</v>
      </c>
      <c r="S12">
        <f t="shared" si="10"/>
        <v>0.78513403617493838</v>
      </c>
      <c r="T12">
        <f t="shared" si="11"/>
        <v>1.1855867137549208</v>
      </c>
      <c r="U12">
        <f t="shared" si="12"/>
        <v>1.5746664906933414</v>
      </c>
      <c r="V12">
        <f t="shared" si="13"/>
        <v>1.9519550649892421</v>
      </c>
      <c r="Y12">
        <v>95</v>
      </c>
      <c r="AA12">
        <f t="shared" si="14"/>
        <v>2.8149490988691562E-2</v>
      </c>
      <c r="AB12">
        <f t="shared" si="15"/>
        <v>6.6260425961542996E-2</v>
      </c>
      <c r="AC12">
        <f t="shared" si="16"/>
        <v>0.10571300384455705</v>
      </c>
      <c r="AD12">
        <f t="shared" si="17"/>
        <v>0.14556689094577391</v>
      </c>
      <c r="AE12">
        <f t="shared" si="18"/>
        <v>0.18549891582551309</v>
      </c>
      <c r="AF12">
        <f t="shared" si="19"/>
        <v>0.22536096616038254</v>
      </c>
      <c r="AG12">
        <f t="shared" si="20"/>
        <v>0.26507480350440915</v>
      </c>
      <c r="AH12">
        <f t="shared" si="21"/>
        <v>0.30459559705270878</v>
      </c>
      <c r="AI12">
        <f t="shared" si="22"/>
        <v>0.34389641378661545</v>
      </c>
      <c r="AJ12">
        <f t="shared" si="23"/>
        <v>0.38296069087442108</v>
      </c>
      <c r="AK12">
        <f t="shared" si="24"/>
        <v>0.75961631172955657</v>
      </c>
      <c r="AL12">
        <f t="shared" si="25"/>
        <v>1.1115151807553352</v>
      </c>
      <c r="AM12">
        <f t="shared" si="26"/>
        <v>1.4409177804367721</v>
      </c>
      <c r="AN12">
        <f t="shared" si="27"/>
        <v>1.7499340189075157</v>
      </c>
      <c r="AP12">
        <v>95</v>
      </c>
      <c r="AR12">
        <f t="shared" si="28"/>
        <v>5.4058155808872667E-3</v>
      </c>
      <c r="AS12">
        <f t="shared" si="29"/>
        <v>2.6024085650062811E-2</v>
      </c>
      <c r="AT12">
        <f t="shared" si="30"/>
        <v>5.4331597927515303E-2</v>
      </c>
      <c r="AU12">
        <f t="shared" si="31"/>
        <v>8.6801463209930207E-2</v>
      </c>
      <c r="AV12">
        <f t="shared" si="32"/>
        <v>0.12193085930105975</v>
      </c>
      <c r="AW12">
        <f t="shared" si="33"/>
        <v>0.15893745368596146</v>
      </c>
      <c r="AX12">
        <f t="shared" si="34"/>
        <v>0.19735680124144059</v>
      </c>
      <c r="AY12">
        <f t="shared" si="35"/>
        <v>0.23688743774384435</v>
      </c>
      <c r="AZ12">
        <f t="shared" si="36"/>
        <v>0.2773207335829711</v>
      </c>
      <c r="BA12">
        <f t="shared" si="37"/>
        <v>0.31850518608360617</v>
      </c>
      <c r="BB12">
        <f t="shared" si="38"/>
        <v>0.7550431564617397</v>
      </c>
      <c r="BC12">
        <f t="shared" si="39"/>
        <v>1.2140668920003028</v>
      </c>
      <c r="BD12">
        <f t="shared" si="40"/>
        <v>1.6826600318585683</v>
      </c>
      <c r="BE12">
        <f t="shared" si="41"/>
        <v>2.1554734091941636</v>
      </c>
    </row>
    <row r="13" spans="2:57" x14ac:dyDescent="0.3">
      <c r="G13">
        <v>100</v>
      </c>
      <c r="I13">
        <f t="shared" si="0"/>
        <v>4.9319898584384125E-2</v>
      </c>
      <c r="J13">
        <f t="shared" si="1"/>
        <v>9.8019788801767246E-2</v>
      </c>
      <c r="K13">
        <f t="shared" si="2"/>
        <v>0.14628325566737618</v>
      </c>
      <c r="L13">
        <f t="shared" si="3"/>
        <v>0.19417631512966549</v>
      </c>
      <c r="M13">
        <f t="shared" si="4"/>
        <v>0.24173738548666898</v>
      </c>
      <c r="N13">
        <f t="shared" si="5"/>
        <v>0.28899256857821798</v>
      </c>
      <c r="O13">
        <f t="shared" si="6"/>
        <v>0.33596116095735584</v>
      </c>
      <c r="P13">
        <f t="shared" si="7"/>
        <v>0.38265821976803815</v>
      </c>
      <c r="Q13">
        <f t="shared" si="8"/>
        <v>0.42909594584950783</v>
      </c>
      <c r="R13">
        <f t="shared" si="9"/>
        <v>0.47528450546914641</v>
      </c>
      <c r="S13">
        <f t="shared" si="10"/>
        <v>0.92494293545844164</v>
      </c>
      <c r="T13">
        <f t="shared" si="11"/>
        <v>1.3552089139551935</v>
      </c>
      <c r="U13">
        <f t="shared" si="12"/>
        <v>1.7685142165444596</v>
      </c>
      <c r="V13">
        <f t="shared" si="13"/>
        <v>2.1663757703673947</v>
      </c>
      <c r="Y13">
        <v>100</v>
      </c>
      <c r="AA13">
        <f t="shared" si="14"/>
        <v>4.8480002263733495E-2</v>
      </c>
      <c r="AB13">
        <f t="shared" si="15"/>
        <v>9.5647445393394939E-2</v>
      </c>
      <c r="AC13">
        <f t="shared" si="16"/>
        <v>0.14193093045907348</v>
      </c>
      <c r="AD13">
        <f t="shared" si="17"/>
        <v>0.18748461687370585</v>
      </c>
      <c r="AE13">
        <f t="shared" si="18"/>
        <v>0.23239821537606056</v>
      </c>
      <c r="AF13">
        <f t="shared" si="19"/>
        <v>0.2767326641821381</v>
      </c>
      <c r="AG13">
        <f t="shared" si="20"/>
        <v>0.32053299834482402</v>
      </c>
      <c r="AH13">
        <f t="shared" si="21"/>
        <v>0.3638343426492136</v>
      </c>
      <c r="AI13">
        <f t="shared" si="22"/>
        <v>0.40666514264759984</v>
      </c>
      <c r="AJ13">
        <f t="shared" si="23"/>
        <v>0.44904908466519983</v>
      </c>
      <c r="AK13">
        <f t="shared" si="24"/>
        <v>0.85174423276303957</v>
      </c>
      <c r="AL13">
        <f t="shared" si="25"/>
        <v>1.2225575387364285</v>
      </c>
      <c r="AM13">
        <f t="shared" si="26"/>
        <v>1.5670525263856452</v>
      </c>
      <c r="AN13">
        <f t="shared" si="27"/>
        <v>1.8886403749573633</v>
      </c>
      <c r="AP13">
        <v>100</v>
      </c>
      <c r="AR13">
        <f t="shared" si="28"/>
        <v>5.0580151398953388E-2</v>
      </c>
      <c r="AS13">
        <f t="shared" si="29"/>
        <v>0.10158061093169939</v>
      </c>
      <c r="AT13">
        <f t="shared" si="30"/>
        <v>0.15281809298363572</v>
      </c>
      <c r="AU13">
        <f t="shared" si="31"/>
        <v>0.20422688060793115</v>
      </c>
      <c r="AV13">
        <f t="shared" si="32"/>
        <v>0.25576885410967215</v>
      </c>
      <c r="AW13">
        <f t="shared" si="33"/>
        <v>0.30741820985414314</v>
      </c>
      <c r="AX13">
        <f t="shared" si="34"/>
        <v>0.35915594909590859</v>
      </c>
      <c r="AY13">
        <f t="shared" si="35"/>
        <v>0.41096731210161047</v>
      </c>
      <c r="AZ13">
        <f t="shared" si="36"/>
        <v>0.46284039504608737</v>
      </c>
      <c r="BA13">
        <f t="shared" si="37"/>
        <v>0.51476532828002164</v>
      </c>
      <c r="BB13">
        <f t="shared" si="38"/>
        <v>1.0354544111550688</v>
      </c>
      <c r="BC13">
        <f t="shared" si="39"/>
        <v>1.5561276866903309</v>
      </c>
      <c r="BD13">
        <f t="shared" si="40"/>
        <v>2.0746435400648329</v>
      </c>
      <c r="BE13">
        <f t="shared" si="41"/>
        <v>2.5897713521361756</v>
      </c>
    </row>
    <row r="14" spans="2:57" x14ac:dyDescent="0.3">
      <c r="G14">
        <v>105</v>
      </c>
      <c r="I14">
        <f t="shared" si="0"/>
        <v>7.7428944428213187E-2</v>
      </c>
      <c r="J14">
        <f t="shared" si="1"/>
        <v>0.13963207315360487</v>
      </c>
      <c r="K14">
        <f t="shared" si="2"/>
        <v>0.19801355879149482</v>
      </c>
      <c r="L14">
        <f t="shared" si="3"/>
        <v>0.25432746553601698</v>
      </c>
      <c r="M14">
        <f t="shared" si="4"/>
        <v>0.30924184743469108</v>
      </c>
      <c r="N14">
        <f t="shared" si="5"/>
        <v>0.36309866980005234</v>
      </c>
      <c r="O14">
        <f t="shared" si="6"/>
        <v>0.41610220083116067</v>
      </c>
      <c r="P14">
        <f t="shared" si="7"/>
        <v>0.46838682825452477</v>
      </c>
      <c r="Q14">
        <f t="shared" si="8"/>
        <v>0.5200470479945416</v>
      </c>
      <c r="R14">
        <f t="shared" si="9"/>
        <v>0.5711526257442161</v>
      </c>
      <c r="S14">
        <f t="shared" si="10"/>
        <v>1.0596687970369523</v>
      </c>
      <c r="T14">
        <f t="shared" si="11"/>
        <v>1.5186376940705391</v>
      </c>
      <c r="U14">
        <f t="shared" si="12"/>
        <v>1.9552688246325389</v>
      </c>
      <c r="V14">
        <f t="shared" si="13"/>
        <v>2.3729405021947212</v>
      </c>
      <c r="Y14">
        <v>105</v>
      </c>
      <c r="AA14">
        <f t="shared" si="14"/>
        <v>6.8277831133797179E-2</v>
      </c>
      <c r="AB14">
        <f t="shared" si="15"/>
        <v>0.12420817808937204</v>
      </c>
      <c r="AC14">
        <f t="shared" si="16"/>
        <v>0.17710675985594912</v>
      </c>
      <c r="AD14">
        <f t="shared" si="17"/>
        <v>0.22818237236294167</v>
      </c>
      <c r="AE14">
        <f t="shared" si="18"/>
        <v>0.27792320019220718</v>
      </c>
      <c r="AF14">
        <f t="shared" si="19"/>
        <v>0.32659213280179167</v>
      </c>
      <c r="AG14">
        <f t="shared" si="20"/>
        <v>0.37435336997194235</v>
      </c>
      <c r="AH14">
        <f t="shared" si="21"/>
        <v>0.42131936325461394</v>
      </c>
      <c r="AI14">
        <f t="shared" si="22"/>
        <v>0.46757213487895111</v>
      </c>
      <c r="AJ14">
        <f t="shared" si="23"/>
        <v>0.51317432142978925</v>
      </c>
      <c r="AK14">
        <f t="shared" si="24"/>
        <v>0.941116891312198</v>
      </c>
      <c r="AL14">
        <f t="shared" si="25"/>
        <v>1.3302714694210862</v>
      </c>
      <c r="AM14">
        <f t="shared" si="26"/>
        <v>1.6894022005404263</v>
      </c>
      <c r="AN14">
        <f t="shared" si="27"/>
        <v>2.0231815965757343</v>
      </c>
      <c r="AP14">
        <v>105</v>
      </c>
      <c r="AR14">
        <f t="shared" si="28"/>
        <v>9.3952533892679782E-2</v>
      </c>
      <c r="AS14">
        <f t="shared" si="29"/>
        <v>0.17309729794666578</v>
      </c>
      <c r="AT14">
        <f t="shared" si="30"/>
        <v>0.24548285319545801</v>
      </c>
      <c r="AU14">
        <f t="shared" si="31"/>
        <v>0.31435240865969416</v>
      </c>
      <c r="AV14">
        <f t="shared" si="32"/>
        <v>0.38103111573428783</v>
      </c>
      <c r="AW14">
        <f t="shared" si="33"/>
        <v>0.4461911627338217</v>
      </c>
      <c r="AX14">
        <f t="shared" si="34"/>
        <v>0.51022305279995162</v>
      </c>
      <c r="AY14">
        <f t="shared" si="35"/>
        <v>0.57337518442883206</v>
      </c>
      <c r="AZ14">
        <f t="shared" si="36"/>
        <v>0.63581611101087554</v>
      </c>
      <c r="BA14">
        <f t="shared" si="37"/>
        <v>0.69766586400827935</v>
      </c>
      <c r="BB14">
        <f t="shared" si="38"/>
        <v>1.296192395779916</v>
      </c>
      <c r="BC14">
        <f t="shared" si="39"/>
        <v>1.8739472983683121</v>
      </c>
      <c r="BD14">
        <f t="shared" si="40"/>
        <v>2.4387078999118197</v>
      </c>
      <c r="BE14">
        <f t="shared" si="41"/>
        <v>2.9930428387344614</v>
      </c>
    </row>
    <row r="15" spans="2:57" x14ac:dyDescent="0.3">
      <c r="G15">
        <v>110</v>
      </c>
      <c r="I15">
        <f t="shared" si="0"/>
        <v>9.3111062933054919E-2</v>
      </c>
      <c r="J15">
        <f t="shared" si="1"/>
        <v>0.16997597069863821</v>
      </c>
      <c r="K15">
        <f t="shared" si="2"/>
        <v>0.23936909463006026</v>
      </c>
      <c r="L15">
        <f t="shared" si="3"/>
        <v>0.30470390561626748</v>
      </c>
      <c r="M15">
        <f t="shared" si="4"/>
        <v>0.36738595144398112</v>
      </c>
      <c r="N15">
        <f t="shared" si="5"/>
        <v>0.42813919395874578</v>
      </c>
      <c r="O15">
        <f t="shared" si="6"/>
        <v>0.48739182226438388</v>
      </c>
      <c r="P15">
        <f t="shared" si="7"/>
        <v>0.54542150099630149</v>
      </c>
      <c r="Q15">
        <f t="shared" si="8"/>
        <v>0.60242046033683738</v>
      </c>
      <c r="R15">
        <f t="shared" si="9"/>
        <v>0.65852844532273402</v>
      </c>
      <c r="S15">
        <f t="shared" si="10"/>
        <v>1.1860034685036835</v>
      </c>
      <c r="T15">
        <f t="shared" si="11"/>
        <v>1.6733520389609637</v>
      </c>
      <c r="U15">
        <f t="shared" si="12"/>
        <v>2.1329088821197066</v>
      </c>
      <c r="V15">
        <f t="shared" si="13"/>
        <v>2.5699862244155023</v>
      </c>
      <c r="Y15">
        <v>110</v>
      </c>
      <c r="AA15">
        <f t="shared" si="14"/>
        <v>8.3258594130054389E-2</v>
      </c>
      <c r="AB15">
        <f t="shared" si="15"/>
        <v>0.14866303408782128</v>
      </c>
      <c r="AC15">
        <f t="shared" si="16"/>
        <v>0.20850986007567904</v>
      </c>
      <c r="AD15">
        <f t="shared" si="17"/>
        <v>0.26528546066729886</v>
      </c>
      <c r="AE15">
        <f t="shared" si="18"/>
        <v>0.31995430199928421</v>
      </c>
      <c r="AF15">
        <f t="shared" si="19"/>
        <v>0.37301467373776581</v>
      </c>
      <c r="AG15">
        <f t="shared" si="20"/>
        <v>0.42476670407640099</v>
      </c>
      <c r="AH15">
        <f t="shared" si="21"/>
        <v>0.47540950801739912</v>
      </c>
      <c r="AI15">
        <f t="shared" si="22"/>
        <v>0.52508429600813011</v>
      </c>
      <c r="AJ15">
        <f t="shared" si="23"/>
        <v>0.57389622642331117</v>
      </c>
      <c r="AK15">
        <f t="shared" si="24"/>
        <v>1.0268276202708793</v>
      </c>
      <c r="AL15">
        <f t="shared" si="25"/>
        <v>1.4340106592521729</v>
      </c>
      <c r="AM15">
        <f t="shared" si="26"/>
        <v>1.8074871324670514</v>
      </c>
      <c r="AN15">
        <f t="shared" si="27"/>
        <v>2.1531984323949449</v>
      </c>
      <c r="AP15">
        <v>110</v>
      </c>
      <c r="AR15">
        <f t="shared" si="28"/>
        <v>9.9777807903598914E-2</v>
      </c>
      <c r="AS15">
        <f t="shared" si="29"/>
        <v>0.19647918755775001</v>
      </c>
      <c r="AT15">
        <f t="shared" si="30"/>
        <v>0.28756443180563218</v>
      </c>
      <c r="AU15">
        <f t="shared" si="31"/>
        <v>0.37372216345157355</v>
      </c>
      <c r="AV15">
        <f t="shared" si="32"/>
        <v>0.45606650497595846</v>
      </c>
      <c r="AW15">
        <f t="shared" si="33"/>
        <v>0.53546438342331992</v>
      </c>
      <c r="AX15">
        <f t="shared" si="34"/>
        <v>0.61253729163278892</v>
      </c>
      <c r="AY15">
        <f t="shared" si="35"/>
        <v>0.68773188516542405</v>
      </c>
      <c r="AZ15">
        <f t="shared" si="36"/>
        <v>0.76137581768653784</v>
      </c>
      <c r="BA15">
        <f t="shared" si="37"/>
        <v>0.83371514981554562</v>
      </c>
      <c r="BB15">
        <f t="shared" si="38"/>
        <v>1.5129562033151718</v>
      </c>
      <c r="BC15">
        <f t="shared" si="39"/>
        <v>2.1482672152563937</v>
      </c>
      <c r="BD15">
        <f t="shared" si="40"/>
        <v>2.7589205627569036</v>
      </c>
      <c r="BE15">
        <f t="shared" si="41"/>
        <v>3.3517828422688227</v>
      </c>
    </row>
    <row r="16" spans="2:57" x14ac:dyDescent="0.3">
      <c r="G16">
        <v>115</v>
      </c>
      <c r="I16">
        <f t="shared" si="0"/>
        <v>9.8489758625579293E-2</v>
      </c>
      <c r="J16">
        <f t="shared" si="1"/>
        <v>0.18727453260072854</v>
      </c>
      <c r="K16">
        <f t="shared" si="2"/>
        <v>0.2674171475353192</v>
      </c>
      <c r="L16">
        <f t="shared" si="3"/>
        <v>0.34200126589648211</v>
      </c>
      <c r="M16">
        <f t="shared" si="4"/>
        <v>0.41277215823472962</v>
      </c>
      <c r="N16">
        <f t="shared" si="5"/>
        <v>0.4807365212174417</v>
      </c>
      <c r="O16">
        <f t="shared" si="6"/>
        <v>0.54652113577166295</v>
      </c>
      <c r="P16">
        <f t="shared" si="7"/>
        <v>0.61054291488019352</v>
      </c>
      <c r="Q16">
        <f t="shared" si="8"/>
        <v>0.67309416261096167</v>
      </c>
      <c r="R16">
        <f t="shared" si="9"/>
        <v>0.73438858241015237</v>
      </c>
      <c r="S16">
        <f t="shared" si="10"/>
        <v>1.301716483822899</v>
      </c>
      <c r="T16">
        <f t="shared" si="11"/>
        <v>1.8176154213669029</v>
      </c>
      <c r="U16">
        <f t="shared" si="12"/>
        <v>2.3000383938445146</v>
      </c>
      <c r="V16">
        <f t="shared" si="13"/>
        <v>2.7563718801831256</v>
      </c>
      <c r="Y16">
        <v>115</v>
      </c>
      <c r="AA16">
        <f t="shared" si="14"/>
        <v>9.2362125771932119E-2</v>
      </c>
      <c r="AB16">
        <f t="shared" si="15"/>
        <v>0.16742535793708613</v>
      </c>
      <c r="AC16">
        <f t="shared" si="16"/>
        <v>0.23457335932437789</v>
      </c>
      <c r="AD16">
        <f t="shared" si="17"/>
        <v>0.29731963677583234</v>
      </c>
      <c r="AE16">
        <f t="shared" si="18"/>
        <v>0.35711501203565793</v>
      </c>
      <c r="AF16">
        <f t="shared" si="19"/>
        <v>0.41471363169847436</v>
      </c>
      <c r="AG16">
        <f t="shared" si="20"/>
        <v>0.47056644807114706</v>
      </c>
      <c r="AH16">
        <f t="shared" si="21"/>
        <v>0.52496929542260928</v>
      </c>
      <c r="AI16">
        <f t="shared" si="22"/>
        <v>0.57812941191026346</v>
      </c>
      <c r="AJ16">
        <f t="shared" si="23"/>
        <v>0.6301992394484307</v>
      </c>
      <c r="AK16">
        <f t="shared" si="24"/>
        <v>1.1082201926386068</v>
      </c>
      <c r="AL16">
        <f t="shared" si="25"/>
        <v>1.5333110283875411</v>
      </c>
      <c r="AM16">
        <f t="shared" si="26"/>
        <v>1.9209705624827618</v>
      </c>
      <c r="AN16">
        <f t="shared" si="27"/>
        <v>2.2784478679255176</v>
      </c>
      <c r="AP16">
        <v>115</v>
      </c>
      <c r="AR16">
        <f t="shared" si="28"/>
        <v>9.9899591088745576E-2</v>
      </c>
      <c r="AS16">
        <f t="shared" si="29"/>
        <v>0.19943607403579602</v>
      </c>
      <c r="AT16">
        <f t="shared" si="30"/>
        <v>0.29761983540617443</v>
      </c>
      <c r="AU16">
        <f t="shared" si="31"/>
        <v>0.39342380536091404</v>
      </c>
      <c r="AV16">
        <f t="shared" si="32"/>
        <v>0.48650344681152441</v>
      </c>
      <c r="AW16">
        <f t="shared" si="33"/>
        <v>0.5769314379272884</v>
      </c>
      <c r="AX16">
        <f t="shared" si="34"/>
        <v>0.66493513401483262</v>
      </c>
      <c r="AY16">
        <f t="shared" si="35"/>
        <v>0.75077492898362264</v>
      </c>
      <c r="AZ16">
        <f t="shared" si="36"/>
        <v>0.83469784716418216</v>
      </c>
      <c r="BA16">
        <f t="shared" si="37"/>
        <v>0.91692301259484654</v>
      </c>
      <c r="BB16">
        <f t="shared" si="38"/>
        <v>1.6765216924491808</v>
      </c>
      <c r="BC16">
        <f t="shared" si="39"/>
        <v>2.3704399931886559</v>
      </c>
      <c r="BD16">
        <f t="shared" si="40"/>
        <v>3.0276382235568668</v>
      </c>
      <c r="BE16">
        <f t="shared" si="41"/>
        <v>3.6593296824907293</v>
      </c>
    </row>
    <row r="17" spans="7:57" x14ac:dyDescent="0.3">
      <c r="G17">
        <v>120</v>
      </c>
      <c r="I17">
        <f t="shared" si="0"/>
        <v>9.9693029945287864E-2</v>
      </c>
      <c r="J17">
        <f t="shared" si="1"/>
        <v>0.19522974084010128</v>
      </c>
      <c r="K17">
        <f t="shared" si="2"/>
        <v>0.28390164223017772</v>
      </c>
      <c r="L17">
        <f t="shared" si="3"/>
        <v>0.36680746478076992</v>
      </c>
      <c r="M17">
        <f t="shared" si="4"/>
        <v>0.44529407145839939</v>
      </c>
      <c r="N17">
        <f t="shared" si="5"/>
        <v>0.52035124616342832</v>
      </c>
      <c r="O17">
        <f t="shared" si="6"/>
        <v>0.59267237553388952</v>
      </c>
      <c r="P17">
        <f t="shared" si="7"/>
        <v>0.66275083755870512</v>
      </c>
      <c r="Q17">
        <f t="shared" si="8"/>
        <v>0.73094735333031413</v>
      </c>
      <c r="R17">
        <f t="shared" si="9"/>
        <v>0.79753296736124069</v>
      </c>
      <c r="S17">
        <f t="shared" si="10"/>
        <v>1.4055657274099254</v>
      </c>
      <c r="T17">
        <f t="shared" si="11"/>
        <v>1.9503860096125631</v>
      </c>
      <c r="U17">
        <f t="shared" si="12"/>
        <v>2.4558019526519712</v>
      </c>
      <c r="V17">
        <f t="shared" si="13"/>
        <v>2.9313996071778941</v>
      </c>
      <c r="Y17">
        <v>120</v>
      </c>
      <c r="AA17">
        <f t="shared" si="14"/>
        <v>9.6931155243772646E-2</v>
      </c>
      <c r="AB17">
        <f t="shared" si="15"/>
        <v>0.18050952682701799</v>
      </c>
      <c r="AC17">
        <f t="shared" si="16"/>
        <v>0.25487739366774992</v>
      </c>
      <c r="AD17">
        <f t="shared" si="17"/>
        <v>0.32370108870629927</v>
      </c>
      <c r="AE17">
        <f t="shared" si="18"/>
        <v>0.38875814895490307</v>
      </c>
      <c r="AF17">
        <f t="shared" si="19"/>
        <v>0.45102197776462982</v>
      </c>
      <c r="AG17">
        <f t="shared" si="20"/>
        <v>0.51108637489139319</v>
      </c>
      <c r="AH17">
        <f t="shared" si="21"/>
        <v>0.56934359886945329</v>
      </c>
      <c r="AI17">
        <f t="shared" si="22"/>
        <v>0.62606865589008986</v>
      </c>
      <c r="AJ17">
        <f t="shared" si="23"/>
        <v>0.68146336615181546</v>
      </c>
      <c r="AK17">
        <f t="shared" si="24"/>
        <v>1.1848579476912982</v>
      </c>
      <c r="AL17">
        <f t="shared" si="25"/>
        <v>1.6278634009613053</v>
      </c>
      <c r="AM17">
        <f t="shared" si="26"/>
        <v>2.0296348209289148</v>
      </c>
      <c r="AN17">
        <f t="shared" si="27"/>
        <v>2.3987823120714449</v>
      </c>
      <c r="AP17">
        <v>120</v>
      </c>
      <c r="AR17">
        <f t="shared" si="28"/>
        <v>9.9900049613135686E-2</v>
      </c>
      <c r="AS17">
        <f t="shared" si="29"/>
        <v>0.19959626211406123</v>
      </c>
      <c r="AT17">
        <f t="shared" si="30"/>
        <v>0.29898313191089132</v>
      </c>
      <c r="AU17">
        <f t="shared" si="31"/>
        <v>0.39769324894937874</v>
      </c>
      <c r="AV17">
        <f t="shared" si="32"/>
        <v>0.49527868282183346</v>
      </c>
      <c r="AW17">
        <f t="shared" si="33"/>
        <v>0.59142047882605842</v>
      </c>
      <c r="AX17">
        <f t="shared" si="34"/>
        <v>0.68595842929360373</v>
      </c>
      <c r="AY17">
        <f t="shared" si="35"/>
        <v>0.77884877360331073</v>
      </c>
      <c r="AZ17">
        <f t="shared" si="36"/>
        <v>0.87011875244291348</v>
      </c>
      <c r="BA17">
        <f t="shared" si="37"/>
        <v>0.95983419426964212</v>
      </c>
      <c r="BB17">
        <f t="shared" si="38"/>
        <v>1.7899842881670318</v>
      </c>
      <c r="BC17">
        <f t="shared" si="39"/>
        <v>2.5407168875355404</v>
      </c>
      <c r="BD17">
        <f t="shared" si="40"/>
        <v>3.2441523843363722</v>
      </c>
      <c r="BE17">
        <f t="shared" si="41"/>
        <v>3.914693905162963</v>
      </c>
    </row>
    <row r="18" spans="7:57" x14ac:dyDescent="0.3">
      <c r="G18">
        <v>125</v>
      </c>
      <c r="I18">
        <f t="shared" si="0"/>
        <v>9.9877868050641513E-2</v>
      </c>
      <c r="J18">
        <f t="shared" si="1"/>
        <v>0.19826121374631198</v>
      </c>
      <c r="K18">
        <f t="shared" si="2"/>
        <v>0.29245072006046918</v>
      </c>
      <c r="L18">
        <f t="shared" si="3"/>
        <v>0.3818320533555099</v>
      </c>
      <c r="M18">
        <f t="shared" si="4"/>
        <v>0.46692198548977831</v>
      </c>
      <c r="N18">
        <f t="shared" si="5"/>
        <v>0.54839430840815317</v>
      </c>
      <c r="O18">
        <f t="shared" si="6"/>
        <v>0.62683596450535606</v>
      </c>
      <c r="P18">
        <f t="shared" si="7"/>
        <v>0.70271704194040652</v>
      </c>
      <c r="Q18">
        <f t="shared" si="8"/>
        <v>0.776407581462356</v>
      </c>
      <c r="R18">
        <f t="shared" si="9"/>
        <v>0.84819982584634879</v>
      </c>
      <c r="S18">
        <f t="shared" si="10"/>
        <v>1.4971347861958171</v>
      </c>
      <c r="T18">
        <f t="shared" si="11"/>
        <v>2.071202520027601</v>
      </c>
      <c r="U18">
        <f t="shared" si="12"/>
        <v>2.5997927799092873</v>
      </c>
      <c r="V18">
        <f t="shared" si="13"/>
        <v>3.0947364560622197</v>
      </c>
      <c r="Y18">
        <v>125</v>
      </c>
      <c r="AA18">
        <f t="shared" si="14"/>
        <v>9.8871106655175345E-2</v>
      </c>
      <c r="AB18">
        <f t="shared" si="15"/>
        <v>0.1889046884123747</v>
      </c>
      <c r="AC18">
        <f t="shared" si="16"/>
        <v>0.26984500276398515</v>
      </c>
      <c r="AD18">
        <f t="shared" si="17"/>
        <v>0.34455132914714243</v>
      </c>
      <c r="AE18">
        <f t="shared" si="18"/>
        <v>0.41483583425713461</v>
      </c>
      <c r="AF18">
        <f t="shared" si="19"/>
        <v>0.48179196650195977</v>
      </c>
      <c r="AG18">
        <f t="shared" si="20"/>
        <v>0.54611808117523786</v>
      </c>
      <c r="AH18">
        <f t="shared" si="21"/>
        <v>0.6082867935844396</v>
      </c>
      <c r="AI18">
        <f t="shared" si="22"/>
        <v>0.66863385045386048</v>
      </c>
      <c r="AJ18">
        <f t="shared" si="23"/>
        <v>0.72740739426895162</v>
      </c>
      <c r="AK18">
        <f t="shared" si="24"/>
        <v>1.2564899717066402</v>
      </c>
      <c r="AL18">
        <f t="shared" si="25"/>
        <v>1.7174875805075749</v>
      </c>
      <c r="AM18">
        <f t="shared" si="26"/>
        <v>2.1333601067150982</v>
      </c>
      <c r="AN18">
        <f t="shared" si="27"/>
        <v>2.5141316989180638</v>
      </c>
      <c r="AP18">
        <v>125</v>
      </c>
      <c r="AR18">
        <f t="shared" si="28"/>
        <v>9.9900049983261366E-2</v>
      </c>
      <c r="AS18">
        <f t="shared" si="29"/>
        <v>0.19960034597449697</v>
      </c>
      <c r="AT18">
        <f t="shared" si="30"/>
        <v>0.29909520753459068</v>
      </c>
      <c r="AU18">
        <f t="shared" si="31"/>
        <v>0.39832927362661075</v>
      </c>
      <c r="AV18">
        <f t="shared" si="32"/>
        <v>0.49715365396356187</v>
      </c>
      <c r="AW18">
        <f t="shared" si="33"/>
        <v>0.59536529236320235</v>
      </c>
      <c r="AX18">
        <f t="shared" si="34"/>
        <v>0.69277091810376734</v>
      </c>
      <c r="AY18">
        <f t="shared" si="35"/>
        <v>0.78922100210084167</v>
      </c>
      <c r="AZ18">
        <f t="shared" si="36"/>
        <v>0.88461614166740554</v>
      </c>
      <c r="BA18">
        <f t="shared" si="37"/>
        <v>0.97890054170176688</v>
      </c>
      <c r="BB18">
        <f t="shared" si="38"/>
        <v>1.8631273632495482</v>
      </c>
      <c r="BC18">
        <f t="shared" si="39"/>
        <v>2.6651023114110521</v>
      </c>
      <c r="BD18">
        <f t="shared" si="40"/>
        <v>3.4125464232347826</v>
      </c>
      <c r="BE18">
        <f t="shared" si="41"/>
        <v>4.1209288129593835</v>
      </c>
    </row>
    <row r="19" spans="7:57" x14ac:dyDescent="0.3">
      <c r="G19">
        <v>130</v>
      </c>
      <c r="I19">
        <f t="shared" si="0"/>
        <v>9.989825783141762E-2</v>
      </c>
      <c r="J19">
        <f t="shared" si="1"/>
        <v>0.19924080062887661</v>
      </c>
      <c r="K19">
        <f t="shared" si="2"/>
        <v>0.29642425234579128</v>
      </c>
      <c r="L19">
        <f t="shared" si="3"/>
        <v>0.39021658405667159</v>
      </c>
      <c r="M19">
        <f t="shared" si="4"/>
        <v>0.4803961669575153</v>
      </c>
      <c r="N19">
        <f t="shared" si="5"/>
        <v>0.56719853041525747</v>
      </c>
      <c r="O19">
        <f t="shared" si="6"/>
        <v>0.65098182663181059</v>
      </c>
      <c r="P19">
        <f t="shared" si="7"/>
        <v>0.73210216289147134</v>
      </c>
      <c r="Q19">
        <f t="shared" si="8"/>
        <v>0.81087590504535045</v>
      </c>
      <c r="R19">
        <f t="shared" si="9"/>
        <v>0.88757319713568383</v>
      </c>
      <c r="S19">
        <f t="shared" si="10"/>
        <v>1.5766424137341921</v>
      </c>
      <c r="T19">
        <f t="shared" si="11"/>
        <v>2.1800640774968918</v>
      </c>
      <c r="U19">
        <f t="shared" si="12"/>
        <v>2.7319626305478524</v>
      </c>
      <c r="V19">
        <f t="shared" si="13"/>
        <v>3.2463412741759061</v>
      </c>
      <c r="Y19">
        <v>130</v>
      </c>
      <c r="AA19">
        <f t="shared" si="14"/>
        <v>9.9582415229851867E-2</v>
      </c>
      <c r="AB19">
        <f t="shared" si="15"/>
        <v>0.19391259558754664</v>
      </c>
      <c r="AC19">
        <f t="shared" si="16"/>
        <v>0.28035878249676893</v>
      </c>
      <c r="AD19">
        <f t="shared" si="17"/>
        <v>0.36044808482034152</v>
      </c>
      <c r="AE19">
        <f t="shared" si="18"/>
        <v>0.4357217606881495</v>
      </c>
      <c r="AF19">
        <f t="shared" si="19"/>
        <v>0.50725932380965366</v>
      </c>
      <c r="AG19">
        <f t="shared" si="20"/>
        <v>0.57580182729458596</v>
      </c>
      <c r="AH19">
        <f t="shared" si="21"/>
        <v>0.64187163619302945</v>
      </c>
      <c r="AI19">
        <f t="shared" si="22"/>
        <v>0.70584918287508258</v>
      </c>
      <c r="AJ19">
        <f t="shared" si="23"/>
        <v>0.76802012118301122</v>
      </c>
      <c r="AK19">
        <f t="shared" si="24"/>
        <v>1.3230175184925788</v>
      </c>
      <c r="AL19">
        <f t="shared" si="25"/>
        <v>1.80210868841131</v>
      </c>
      <c r="AM19">
        <f t="shared" si="26"/>
        <v>2.2321059443947862</v>
      </c>
      <c r="AN19">
        <f t="shared" si="27"/>
        <v>2.624488261615415</v>
      </c>
      <c r="AP19">
        <v>130</v>
      </c>
      <c r="AR19">
        <f t="shared" si="28"/>
        <v>9.9900049983337513E-2</v>
      </c>
      <c r="AS19">
        <f t="shared" si="29"/>
        <v>0.19960039934571283</v>
      </c>
      <c r="AT19">
        <f t="shared" si="30"/>
        <v>0.29910113123062104</v>
      </c>
      <c r="AU19">
        <f t="shared" si="31"/>
        <v>0.39839738796252955</v>
      </c>
      <c r="AV19">
        <f t="shared" si="32"/>
        <v>0.49746149929550426</v>
      </c>
      <c r="AW19">
        <f t="shared" si="33"/>
        <v>0.59622800656168429</v>
      </c>
      <c r="AX19">
        <f t="shared" si="34"/>
        <v>0.69460114005190687</v>
      </c>
      <c r="AY19">
        <f t="shared" si="35"/>
        <v>0.7924743967938036</v>
      </c>
      <c r="AZ19">
        <f t="shared" si="36"/>
        <v>0.88974743056024763</v>
      </c>
      <c r="BA19">
        <f t="shared" si="37"/>
        <v>0.98633554504316656</v>
      </c>
      <c r="BB19">
        <f t="shared" si="38"/>
        <v>1.9073528277688421</v>
      </c>
      <c r="BC19">
        <f t="shared" si="39"/>
        <v>2.7522371935526651</v>
      </c>
      <c r="BD19">
        <f t="shared" si="40"/>
        <v>3.5395433389541919</v>
      </c>
      <c r="BE19">
        <f t="shared" si="41"/>
        <v>4.2835141810001804</v>
      </c>
    </row>
    <row r="20" spans="7:57" x14ac:dyDescent="0.3">
      <c r="G20">
        <v>135</v>
      </c>
      <c r="I20">
        <f t="shared" si="0"/>
        <v>9.9899937425487084E-2</v>
      </c>
      <c r="J20">
        <f t="shared" si="1"/>
        <v>0.19951462891393384</v>
      </c>
      <c r="K20">
        <f t="shared" si="2"/>
        <v>0.29810172215636355</v>
      </c>
      <c r="L20">
        <f t="shared" si="3"/>
        <v>0.39457121776080656</v>
      </c>
      <c r="M20">
        <f t="shared" si="4"/>
        <v>0.4883235563423502</v>
      </c>
      <c r="N20">
        <f t="shared" si="5"/>
        <v>0.57922265459566469</v>
      </c>
      <c r="O20">
        <f t="shared" si="6"/>
        <v>0.66736921843921537</v>
      </c>
      <c r="P20">
        <f t="shared" si="7"/>
        <v>0.75295737423125908</v>
      </c>
      <c r="Q20">
        <f t="shared" si="8"/>
        <v>0.83620516746271689</v>
      </c>
      <c r="R20">
        <f t="shared" si="9"/>
        <v>0.91732436651684779</v>
      </c>
      <c r="S20">
        <f t="shared" si="10"/>
        <v>1.6447556479755494</v>
      </c>
      <c r="T20">
        <f t="shared" si="11"/>
        <v>2.2773160793645628</v>
      </c>
      <c r="U20">
        <f t="shared" si="12"/>
        <v>2.8525390074635313</v>
      </c>
      <c r="V20">
        <f t="shared" si="13"/>
        <v>3.3863992954318465</v>
      </c>
      <c r="Y20">
        <v>135</v>
      </c>
      <c r="AA20">
        <f t="shared" si="14"/>
        <v>9.98116842069902E-2</v>
      </c>
      <c r="AB20">
        <f t="shared" si="15"/>
        <v>0.1967148907920642</v>
      </c>
      <c r="AC20">
        <f t="shared" si="16"/>
        <v>0.28743809080910765</v>
      </c>
      <c r="AD20">
        <f t="shared" si="17"/>
        <v>0.37219240872194909</v>
      </c>
      <c r="AE20">
        <f t="shared" si="18"/>
        <v>0.45203642785625414</v>
      </c>
      <c r="AF20">
        <f t="shared" si="19"/>
        <v>0.5279063993891423</v>
      </c>
      <c r="AG20">
        <f t="shared" si="20"/>
        <v>0.6005154196414676</v>
      </c>
      <c r="AH20">
        <f t="shared" si="21"/>
        <v>0.67039633112636232</v>
      </c>
      <c r="AI20">
        <f t="shared" si="22"/>
        <v>0.73795159861052295</v>
      </c>
      <c r="AJ20">
        <f t="shared" si="23"/>
        <v>0.80349082627409651</v>
      </c>
      <c r="AK20">
        <f t="shared" si="24"/>
        <v>1.3844626580586128</v>
      </c>
      <c r="AL20">
        <f t="shared" si="25"/>
        <v>1.8817361687331504</v>
      </c>
      <c r="AM20">
        <f t="shared" si="26"/>
        <v>2.3258952257971575</v>
      </c>
      <c r="AN20">
        <f t="shared" si="27"/>
        <v>2.7298936926815593</v>
      </c>
      <c r="AP20">
        <v>135</v>
      </c>
      <c r="AR20">
        <f t="shared" si="28"/>
        <v>9.9900049983337513E-2</v>
      </c>
      <c r="AS20">
        <f t="shared" si="29"/>
        <v>0.19960039973180685</v>
      </c>
      <c r="AT20">
        <f t="shared" si="30"/>
        <v>0.29910134317755116</v>
      </c>
      <c r="AU20">
        <f t="shared" si="31"/>
        <v>0.3984028407573641</v>
      </c>
      <c r="AV20">
        <f t="shared" si="32"/>
        <v>0.49750157959169578</v>
      </c>
      <c r="AW20">
        <f t="shared" si="33"/>
        <v>0.59638360220830644</v>
      </c>
      <c r="AX20">
        <f t="shared" si="34"/>
        <v>0.69501813372831622</v>
      </c>
      <c r="AY20">
        <f t="shared" si="35"/>
        <v>0.79335812906789949</v>
      </c>
      <c r="AZ20">
        <f t="shared" si="36"/>
        <v>0.89134605998743832</v>
      </c>
      <c r="BA20">
        <f t="shared" si="37"/>
        <v>0.9889209507546447</v>
      </c>
      <c r="BB20">
        <f t="shared" si="38"/>
        <v>1.9326342865983208</v>
      </c>
      <c r="BC20">
        <f t="shared" si="39"/>
        <v>2.8110815254143624</v>
      </c>
      <c r="BD20">
        <f t="shared" si="40"/>
        <v>3.6327782720310542</v>
      </c>
      <c r="BE20">
        <f t="shared" si="41"/>
        <v>4.4090180057059323</v>
      </c>
    </row>
    <row r="21" spans="7:57" x14ac:dyDescent="0.3">
      <c r="G21">
        <v>140</v>
      </c>
      <c r="I21">
        <f t="shared" si="0"/>
        <v>9.9900044333117666E-2</v>
      </c>
      <c r="J21">
        <f t="shared" si="1"/>
        <v>0.19958199888181857</v>
      </c>
      <c r="K21">
        <f t="shared" si="2"/>
        <v>0.29875241343482661</v>
      </c>
      <c r="L21">
        <f t="shared" si="3"/>
        <v>0.39669441320637577</v>
      </c>
      <c r="M21">
        <f t="shared" si="4"/>
        <v>0.49275873716227719</v>
      </c>
      <c r="N21">
        <f t="shared" si="5"/>
        <v>0.58659707295076824</v>
      </c>
      <c r="O21">
        <f t="shared" si="6"/>
        <v>0.67810197543662665</v>
      </c>
      <c r="P21">
        <f t="shared" si="7"/>
        <v>0.76730661853179072</v>
      </c>
      <c r="Q21">
        <f t="shared" si="8"/>
        <v>0.85431448147951738</v>
      </c>
      <c r="R21">
        <f t="shared" si="9"/>
        <v>0.93925858365570525</v>
      </c>
      <c r="S21">
        <f t="shared" si="10"/>
        <v>1.7024252108865094</v>
      </c>
      <c r="T21">
        <f t="shared" si="11"/>
        <v>2.363548932826006</v>
      </c>
      <c r="U21">
        <f t="shared" si="12"/>
        <v>2.9619525249901475</v>
      </c>
      <c r="V21">
        <f t="shared" si="13"/>
        <v>3.5152655093388363</v>
      </c>
      <c r="Y21">
        <v>140</v>
      </c>
      <c r="AA21">
        <f t="shared" si="14"/>
        <v>9.9877653195750885E-2</v>
      </c>
      <c r="AB21">
        <f t="shared" si="15"/>
        <v>0.1981972645855174</v>
      </c>
      <c r="AC21">
        <f t="shared" si="16"/>
        <v>0.29203093523689749</v>
      </c>
      <c r="AD21">
        <f t="shared" si="17"/>
        <v>0.38063235204176132</v>
      </c>
      <c r="AE21">
        <f t="shared" si="18"/>
        <v>0.46450375839346553</v>
      </c>
      <c r="AF21">
        <f t="shared" si="19"/>
        <v>0.54434466906661749</v>
      </c>
      <c r="AG21">
        <f t="shared" si="20"/>
        <v>0.62077618313338978</v>
      </c>
      <c r="AH21">
        <f t="shared" si="21"/>
        <v>0.69430119356071596</v>
      </c>
      <c r="AI21">
        <f t="shared" si="22"/>
        <v>0.76531872393256073</v>
      </c>
      <c r="AJ21">
        <f t="shared" si="23"/>
        <v>0.83414598637936632</v>
      </c>
      <c r="AK21">
        <f t="shared" si="24"/>
        <v>1.4409402526215997</v>
      </c>
      <c r="AL21">
        <f t="shared" si="25"/>
        <v>1.9564455630771902</v>
      </c>
      <c r="AM21">
        <f t="shared" si="26"/>
        <v>2.4148006453738216</v>
      </c>
      <c r="AN21">
        <f t="shared" si="27"/>
        <v>2.8304283969966368</v>
      </c>
      <c r="AP21">
        <v>140</v>
      </c>
      <c r="AR21">
        <f t="shared" si="28"/>
        <v>9.9900049983337513E-2</v>
      </c>
      <c r="AS21">
        <f t="shared" si="29"/>
        <v>0.19960039973346216</v>
      </c>
      <c r="AT21">
        <f t="shared" si="30"/>
        <v>0.29910134854920661</v>
      </c>
      <c r="AU21">
        <f t="shared" si="31"/>
        <v>0.39840317838234113</v>
      </c>
      <c r="AV21">
        <f t="shared" si="32"/>
        <v>0.49750583249072633</v>
      </c>
      <c r="AW21">
        <f t="shared" si="33"/>
        <v>0.59640728082054484</v>
      </c>
      <c r="AX21">
        <f t="shared" si="34"/>
        <v>0.69510030433566872</v>
      </c>
      <c r="AY21">
        <f t="shared" si="35"/>
        <v>0.79356962372848683</v>
      </c>
      <c r="AZ21">
        <f t="shared" si="36"/>
        <v>0.89179120674511403</v>
      </c>
      <c r="BA21">
        <f t="shared" si="37"/>
        <v>0.98973377492216597</v>
      </c>
      <c r="BB21">
        <f t="shared" si="38"/>
        <v>1.9463918255910062</v>
      </c>
      <c r="BC21">
        <f t="shared" si="39"/>
        <v>2.8495648996149048</v>
      </c>
      <c r="BD21">
        <f t="shared" si="40"/>
        <v>3.6996343552554141</v>
      </c>
      <c r="BE21">
        <f t="shared" si="41"/>
        <v>4.5041312353967964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46D157-D4BE-4FC8-910E-976E385BCCA2}">
  <sheetPr codeName="Sheet5"/>
  <dimension ref="B1:BE21"/>
  <sheetViews>
    <sheetView workbookViewId="0">
      <selection activeCell="B2" sqref="B2:D11"/>
    </sheetView>
  </sheetViews>
  <sheetFormatPr defaultRowHeight="14.4" x14ac:dyDescent="0.3"/>
  <cols>
    <col min="9" max="12" width="12" bestFit="1" customWidth="1"/>
    <col min="44" max="44" width="12" bestFit="1" customWidth="1"/>
  </cols>
  <sheetData>
    <row r="1" spans="2:57" x14ac:dyDescent="0.3">
      <c r="Z1" t="s">
        <v>27</v>
      </c>
      <c r="AA1">
        <v>0.3</v>
      </c>
      <c r="AQ1" t="s">
        <v>27</v>
      </c>
      <c r="AR1">
        <v>0.1</v>
      </c>
    </row>
    <row r="2" spans="2:57" x14ac:dyDescent="0.3">
      <c r="B2" t="s">
        <v>40</v>
      </c>
    </row>
    <row r="3" spans="2:57" x14ac:dyDescent="0.3">
      <c r="H3" t="s">
        <v>31</v>
      </c>
      <c r="I3">
        <v>0.1</v>
      </c>
      <c r="J3">
        <v>0.2</v>
      </c>
      <c r="K3">
        <v>0.3</v>
      </c>
      <c r="L3">
        <v>0.4</v>
      </c>
      <c r="M3">
        <v>0.5</v>
      </c>
      <c r="N3">
        <v>0.6</v>
      </c>
      <c r="O3">
        <v>0.7</v>
      </c>
      <c r="P3">
        <v>0.8</v>
      </c>
      <c r="Q3">
        <v>0.9</v>
      </c>
      <c r="R3">
        <v>1</v>
      </c>
      <c r="S3">
        <v>2</v>
      </c>
      <c r="T3">
        <v>3</v>
      </c>
      <c r="U3">
        <v>4</v>
      </c>
      <c r="V3">
        <v>5</v>
      </c>
      <c r="Z3" t="s">
        <v>31</v>
      </c>
      <c r="AA3">
        <v>0.1</v>
      </c>
      <c r="AB3">
        <v>0.2</v>
      </c>
      <c r="AC3">
        <v>0.3</v>
      </c>
      <c r="AD3">
        <v>0.4</v>
      </c>
      <c r="AE3">
        <v>0.5</v>
      </c>
      <c r="AF3">
        <v>0.6</v>
      </c>
      <c r="AG3">
        <v>0.7</v>
      </c>
      <c r="AH3">
        <v>0.8</v>
      </c>
      <c r="AI3">
        <v>0.9</v>
      </c>
      <c r="AJ3">
        <v>1</v>
      </c>
      <c r="AK3">
        <v>2</v>
      </c>
      <c r="AL3">
        <v>3</v>
      </c>
      <c r="AM3">
        <v>4</v>
      </c>
      <c r="AN3">
        <v>5</v>
      </c>
      <c r="AQ3" t="s">
        <v>31</v>
      </c>
      <c r="AR3">
        <v>0.1</v>
      </c>
      <c r="AS3">
        <v>0.2</v>
      </c>
      <c r="AT3">
        <v>0.3</v>
      </c>
      <c r="AU3">
        <v>0.4</v>
      </c>
      <c r="AV3">
        <v>0.5</v>
      </c>
      <c r="AW3">
        <v>0.6</v>
      </c>
      <c r="AX3">
        <v>0.7</v>
      </c>
      <c r="AY3">
        <v>0.8</v>
      </c>
      <c r="AZ3">
        <v>0.9</v>
      </c>
      <c r="BA3">
        <v>1</v>
      </c>
      <c r="BB3">
        <v>2</v>
      </c>
      <c r="BC3">
        <v>3</v>
      </c>
      <c r="BD3">
        <v>4</v>
      </c>
      <c r="BE3">
        <v>5</v>
      </c>
    </row>
    <row r="4" spans="2:57" x14ac:dyDescent="0.3">
      <c r="G4" t="s">
        <v>24</v>
      </c>
      <c r="Y4" t="s">
        <v>24</v>
      </c>
      <c r="AP4" t="s">
        <v>24</v>
      </c>
    </row>
    <row r="5" spans="2:57" x14ac:dyDescent="0.3">
      <c r="B5" t="s">
        <v>23</v>
      </c>
      <c r="D5" t="s">
        <v>30</v>
      </c>
      <c r="G5">
        <v>60</v>
      </c>
      <c r="I5">
        <f>OptionVega(G5,$D$7,$I$3,$D$10,$D$9,$D$11)</f>
        <v>7.5719207361531463E-16</v>
      </c>
      <c r="J5">
        <f>OptionVega(G5,$D$7,$J$3,$D$10,$D$9,$D$11)</f>
        <v>1.29452098386633E-8</v>
      </c>
      <c r="K5">
        <f>OptionVega(G5,$D$7,$K$3,$D$10,$D$9,$D$11)</f>
        <v>3.6360095554575554E-6</v>
      </c>
      <c r="L5">
        <f>OptionVega(G5,$D$7,$L$3,$D$10,$D$9,$D$11)</f>
        <v>6.3545564110513241E-5</v>
      </c>
      <c r="M5">
        <f>OptionVega(G5,$D$7,$M$3,$D$10,$D$9,$D$11)</f>
        <v>3.625261396739315E-4</v>
      </c>
      <c r="N5">
        <f>OptionVega(G5,$D$7,$N$3,$D$10,$D$9,$D$11)</f>
        <v>1.1766116464443557E-3</v>
      </c>
      <c r="O5">
        <f>OptionVega(G5,$D$7,$O$3,$D$10,$D$9,$D$11)</f>
        <v>2.7599282724645072E-3</v>
      </c>
      <c r="P5">
        <f>OptionVega(G5,$D$7,$P$3,$D$10,$D$9,$D$11)</f>
        <v>5.2767323580423285E-3</v>
      </c>
      <c r="Q5">
        <f>OptionVega(G5,$D$7,$Q$3,$D$10,$D$9,$D$11)</f>
        <v>8.7942603690305717E-3</v>
      </c>
      <c r="R5">
        <f>OptionVega(G5,$D$7,$R$3,$D$10,$D$9,$D$11)</f>
        <v>1.3304138019690321E-2</v>
      </c>
      <c r="S5">
        <f>OptionVega(G5,$D$7,$S$3,$D$10,$D$9,$D$11)</f>
        <v>9.5039378692490781E-2</v>
      </c>
      <c r="T5">
        <f>OptionVega(G5,$D$7,$T$3,$D$10,$D$9,$D$11)</f>
        <v>0.19822539521715424</v>
      </c>
      <c r="U5">
        <f>OptionVega(G5,$D$7,$U$3,$D$10,$D$9,$D$11)</f>
        <v>0.29702348640212861</v>
      </c>
      <c r="V5">
        <f>OptionVega(G5,$D$7,$V$3,$D$10,$D$9,$D$11)</f>
        <v>0.3865349347186785</v>
      </c>
      <c r="Y5">
        <v>60</v>
      </c>
      <c r="AA5">
        <f>OptionVega(Y5,$D$7,$AA$3,$D$10,$AA$1,$D$11)</f>
        <v>5.2241467496489445E-8</v>
      </c>
      <c r="AB5">
        <f>OptionVega(Y5,$D$7,$AB$3,$D$10,$AA$1,$D$11)</f>
        <v>1.0369210092575669E-4</v>
      </c>
      <c r="AC5">
        <f>OptionVega(Y5,$D$7,$AC$3,$D$10,$AA$1,$D$11)</f>
        <v>1.4202882759273422E-3</v>
      </c>
      <c r="AD5">
        <f>OptionVega(Y5,$D$7,$AD$3,$D$10,$AA$1,$D$11)</f>
        <v>5.4799114620321266E-3</v>
      </c>
      <c r="AE5">
        <f>OptionVega(Y5,$D$7,$AE$3,$D$10,$AA$1,$D$11)</f>
        <v>1.2626797297023531E-2</v>
      </c>
      <c r="AF5">
        <f>OptionVega(Y5,$D$7,$AF$3,$D$10,$AA$1,$D$11)</f>
        <v>2.2388087034633054E-2</v>
      </c>
      <c r="AG5">
        <f>OptionVega(Y5,$D$7,$AG$3,$D$10,$AA$1,$D$11)</f>
        <v>3.4092800414934198E-2</v>
      </c>
      <c r="AH5">
        <f>OptionVega(Y5,$D$7,$AH$3,$D$10,$AA$1,$D$11)</f>
        <v>4.7136291023201063E-2</v>
      </c>
      <c r="AI5">
        <f>OptionVega(Y5,$D$7,$AI$3,$D$10,$AA$1,$D$11)</f>
        <v>6.1044245880699184E-2</v>
      </c>
      <c r="AJ5">
        <f>OptionVega(Y5,$D$7,$AJ$3,$D$10,$AA$1,$D$11)</f>
        <v>7.5465414056779437E-2</v>
      </c>
      <c r="AK5">
        <f>OptionVega(Y5,$D$7,$AK$3,$D$10,$AA$1,$D$11)</f>
        <v>0.21665010977573695</v>
      </c>
      <c r="AL5">
        <f>OptionVega(Y5,$D$7,$AL$3,$D$10,$AA$1,$D$11)</f>
        <v>0.33222896128746121</v>
      </c>
      <c r="AM5">
        <f>OptionVega(Y5,$D$7,$AM$3,$D$10,$AA$1,$D$11)</f>
        <v>0.42567098596972325</v>
      </c>
      <c r="AN5">
        <f>OptionVega(Y5,$D$7,$AN$3,$D$10,$AA$1,$D$11)</f>
        <v>0.50316444779050262</v>
      </c>
      <c r="AP5">
        <v>60</v>
      </c>
      <c r="AR5">
        <f>OptionVega(AP5,$D$7,$AA$3,$D$10,$AR$1,$D$11)</f>
        <v>3.5345400505311531E-58</v>
      </c>
      <c r="AS5">
        <f>OptionVega(AP5,$D$7,$AB$3,$D$10,$AR$1,$D$11)</f>
        <v>1.0711882489098268E-29</v>
      </c>
      <c r="AT5">
        <f>OptionVega(AP5,$D$7,$AC$3,$D$10,$AR$1,$D$11)</f>
        <v>3.6413157535063633E-20</v>
      </c>
      <c r="AU5">
        <f>OptionVega(AP5,$D$7,$AD$3,$D$10,$AR$1,$D$11)</f>
        <v>2.2138942538625791E-15</v>
      </c>
      <c r="AV5">
        <f>OptionVega(AP5,$D$7,$AE$3,$D$10,$AR$1,$D$11)</f>
        <v>1.6837357993007909E-12</v>
      </c>
      <c r="AW5">
        <f>OptionVega(AP5,$D$7,$AF$3,$D$10,$AR$1,$D$11)</f>
        <v>1.4260773627185629E-10</v>
      </c>
      <c r="AX5">
        <f>OptionVega(AP5,$D$7,$AG$3,$D$10,$AR$1,$D$11)</f>
        <v>3.4375360039163326E-9</v>
      </c>
      <c r="AY5">
        <f>OptionVega(AP5,$D$7,$AH$3,$D$10,$AR$1,$D$11)</f>
        <v>3.7721952577593385E-8</v>
      </c>
      <c r="AZ5">
        <f>OptionVega(AP5,$D$7,$AI$3,$D$10,$AR$1,$D$11)</f>
        <v>2.4471925152833756E-7</v>
      </c>
      <c r="BA5">
        <f>OptionVega(AP5,$D$7,$AJ$3,$D$10,$AR$1,$D$11)</f>
        <v>1.0981137573304838E-6</v>
      </c>
      <c r="BB5">
        <f>OptionVega(AP5,$D$7,$AK$3,$D$10,$AR$1,$D$11)</f>
        <v>1.0457482945948283E-3</v>
      </c>
      <c r="BC5">
        <f>OptionVega(AP5,$D$7,$AL$3,$D$10,$AR$1,$D$11)</f>
        <v>1.1142189253647152E-2</v>
      </c>
      <c r="BD5">
        <f>OptionVega(AP5,$D$7,$AM$3,$D$10,$AR$1,$D$11)</f>
        <v>3.7735130894815956E-2</v>
      </c>
      <c r="BE5">
        <f>OptionVega(AP5,$D$7,$AN$3,$D$10,$AR$1,$D$11)</f>
        <v>8.0099557916829336E-2</v>
      </c>
    </row>
    <row r="6" spans="2:57" x14ac:dyDescent="0.3">
      <c r="B6" t="s">
        <v>24</v>
      </c>
      <c r="D6">
        <v>100</v>
      </c>
      <c r="G6">
        <v>65</v>
      </c>
      <c r="I6">
        <f t="shared" ref="I6:I21" si="0">OptionVega(G6,$D$7,$I$3,$D$10,$D$9,$D$11)</f>
        <v>9.5374791219906036E-12</v>
      </c>
      <c r="J6">
        <f t="shared" ref="J6:J21" si="1">OptionVega(G6,$D$7,$J$3,$D$10,$D$9,$D$11)</f>
        <v>1.4674662728048759E-6</v>
      </c>
      <c r="K6">
        <f t="shared" ref="K6:K21" si="2">OptionVega(G6,$D$7,$K$3,$D$10,$D$9,$D$11)</f>
        <v>8.5735604439262291E-5</v>
      </c>
      <c r="L6">
        <f t="shared" ref="L6:L21" si="3">OptionVega(G6,$D$7,$L$3,$D$10,$D$9,$D$11)</f>
        <v>6.8337646766849906E-4</v>
      </c>
      <c r="M6">
        <f t="shared" ref="M6:M21" si="4">OptionVega(G6,$D$7,$M$3,$D$10,$D$9,$D$11)</f>
        <v>2.4340934965576379E-3</v>
      </c>
      <c r="N6">
        <f t="shared" ref="N6:N21" si="5">OptionVega(G6,$D$7,$N$3,$D$10,$D$9,$D$11)</f>
        <v>5.7709392847973585E-3</v>
      </c>
      <c r="O6">
        <f t="shared" ref="O6:O21" si="6">OptionVega(G6,$D$7,$O$3,$D$10,$D$9,$D$11)</f>
        <v>1.0816670734477618E-2</v>
      </c>
      <c r="P6">
        <f t="shared" ref="P6:P21" si="7">OptionVega(G6,$D$7,$P$3,$D$10,$D$9,$D$11)</f>
        <v>1.7478240873614232E-2</v>
      </c>
      <c r="Q6">
        <f t="shared" ref="Q6:Q21" si="8">OptionVega(G6,$D$7,$Q$3,$D$10,$D$9,$D$11)</f>
        <v>2.5556717355709923E-2</v>
      </c>
      <c r="R6">
        <f t="shared" ref="R6:R21" si="9">OptionVega(G6,$D$7,$R$3,$D$10,$D$9,$D$11)</f>
        <v>3.4820176623168372E-2</v>
      </c>
      <c r="S6">
        <f t="shared" ref="S6:S21" si="10">OptionVega(G6,$D$7,$S$3,$D$10,$D$9,$D$11)</f>
        <v>0.15529982480581039</v>
      </c>
      <c r="T6">
        <f t="shared" ref="T6:T21" si="11">OptionVega(G6,$D$7,$T$3,$D$10,$D$9,$D$11)</f>
        <v>0.27684353502761883</v>
      </c>
      <c r="U6">
        <f t="shared" ref="U6:U21" si="12">OptionVega(G6,$D$7,$U$3,$D$10,$D$9,$D$11)</f>
        <v>0.38350386340459214</v>
      </c>
      <c r="V6">
        <f t="shared" ref="V6:V21" si="13">OptionVega(G6,$D$7,$V$3,$D$10,$D$9,$D$11)</f>
        <v>0.47611297617669923</v>
      </c>
      <c r="Y6">
        <v>65</v>
      </c>
      <c r="AA6">
        <f t="shared" ref="AA6:AA21" si="14">OptionVega(Y6,$D$7,$AA$3,$D$10,$AA$1,$D$11)</f>
        <v>3.5480919020595774E-6</v>
      </c>
      <c r="AB6">
        <f t="shared" ref="AB6:AB21" si="15">OptionVega(Y6,$D$7,$AB$3,$D$10,$AA$1,$D$11)</f>
        <v>8.6795002193490315E-4</v>
      </c>
      <c r="AC6">
        <f t="shared" ref="AC6:AC21" si="16">OptionVega(Y6,$D$7,$AC$3,$D$10,$AA$1,$D$11)</f>
        <v>5.9162801509579999E-3</v>
      </c>
      <c r="AD6">
        <f t="shared" ref="AD6:AD21" si="17">OptionVega(Y6,$D$7,$AD$3,$D$10,$AA$1,$D$11)</f>
        <v>1.6103021116910757E-2</v>
      </c>
      <c r="AE6">
        <f t="shared" ref="AE6:AE21" si="18">OptionVega(Y6,$D$7,$AE$3,$D$10,$AA$1,$D$11)</f>
        <v>3.0095667810257465E-2</v>
      </c>
      <c r="AF6">
        <f t="shared" ref="AF6:AF21" si="19">OptionVega(Y6,$D$7,$AF$3,$D$10,$AA$1,$D$11)</f>
        <v>4.6410088796281238E-2</v>
      </c>
      <c r="AG6">
        <f t="shared" ref="AG6:AG21" si="20">OptionVega(Y6,$D$7,$AG$3,$D$10,$AA$1,$D$11)</f>
        <v>6.3967797976228563E-2</v>
      </c>
      <c r="AH6">
        <f t="shared" ref="AH6:AH21" si="21">OptionVega(Y6,$D$7,$AH$3,$D$10,$AA$1,$D$11)</f>
        <v>8.2069467460122739E-2</v>
      </c>
      <c r="AI6">
        <f t="shared" ref="AI6:AI21" si="22">OptionVega(Y6,$D$7,$AI$3,$D$10,$AA$1,$D$11)</f>
        <v>0.10028004968425032</v>
      </c>
      <c r="AJ6">
        <f t="shared" ref="AJ6:AJ21" si="23">OptionVega(Y6,$D$7,$AJ$3,$D$10,$AA$1,$D$11)</f>
        <v>0.11833484483505809</v>
      </c>
      <c r="AK6">
        <f t="shared" ref="AK6:AK21" si="24">OptionVega(Y6,$D$7,$AK$3,$D$10,$AA$1,$D$11)</f>
        <v>0.27555008864451608</v>
      </c>
      <c r="AL6">
        <f t="shared" ref="AL6:AL21" si="25">OptionVega(Y6,$D$7,$AL$3,$D$10,$AA$1,$D$11)</f>
        <v>0.39406825288577535</v>
      </c>
      <c r="AM6">
        <f t="shared" ref="AM6:AM21" si="26">OptionVega(Y6,$D$7,$AM$3,$D$10,$AA$1,$D$11)</f>
        <v>0.4875893022971528</v>
      </c>
      <c r="AN6">
        <f t="shared" ref="AN6:AN21" si="27">OptionVega(Y6,$D$7,$AN$3,$D$10,$AA$1,$D$11)</f>
        <v>0.56441397997533316</v>
      </c>
      <c r="AP6">
        <v>65</v>
      </c>
      <c r="AR6">
        <f t="shared" ref="AR6:AR21" si="28">OptionVega(AP6,$D$7,$AA$3,$D$10,$AR$1,$D$11)</f>
        <v>7.8904162138229814E-42</v>
      </c>
      <c r="AS6">
        <f t="shared" ref="AS6:AS21" si="29">OptionVega(AP6,$D$7,$AB$3,$D$10,$AR$1,$D$11)</f>
        <v>1.5687681949729765E-21</v>
      </c>
      <c r="AT6">
        <f t="shared" ref="AT6:AT21" si="30">OptionVega(AP6,$D$7,$AC$3,$D$10,$AR$1,$D$11)</f>
        <v>9.9829747601651493E-15</v>
      </c>
      <c r="AU6">
        <f t="shared" ref="AU6:AU21" si="31">OptionVega(AP6,$D$7,$AD$3,$D$10,$AR$1,$D$11)</f>
        <v>2.6261095230764715E-11</v>
      </c>
      <c r="AV6">
        <f t="shared" ref="AV6:AV21" si="32">OptionVega(AP6,$D$7,$AE$3,$D$10,$AR$1,$D$11)</f>
        <v>3.0347470957467911E-9</v>
      </c>
      <c r="AW6">
        <f t="shared" ref="AW6:AW21" si="33">OptionVega(AP6,$D$7,$AF$3,$D$10,$AR$1,$D$11)</f>
        <v>7.3190274501949445E-8</v>
      </c>
      <c r="AX6">
        <f t="shared" ref="AX6:AX21" si="34">OptionVega(AP6,$D$7,$AG$3,$D$10,$AR$1,$D$11)</f>
        <v>7.1926239310787059E-7</v>
      </c>
      <c r="AY6">
        <f t="shared" ref="AY6:AY21" si="35">OptionVega(AP6,$D$7,$AH$3,$D$10,$AR$1,$D$11)</f>
        <v>4.026999901175424E-6</v>
      </c>
      <c r="AZ6">
        <f t="shared" ref="AZ6:AZ21" si="36">OptionVega(AP6,$D$7,$AI$3,$D$10,$AR$1,$D$11)</f>
        <v>1.5479180979646812E-5</v>
      </c>
      <c r="BA6">
        <f t="shared" ref="BA6:BA21" si="37">OptionVega(AP6,$D$7,$AJ$3,$D$10,$AR$1,$D$11)</f>
        <v>4.569630507815192E-5</v>
      </c>
      <c r="BB6">
        <f t="shared" ref="BB6:BB21" si="38">OptionVega(AP6,$D$7,$AK$3,$D$10,$AR$1,$D$11)</f>
        <v>6.612314700451225E-3</v>
      </c>
      <c r="BC6">
        <f t="shared" ref="BC6:BC21" si="39">OptionVega(AP6,$D$7,$AL$3,$D$10,$AR$1,$D$11)</f>
        <v>3.7594797189649538E-2</v>
      </c>
      <c r="BD6">
        <f t="shared" ref="BD6:BD21" si="40">OptionVega(AP6,$D$7,$AM$3,$D$10,$AR$1,$D$11)</f>
        <v>9.3007615269544958E-2</v>
      </c>
      <c r="BE6">
        <f t="shared" ref="BE6:BE21" si="41">OptionVega(AP6,$D$7,$AN$3,$D$10,$AR$1,$D$11)</f>
        <v>0.16352043251983775</v>
      </c>
    </row>
    <row r="7" spans="2:57" x14ac:dyDescent="0.3">
      <c r="B7" t="s">
        <v>25</v>
      </c>
      <c r="D7">
        <v>100</v>
      </c>
      <c r="G7">
        <v>70</v>
      </c>
      <c r="I7">
        <f t="shared" si="0"/>
        <v>1.4305070674681116E-8</v>
      </c>
      <c r="J7">
        <f t="shared" si="1"/>
        <v>5.73613571054935E-5</v>
      </c>
      <c r="K7">
        <f t="shared" si="2"/>
        <v>9.9359820227649877E-4</v>
      </c>
      <c r="L7">
        <f t="shared" si="3"/>
        <v>4.3122978474392244E-3</v>
      </c>
      <c r="M7">
        <f t="shared" si="4"/>
        <v>1.066560447463694E-2</v>
      </c>
      <c r="N7">
        <f t="shared" si="5"/>
        <v>1.9828706392671893E-2</v>
      </c>
      <c r="O7">
        <f t="shared" si="6"/>
        <v>3.1240118425491601E-2</v>
      </c>
      <c r="P7">
        <f t="shared" si="7"/>
        <v>4.431443031965894E-2</v>
      </c>
      <c r="Q7">
        <f t="shared" si="8"/>
        <v>5.8553435054060327E-2</v>
      </c>
      <c r="R7">
        <f t="shared" si="9"/>
        <v>7.3566173019582473E-2</v>
      </c>
      <c r="S7">
        <f t="shared" si="10"/>
        <v>0.22783353493544931</v>
      </c>
      <c r="T7">
        <f t="shared" si="11"/>
        <v>0.35965069029119617</v>
      </c>
      <c r="U7">
        <f t="shared" si="12"/>
        <v>0.46883083785060742</v>
      </c>
      <c r="V7">
        <f t="shared" si="13"/>
        <v>0.56119836056730876</v>
      </c>
      <c r="Y7">
        <v>70</v>
      </c>
      <c r="AA7">
        <f t="shared" si="14"/>
        <v>9.343630931757354E-5</v>
      </c>
      <c r="AB7">
        <f t="shared" si="15"/>
        <v>4.5186973977930974E-3</v>
      </c>
      <c r="AC7">
        <f t="shared" si="16"/>
        <v>1.7943197870953598E-2</v>
      </c>
      <c r="AD7">
        <f t="shared" si="17"/>
        <v>3.7275610547584395E-2</v>
      </c>
      <c r="AE7">
        <f t="shared" si="18"/>
        <v>5.9240833497693518E-2</v>
      </c>
      <c r="AF7">
        <f t="shared" si="19"/>
        <v>8.1996646326998268E-2</v>
      </c>
      <c r="AG7">
        <f t="shared" si="20"/>
        <v>0.10462155572124114</v>
      </c>
      <c r="AH7">
        <f t="shared" si="21"/>
        <v>0.12667719836424346</v>
      </c>
      <c r="AI7">
        <f t="shared" si="22"/>
        <v>0.14797070949272112</v>
      </c>
      <c r="AJ7">
        <f t="shared" si="23"/>
        <v>0.16843384637940814</v>
      </c>
      <c r="AK7">
        <f t="shared" si="24"/>
        <v>0.33351628785916165</v>
      </c>
      <c r="AL7">
        <f t="shared" si="25"/>
        <v>0.45187800131882511</v>
      </c>
      <c r="AM7">
        <f t="shared" si="26"/>
        <v>0.54421505040302276</v>
      </c>
      <c r="AN7">
        <f t="shared" si="27"/>
        <v>0.61983217876086938</v>
      </c>
      <c r="AP7">
        <v>70</v>
      </c>
      <c r="AR7">
        <f t="shared" si="28"/>
        <v>3.5731275340967404E-29</v>
      </c>
      <c r="AS7">
        <f t="shared" si="29"/>
        <v>3.2770789744139775E-15</v>
      </c>
      <c r="AT7">
        <f t="shared" si="30"/>
        <v>1.6113180804909157E-10</v>
      </c>
      <c r="AU7">
        <f t="shared" si="31"/>
        <v>3.7258960102381551E-8</v>
      </c>
      <c r="AV7">
        <f t="shared" si="32"/>
        <v>1.0010098526373569E-6</v>
      </c>
      <c r="AW7">
        <f t="shared" si="33"/>
        <v>9.1278366359240927E-6</v>
      </c>
      <c r="AX7">
        <f t="shared" si="34"/>
        <v>4.478025638717822E-5</v>
      </c>
      <c r="AY7">
        <f t="shared" si="35"/>
        <v>1.4889989640669957E-4</v>
      </c>
      <c r="AZ7">
        <f t="shared" si="36"/>
        <v>3.8164553510493981E-4</v>
      </c>
      <c r="BA7">
        <f t="shared" si="37"/>
        <v>8.1469084911896749E-4</v>
      </c>
      <c r="BB7">
        <f t="shared" si="38"/>
        <v>2.740710858581228E-2</v>
      </c>
      <c r="BC7">
        <f t="shared" si="39"/>
        <v>9.581572046112885E-2</v>
      </c>
      <c r="BD7">
        <f t="shared" si="40"/>
        <v>0.18587765767931</v>
      </c>
      <c r="BE7">
        <f t="shared" si="41"/>
        <v>0.28243629412307231</v>
      </c>
    </row>
    <row r="8" spans="2:57" x14ac:dyDescent="0.3">
      <c r="B8" t="s">
        <v>26</v>
      </c>
      <c r="D8">
        <v>1</v>
      </c>
      <c r="G8">
        <v>75</v>
      </c>
      <c r="I8">
        <f t="shared" si="0"/>
        <v>3.7701398975718424E-6</v>
      </c>
      <c r="J8">
        <f t="shared" si="1"/>
        <v>9.3928751471449782E-4</v>
      </c>
      <c r="K8">
        <f t="shared" si="2"/>
        <v>6.4440735249376045E-3</v>
      </c>
      <c r="L8">
        <f t="shared" si="3"/>
        <v>1.7601258389828199E-2</v>
      </c>
      <c r="M8">
        <f t="shared" si="4"/>
        <v>3.2972479768503968E-2</v>
      </c>
      <c r="N8">
        <f t="shared" si="5"/>
        <v>5.0934802908825044E-2</v>
      </c>
      <c r="O8">
        <f t="shared" si="6"/>
        <v>7.0302629740001565E-2</v>
      </c>
      <c r="P8">
        <f t="shared" si="7"/>
        <v>9.0304222542602286E-2</v>
      </c>
      <c r="Q8">
        <f t="shared" si="8"/>
        <v>0.11045773801093518</v>
      </c>
      <c r="R8">
        <f t="shared" si="9"/>
        <v>0.13046879019121693</v>
      </c>
      <c r="S8">
        <f t="shared" si="10"/>
        <v>0.30603936130050935</v>
      </c>
      <c r="T8">
        <f t="shared" si="11"/>
        <v>0.44036986538728901</v>
      </c>
      <c r="U8">
        <f t="shared" si="12"/>
        <v>0.54807676647351533</v>
      </c>
      <c r="V8">
        <f t="shared" si="13"/>
        <v>0.63807941266216028</v>
      </c>
      <c r="Y8">
        <v>75</v>
      </c>
      <c r="AA8">
        <f t="shared" si="14"/>
        <v>1.1344357018572753E-3</v>
      </c>
      <c r="AB8">
        <f t="shared" si="15"/>
        <v>1.5957745936388483E-2</v>
      </c>
      <c r="AC8">
        <f t="shared" si="16"/>
        <v>4.1984549048709421E-2</v>
      </c>
      <c r="AD8">
        <f t="shared" si="17"/>
        <v>7.0995380577419692E-2</v>
      </c>
      <c r="AE8">
        <f t="shared" si="18"/>
        <v>9.9723128342838543E-2</v>
      </c>
      <c r="AF8">
        <f t="shared" si="19"/>
        <v>0.12712093999325988</v>
      </c>
      <c r="AG8">
        <f t="shared" si="20"/>
        <v>0.1529339134731435</v>
      </c>
      <c r="AH8">
        <f t="shared" si="21"/>
        <v>0.17718513961379675</v>
      </c>
      <c r="AI8">
        <f t="shared" si="22"/>
        <v>0.19998950927794951</v>
      </c>
      <c r="AJ8">
        <f t="shared" si="23"/>
        <v>0.22148428421066527</v>
      </c>
      <c r="AK8">
        <f t="shared" si="24"/>
        <v>0.38761449136581971</v>
      </c>
      <c r="AL8">
        <f t="shared" si="25"/>
        <v>0.50399623483227596</v>
      </c>
      <c r="AM8">
        <f t="shared" si="26"/>
        <v>0.59461821507388335</v>
      </c>
      <c r="AN8">
        <f t="shared" si="27"/>
        <v>0.66892699193410787</v>
      </c>
      <c r="AP8">
        <v>75</v>
      </c>
      <c r="AR8">
        <f t="shared" si="28"/>
        <v>1.5544383929947457E-19</v>
      </c>
      <c r="AS8">
        <f t="shared" si="29"/>
        <v>2.1245091218449448E-10</v>
      </c>
      <c r="AT8">
        <f t="shared" si="30"/>
        <v>2.5706041526295764E-7</v>
      </c>
      <c r="AU8">
        <f t="shared" si="31"/>
        <v>9.3245046528342434E-6</v>
      </c>
      <c r="AV8">
        <f t="shared" si="32"/>
        <v>8.2443811591708765E-5</v>
      </c>
      <c r="AW8">
        <f t="shared" si="33"/>
        <v>3.5834719979831788E-4</v>
      </c>
      <c r="AX8">
        <f t="shared" si="34"/>
        <v>1.0355649356059843E-3</v>
      </c>
      <c r="AY8">
        <f t="shared" si="35"/>
        <v>2.3152671506101981E-3</v>
      </c>
      <c r="AZ8">
        <f t="shared" si="36"/>
        <v>4.3580320477808058E-3</v>
      </c>
      <c r="BA8">
        <f t="shared" si="37"/>
        <v>7.267112565693663E-3</v>
      </c>
      <c r="BB8">
        <f t="shared" si="38"/>
        <v>8.0455722498671708E-2</v>
      </c>
      <c r="BC8">
        <f t="shared" si="39"/>
        <v>0.19419529853530501</v>
      </c>
      <c r="BD8">
        <f t="shared" si="40"/>
        <v>0.31302804195460354</v>
      </c>
      <c r="BE8">
        <f t="shared" si="41"/>
        <v>0.42560725743199956</v>
      </c>
    </row>
    <row r="9" spans="2:57" x14ac:dyDescent="0.3">
      <c r="B9" t="s">
        <v>27</v>
      </c>
      <c r="D9">
        <v>0.2</v>
      </c>
      <c r="G9">
        <v>80</v>
      </c>
      <c r="I9">
        <f t="shared" si="0"/>
        <v>2.3609588828415681E-4</v>
      </c>
      <c r="J9">
        <f t="shared" si="1"/>
        <v>7.4932050826936906E-3</v>
      </c>
      <c r="K9">
        <f t="shared" si="2"/>
        <v>2.5866773497556832E-2</v>
      </c>
      <c r="L9">
        <f t="shared" si="3"/>
        <v>5.0116628118720127E-2</v>
      </c>
      <c r="M9">
        <f t="shared" si="4"/>
        <v>7.6401792301498697E-2</v>
      </c>
      <c r="N9">
        <f t="shared" si="5"/>
        <v>0.10287482444006046</v>
      </c>
      <c r="O9">
        <f t="shared" si="6"/>
        <v>0.12872223646374945</v>
      </c>
      <c r="P9">
        <f t="shared" si="7"/>
        <v>0.15361396923011619</v>
      </c>
      <c r="Q9">
        <f t="shared" si="8"/>
        <v>0.17744408367129644</v>
      </c>
      <c r="R9">
        <f t="shared" si="9"/>
        <v>0.20021019742744608</v>
      </c>
      <c r="S9">
        <f t="shared" si="10"/>
        <v>0.38218237653015336</v>
      </c>
      <c r="T9">
        <f t="shared" si="11"/>
        <v>0.51343117209127109</v>
      </c>
      <c r="U9">
        <f t="shared" si="12"/>
        <v>0.61743560179207324</v>
      </c>
      <c r="V9">
        <f t="shared" si="13"/>
        <v>0.70416816821210715</v>
      </c>
      <c r="Y9">
        <v>80</v>
      </c>
      <c r="AA9">
        <f t="shared" si="14"/>
        <v>7.2629446543345496E-3</v>
      </c>
      <c r="AB9">
        <f t="shared" si="15"/>
        <v>4.0887259297741153E-2</v>
      </c>
      <c r="AC9">
        <f t="shared" si="16"/>
        <v>7.9274555446936956E-2</v>
      </c>
      <c r="AD9">
        <f t="shared" si="17"/>
        <v>0.11507695143275126</v>
      </c>
      <c r="AE9">
        <f t="shared" si="18"/>
        <v>0.14749677041710108</v>
      </c>
      <c r="AF9">
        <f t="shared" si="19"/>
        <v>0.17688429965289609</v>
      </c>
      <c r="AG9">
        <f t="shared" si="20"/>
        <v>0.20372161802542726</v>
      </c>
      <c r="AH9">
        <f t="shared" si="21"/>
        <v>0.22843174271570832</v>
      </c>
      <c r="AI9">
        <f t="shared" si="22"/>
        <v>0.25135567501845724</v>
      </c>
      <c r="AJ9">
        <f t="shared" si="23"/>
        <v>0.27276349949898759</v>
      </c>
      <c r="AK9">
        <f t="shared" si="24"/>
        <v>0.43558378451392826</v>
      </c>
      <c r="AL9">
        <f t="shared" si="25"/>
        <v>0.54934070118221501</v>
      </c>
      <c r="AM9">
        <f t="shared" si="26"/>
        <v>0.63829888800540957</v>
      </c>
      <c r="AN9">
        <f t="shared" si="27"/>
        <v>0.71152052988955772</v>
      </c>
      <c r="AP9">
        <v>80</v>
      </c>
      <c r="AR9">
        <f t="shared" si="28"/>
        <v>2.1699726533395634E-12</v>
      </c>
      <c r="AS9">
        <f t="shared" si="29"/>
        <v>7.8107330033859321E-7</v>
      </c>
      <c r="AT9">
        <f t="shared" si="30"/>
        <v>6.0578597213752167E-5</v>
      </c>
      <c r="AU9">
        <f t="shared" si="31"/>
        <v>5.5633346565513934E-4</v>
      </c>
      <c r="AV9">
        <f t="shared" si="32"/>
        <v>2.157360495959318E-3</v>
      </c>
      <c r="AW9">
        <f t="shared" si="33"/>
        <v>5.4130101077600381E-3</v>
      </c>
      <c r="AX9">
        <f t="shared" si="34"/>
        <v>1.0564824233400874E-2</v>
      </c>
      <c r="AY9">
        <f t="shared" si="35"/>
        <v>1.759740529856035E-2</v>
      </c>
      <c r="AZ9">
        <f t="shared" si="36"/>
        <v>2.6345645732472476E-2</v>
      </c>
      <c r="BA9">
        <f t="shared" si="37"/>
        <v>3.6579438640896043E-2</v>
      </c>
      <c r="BB9">
        <f t="shared" si="38"/>
        <v>0.1776181461109162</v>
      </c>
      <c r="BC9">
        <f t="shared" si="39"/>
        <v>0.32572732040617636</v>
      </c>
      <c r="BD9">
        <f t="shared" si="40"/>
        <v>0.45765821306048554</v>
      </c>
      <c r="BE9">
        <f t="shared" si="41"/>
        <v>0.57302367456033576</v>
      </c>
    </row>
    <row r="10" spans="2:57" x14ac:dyDescent="0.3">
      <c r="B10" t="s">
        <v>28</v>
      </c>
      <c r="D10">
        <v>0.01</v>
      </c>
      <c r="G10">
        <v>85</v>
      </c>
      <c r="I10">
        <f t="shared" si="0"/>
        <v>4.4558558892443629E-3</v>
      </c>
      <c r="J10">
        <f t="shared" si="1"/>
        <v>3.2800471961839522E-2</v>
      </c>
      <c r="K10">
        <f t="shared" si="2"/>
        <v>6.9568288790958291E-2</v>
      </c>
      <c r="L10">
        <f t="shared" si="3"/>
        <v>0.10565235887329334</v>
      </c>
      <c r="M10">
        <f t="shared" si="4"/>
        <v>0.13916751647279249</v>
      </c>
      <c r="N10">
        <f t="shared" si="5"/>
        <v>0.16999445472389768</v>
      </c>
      <c r="O10">
        <f t="shared" si="6"/>
        <v>0.19840779785263229</v>
      </c>
      <c r="P10">
        <f t="shared" si="7"/>
        <v>0.22473489195639601</v>
      </c>
      <c r="Q10">
        <f t="shared" si="8"/>
        <v>0.2492715420838269</v>
      </c>
      <c r="R10">
        <f t="shared" si="9"/>
        <v>0.27226666793458271</v>
      </c>
      <c r="S10">
        <f t="shared" si="10"/>
        <v>0.44907193585775435</v>
      </c>
      <c r="T10">
        <f t="shared" si="11"/>
        <v>0.574609960396536</v>
      </c>
      <c r="U10">
        <f t="shared" si="12"/>
        <v>0.67438113704922509</v>
      </c>
      <c r="V10">
        <f t="shared" si="13"/>
        <v>0.75795571731518341</v>
      </c>
      <c r="Y10">
        <v>85</v>
      </c>
      <c r="AA10">
        <f t="shared" si="14"/>
        <v>2.725633977693533E-2</v>
      </c>
      <c r="AB10">
        <f t="shared" si="15"/>
        <v>8.0146565468207587E-2</v>
      </c>
      <c r="AC10">
        <f t="shared" si="16"/>
        <v>0.12514440458799733</v>
      </c>
      <c r="AD10">
        <f t="shared" si="17"/>
        <v>0.16302579321220409</v>
      </c>
      <c r="AE10">
        <f t="shared" si="18"/>
        <v>0.19581443166314164</v>
      </c>
      <c r="AF10">
        <f t="shared" si="19"/>
        <v>0.22487833277913319</v>
      </c>
      <c r="AG10">
        <f t="shared" si="20"/>
        <v>0.25111006208294911</v>
      </c>
      <c r="AH10">
        <f t="shared" si="21"/>
        <v>0.27511226709398245</v>
      </c>
      <c r="AI10">
        <f t="shared" si="22"/>
        <v>0.29730845258588656</v>
      </c>
      <c r="AJ10">
        <f t="shared" si="23"/>
        <v>0.31800713357890908</v>
      </c>
      <c r="AK10">
        <f t="shared" si="24"/>
        <v>0.47590089770706884</v>
      </c>
      <c r="AL10">
        <f t="shared" si="25"/>
        <v>0.58733335877732828</v>
      </c>
      <c r="AM10">
        <f t="shared" si="26"/>
        <v>0.67509674458565583</v>
      </c>
      <c r="AN10">
        <f t="shared" si="27"/>
        <v>0.74766798153008274</v>
      </c>
      <c r="AP10">
        <v>85</v>
      </c>
      <c r="AR10">
        <f t="shared" si="28"/>
        <v>2.513805683571334E-7</v>
      </c>
      <c r="AS10">
        <f t="shared" si="29"/>
        <v>2.6184740803568228E-4</v>
      </c>
      <c r="AT10">
        <f t="shared" si="30"/>
        <v>2.8940234587731301E-3</v>
      </c>
      <c r="AU10">
        <f t="shared" si="31"/>
        <v>1.0033008819090706E-2</v>
      </c>
      <c r="AV10">
        <f t="shared" si="32"/>
        <v>2.1685359940348946E-2</v>
      </c>
      <c r="AW10">
        <f t="shared" si="33"/>
        <v>3.6850893362287709E-2</v>
      </c>
      <c r="AX10">
        <f t="shared" si="34"/>
        <v>5.4448949916165584E-2</v>
      </c>
      <c r="AY10">
        <f t="shared" si="35"/>
        <v>7.3606201526075665E-2</v>
      </c>
      <c r="AZ10">
        <f t="shared" si="36"/>
        <v>9.368286121950696E-2</v>
      </c>
      <c r="BA10">
        <f t="shared" si="37"/>
        <v>0.11422910084499065</v>
      </c>
      <c r="BB10">
        <f t="shared" si="38"/>
        <v>0.30915406339357621</v>
      </c>
      <c r="BC10">
        <f t="shared" si="39"/>
        <v>0.46657820462206062</v>
      </c>
      <c r="BD10">
        <f t="shared" si="40"/>
        <v>0.5947067105196463</v>
      </c>
      <c r="BE10">
        <f t="shared" si="41"/>
        <v>0.70234247577560904</v>
      </c>
    </row>
    <row r="11" spans="2:57" x14ac:dyDescent="0.3">
      <c r="B11" t="s">
        <v>29</v>
      </c>
      <c r="D11">
        <v>0</v>
      </c>
      <c r="G11">
        <v>90</v>
      </c>
      <c r="I11">
        <f t="shared" si="0"/>
        <v>3.0644533309865177E-2</v>
      </c>
      <c r="J11">
        <f t="shared" si="1"/>
        <v>8.6635119422354204E-2</v>
      </c>
      <c r="K11">
        <f t="shared" si="2"/>
        <v>0.13356393635672964</v>
      </c>
      <c r="L11">
        <f t="shared" si="3"/>
        <v>0.17293746502576174</v>
      </c>
      <c r="M11">
        <f t="shared" si="4"/>
        <v>0.2070079234545385</v>
      </c>
      <c r="N11">
        <f t="shared" si="5"/>
        <v>0.23723384471393918</v>
      </c>
      <c r="O11">
        <f t="shared" si="6"/>
        <v>0.26455122246358709</v>
      </c>
      <c r="P11">
        <f t="shared" si="7"/>
        <v>0.28958655791598931</v>
      </c>
      <c r="Q11">
        <f t="shared" si="8"/>
        <v>0.31277780487504986</v>
      </c>
      <c r="R11">
        <f t="shared" si="9"/>
        <v>0.33444289202725919</v>
      </c>
      <c r="S11">
        <f t="shared" si="10"/>
        <v>0.50128257699490841</v>
      </c>
      <c r="T11">
        <f t="shared" si="11"/>
        <v>0.6212783862055673</v>
      </c>
      <c r="U11">
        <f t="shared" si="12"/>
        <v>0.71761533320686943</v>
      </c>
      <c r="V11">
        <f t="shared" si="13"/>
        <v>0.79886620400360531</v>
      </c>
      <c r="Y11">
        <v>90</v>
      </c>
      <c r="AA11">
        <f t="shared" si="14"/>
        <v>6.5245486618251372E-2</v>
      </c>
      <c r="AB11">
        <f t="shared" si="15"/>
        <v>0.12538719707021431</v>
      </c>
      <c r="AC11">
        <f t="shared" si="16"/>
        <v>0.16990578273325513</v>
      </c>
      <c r="AD11">
        <f t="shared" si="17"/>
        <v>0.20618984345800193</v>
      </c>
      <c r="AE11">
        <f t="shared" si="18"/>
        <v>0.23734723525071394</v>
      </c>
      <c r="AF11">
        <f t="shared" si="19"/>
        <v>0.26495540458839584</v>
      </c>
      <c r="AG11">
        <f t="shared" si="20"/>
        <v>0.28993012918382316</v>
      </c>
      <c r="AH11">
        <f t="shared" si="21"/>
        <v>0.3128543782986476</v>
      </c>
      <c r="AI11">
        <f t="shared" si="22"/>
        <v>0.33412469483092277</v>
      </c>
      <c r="AJ11">
        <f t="shared" si="23"/>
        <v>0.35402457537592474</v>
      </c>
      <c r="AK11">
        <f t="shared" si="24"/>
        <v>0.50774026590962573</v>
      </c>
      <c r="AL11">
        <f t="shared" si="25"/>
        <v>0.61780667302057179</v>
      </c>
      <c r="AM11">
        <f t="shared" si="26"/>
        <v>0.70510754644860263</v>
      </c>
      <c r="AN11">
        <f t="shared" si="27"/>
        <v>0.77759056969031726</v>
      </c>
      <c r="AP11">
        <v>90</v>
      </c>
      <c r="AR11">
        <f t="shared" si="28"/>
        <v>5.1615938644774477E-4</v>
      </c>
      <c r="AS11">
        <f t="shared" si="29"/>
        <v>1.1696837223341142E-2</v>
      </c>
      <c r="AT11">
        <f t="shared" si="30"/>
        <v>3.6089280836016528E-2</v>
      </c>
      <c r="AU11">
        <f t="shared" si="31"/>
        <v>6.6105163163659941E-2</v>
      </c>
      <c r="AV11">
        <f t="shared" si="32"/>
        <v>9.7437835238203124E-2</v>
      </c>
      <c r="AW11">
        <f t="shared" si="33"/>
        <v>0.12828628098948194</v>
      </c>
      <c r="AX11">
        <f t="shared" si="34"/>
        <v>0.15796405593882865</v>
      </c>
      <c r="AY11">
        <f t="shared" si="35"/>
        <v>0.18625614252560363</v>
      </c>
      <c r="AZ11">
        <f t="shared" si="36"/>
        <v>0.21314624132838875</v>
      </c>
      <c r="BA11">
        <f t="shared" si="37"/>
        <v>0.23869941692283714</v>
      </c>
      <c r="BB11">
        <f t="shared" si="38"/>
        <v>0.44056131835135998</v>
      </c>
      <c r="BC11">
        <f t="shared" si="39"/>
        <v>0.58525004130384151</v>
      </c>
      <c r="BD11">
        <f t="shared" si="40"/>
        <v>0.69986237314498334</v>
      </c>
      <c r="BE11">
        <f t="shared" si="41"/>
        <v>0.79548944334653171</v>
      </c>
    </row>
    <row r="12" spans="2:57" x14ac:dyDescent="0.3">
      <c r="G12">
        <v>95</v>
      </c>
      <c r="I12">
        <f t="shared" si="0"/>
        <v>8.9541358039279748E-2</v>
      </c>
      <c r="J12">
        <f t="shared" si="1"/>
        <v>0.14909546983266303</v>
      </c>
      <c r="K12">
        <f t="shared" si="2"/>
        <v>0.19267540519079149</v>
      </c>
      <c r="L12">
        <f t="shared" si="3"/>
        <v>0.22840702670307464</v>
      </c>
      <c r="M12">
        <f t="shared" si="4"/>
        <v>0.25930883920219033</v>
      </c>
      <c r="N12">
        <f t="shared" si="5"/>
        <v>0.28686682039024308</v>
      </c>
      <c r="O12">
        <f t="shared" si="6"/>
        <v>0.31193622839956398</v>
      </c>
      <c r="P12">
        <f t="shared" si="7"/>
        <v>0.33506087760385844</v>
      </c>
      <c r="Q12">
        <f t="shared" si="8"/>
        <v>0.35661132714949467</v>
      </c>
      <c r="R12">
        <f t="shared" si="9"/>
        <v>0.37685326590063856</v>
      </c>
      <c r="S12">
        <f t="shared" si="10"/>
        <v>0.53572622142458148</v>
      </c>
      <c r="T12">
        <f t="shared" si="11"/>
        <v>0.65235380338435678</v>
      </c>
      <c r="U12">
        <f t="shared" si="12"/>
        <v>0.7468905995563202</v>
      </c>
      <c r="V12">
        <f t="shared" si="13"/>
        <v>0.82706631007195031</v>
      </c>
      <c r="Y12">
        <v>95</v>
      </c>
      <c r="AA12">
        <f t="shared" si="14"/>
        <v>0.10666888149822518</v>
      </c>
      <c r="AB12">
        <f t="shared" si="15"/>
        <v>0.16201774980597239</v>
      </c>
      <c r="AC12">
        <f t="shared" si="16"/>
        <v>0.20298234899889017</v>
      </c>
      <c r="AD12">
        <f t="shared" si="17"/>
        <v>0.23685782585692991</v>
      </c>
      <c r="AE12">
        <f t="shared" si="18"/>
        <v>0.26630962333356745</v>
      </c>
      <c r="AF12">
        <f t="shared" si="19"/>
        <v>0.29266016170947762</v>
      </c>
      <c r="AG12">
        <f t="shared" si="20"/>
        <v>0.31667848744818328</v>
      </c>
      <c r="AH12">
        <f t="shared" si="21"/>
        <v>0.33885838808772822</v>
      </c>
      <c r="AI12">
        <f t="shared" si="22"/>
        <v>0.35953924700853623</v>
      </c>
      <c r="AJ12">
        <f t="shared" si="23"/>
        <v>0.37896623822327197</v>
      </c>
      <c r="AK12">
        <f t="shared" si="24"/>
        <v>0.53087335695806659</v>
      </c>
      <c r="AL12">
        <f t="shared" si="25"/>
        <v>0.6409084385653474</v>
      </c>
      <c r="AM12">
        <f t="shared" si="26"/>
        <v>0.72861111689327818</v>
      </c>
      <c r="AN12">
        <f t="shared" si="27"/>
        <v>0.80162201705931713</v>
      </c>
      <c r="AP12">
        <v>95</v>
      </c>
      <c r="AR12">
        <f t="shared" si="28"/>
        <v>3.4693238841801248E-2</v>
      </c>
      <c r="AS12">
        <f t="shared" si="29"/>
        <v>9.4608178373498497E-2</v>
      </c>
      <c r="AT12">
        <f t="shared" si="30"/>
        <v>0.14411356711779724</v>
      </c>
      <c r="AU12">
        <f t="shared" si="31"/>
        <v>0.18547920454659683</v>
      </c>
      <c r="AV12">
        <f t="shared" si="32"/>
        <v>0.22122153003014303</v>
      </c>
      <c r="AW12">
        <f t="shared" si="33"/>
        <v>0.25291422770740374</v>
      </c>
      <c r="AX12">
        <f t="shared" si="34"/>
        <v>0.28155342127741206</v>
      </c>
      <c r="AY12">
        <f t="shared" si="35"/>
        <v>0.30780115974298611</v>
      </c>
      <c r="AZ12">
        <f t="shared" si="36"/>
        <v>0.33211834114491318</v>
      </c>
      <c r="BA12">
        <f t="shared" si="37"/>
        <v>0.35483868952949421</v>
      </c>
      <c r="BB12">
        <f t="shared" si="38"/>
        <v>0.52993901401176291</v>
      </c>
      <c r="BC12">
        <f t="shared" si="39"/>
        <v>0.65600571654605966</v>
      </c>
      <c r="BD12">
        <f t="shared" si="40"/>
        <v>0.75727241342456986</v>
      </c>
      <c r="BE12">
        <f t="shared" si="41"/>
        <v>0.84270952755154982</v>
      </c>
    </row>
    <row r="13" spans="2:57" x14ac:dyDescent="0.3">
      <c r="G13">
        <v>100</v>
      </c>
      <c r="I13">
        <f t="shared" si="0"/>
        <v>0.12601477970020519</v>
      </c>
      <c r="J13">
        <f t="shared" si="1"/>
        <v>0.1780114349570453</v>
      </c>
      <c r="K13">
        <f t="shared" si="2"/>
        <v>0.21777345900985232</v>
      </c>
      <c r="L13">
        <f t="shared" si="3"/>
        <v>0.25118039341108511</v>
      </c>
      <c r="M13">
        <f t="shared" si="4"/>
        <v>0.28051246304186261</v>
      </c>
      <c r="N13">
        <f t="shared" si="5"/>
        <v>0.30694050496199521</v>
      </c>
      <c r="O13">
        <f t="shared" si="6"/>
        <v>0.3311608714611029</v>
      </c>
      <c r="P13">
        <f t="shared" si="7"/>
        <v>0.35362780796997573</v>
      </c>
      <c r="Q13">
        <f t="shared" si="8"/>
        <v>0.37465720501521849</v>
      </c>
      <c r="R13">
        <f t="shared" si="9"/>
        <v>0.39447933090788895</v>
      </c>
      <c r="S13">
        <f t="shared" si="10"/>
        <v>0.55163706332541196</v>
      </c>
      <c r="T13">
        <f t="shared" si="11"/>
        <v>0.66805659306916709</v>
      </c>
      <c r="U13">
        <f t="shared" si="12"/>
        <v>0.76277563092104816</v>
      </c>
      <c r="V13">
        <f t="shared" si="13"/>
        <v>0.84326874401380636</v>
      </c>
      <c r="Y13">
        <v>100</v>
      </c>
      <c r="AA13">
        <f t="shared" si="14"/>
        <v>0.12594479093238517</v>
      </c>
      <c r="AB13">
        <f t="shared" si="15"/>
        <v>0.17781375431667518</v>
      </c>
      <c r="AC13">
        <f t="shared" si="16"/>
        <v>0.21741080554000833</v>
      </c>
      <c r="AD13">
        <f t="shared" si="17"/>
        <v>0.25062283449841155</v>
      </c>
      <c r="AE13">
        <f t="shared" si="18"/>
        <v>0.27973434297828004</v>
      </c>
      <c r="AF13">
        <f t="shared" si="19"/>
        <v>0.30591907327736617</v>
      </c>
      <c r="AG13">
        <f t="shared" si="20"/>
        <v>0.32987552453324309</v>
      </c>
      <c r="AH13">
        <f t="shared" si="21"/>
        <v>0.35205961627525989</v>
      </c>
      <c r="AI13">
        <f t="shared" si="22"/>
        <v>0.37278859440959367</v>
      </c>
      <c r="AJ13">
        <f t="shared" si="23"/>
        <v>0.39229385545573264</v>
      </c>
      <c r="AK13">
        <f t="shared" si="24"/>
        <v>0.54554168852462226</v>
      </c>
      <c r="AL13">
        <f t="shared" si="25"/>
        <v>0.65701458882085051</v>
      </c>
      <c r="AM13">
        <f t="shared" si="26"/>
        <v>0.74601201361465708</v>
      </c>
      <c r="AN13">
        <f t="shared" si="27"/>
        <v>0.8201669558401079</v>
      </c>
      <c r="AP13">
        <v>100</v>
      </c>
      <c r="AR13">
        <f t="shared" si="28"/>
        <v>0.12601477970020519</v>
      </c>
      <c r="AS13">
        <f t="shared" si="29"/>
        <v>0.1780114349570453</v>
      </c>
      <c r="AT13">
        <f t="shared" si="30"/>
        <v>0.21777345900985232</v>
      </c>
      <c r="AU13">
        <f t="shared" si="31"/>
        <v>0.25118039341108511</v>
      </c>
      <c r="AV13">
        <f t="shared" si="32"/>
        <v>0.28051246304186261</v>
      </c>
      <c r="AW13">
        <f t="shared" si="33"/>
        <v>0.30694050496199521</v>
      </c>
      <c r="AX13">
        <f t="shared" si="34"/>
        <v>0.3311608714611029</v>
      </c>
      <c r="AY13">
        <f t="shared" si="35"/>
        <v>0.35362780796997573</v>
      </c>
      <c r="AZ13">
        <f t="shared" si="36"/>
        <v>0.37465720501521849</v>
      </c>
      <c r="BA13">
        <f t="shared" si="37"/>
        <v>0.39447933090788895</v>
      </c>
      <c r="BB13">
        <f t="shared" si="38"/>
        <v>0.55163706332541196</v>
      </c>
      <c r="BC13">
        <f t="shared" si="39"/>
        <v>0.66805659306916709</v>
      </c>
      <c r="BD13">
        <f t="shared" si="40"/>
        <v>0.76277563092104828</v>
      </c>
      <c r="BE13">
        <f t="shared" si="41"/>
        <v>0.84326874401380636</v>
      </c>
    </row>
    <row r="14" spans="2:57" x14ac:dyDescent="0.3">
      <c r="G14">
        <v>105</v>
      </c>
      <c r="I14">
        <f t="shared" si="0"/>
        <v>9.4730567005775868E-2</v>
      </c>
      <c r="J14">
        <f t="shared" si="1"/>
        <v>0.15528549456541479</v>
      </c>
      <c r="K14">
        <f t="shared" si="2"/>
        <v>0.19963011175668893</v>
      </c>
      <c r="L14">
        <f t="shared" si="3"/>
        <v>0.23603472101352116</v>
      </c>
      <c r="M14">
        <f t="shared" si="4"/>
        <v>0.26754925856393441</v>
      </c>
      <c r="N14">
        <f t="shared" si="5"/>
        <v>0.29567419013929419</v>
      </c>
      <c r="O14">
        <f t="shared" si="6"/>
        <v>0.32127364650068396</v>
      </c>
      <c r="P14">
        <f t="shared" si="7"/>
        <v>0.34489758203526322</v>
      </c>
      <c r="Q14">
        <f t="shared" si="8"/>
        <v>0.36692108772311305</v>
      </c>
      <c r="R14">
        <f t="shared" si="9"/>
        <v>0.38761333572648299</v>
      </c>
      <c r="S14">
        <f t="shared" si="10"/>
        <v>0.5501604023542791</v>
      </c>
      <c r="T14">
        <f t="shared" si="11"/>
        <v>0.669580745803801</v>
      </c>
      <c r="U14">
        <f t="shared" si="12"/>
        <v>0.76641397953105828</v>
      </c>
      <c r="V14">
        <f t="shared" si="13"/>
        <v>0.84855257304543275</v>
      </c>
      <c r="Y14">
        <v>105</v>
      </c>
      <c r="AA14">
        <f t="shared" si="14"/>
        <v>0.11245674973430275</v>
      </c>
      <c r="AB14">
        <f t="shared" si="15"/>
        <v>0.16962433257069018</v>
      </c>
      <c r="AC14">
        <f t="shared" si="16"/>
        <v>0.21201979956829659</v>
      </c>
      <c r="AD14">
        <f t="shared" si="17"/>
        <v>0.24711674739236783</v>
      </c>
      <c r="AE14">
        <f t="shared" si="18"/>
        <v>0.27765089504983587</v>
      </c>
      <c r="AF14">
        <f t="shared" si="19"/>
        <v>0.30498209522504149</v>
      </c>
      <c r="AG14">
        <f t="shared" si="20"/>
        <v>0.32990232912026402</v>
      </c>
      <c r="AH14">
        <f t="shared" si="21"/>
        <v>0.35292069317520947</v>
      </c>
      <c r="AI14">
        <f t="shared" si="22"/>
        <v>0.37438741076876991</v>
      </c>
      <c r="AJ14">
        <f t="shared" si="23"/>
        <v>0.39455567305177863</v>
      </c>
      <c r="AK14">
        <f t="shared" si="24"/>
        <v>0.55232725998867305</v>
      </c>
      <c r="AL14">
        <f t="shared" si="25"/>
        <v>0.66665447263519584</v>
      </c>
      <c r="AM14">
        <f t="shared" si="26"/>
        <v>0.75779237344430039</v>
      </c>
      <c r="AN14">
        <f t="shared" si="27"/>
        <v>0.83366938178088823</v>
      </c>
      <c r="AP14">
        <v>105</v>
      </c>
      <c r="AR14">
        <f t="shared" si="28"/>
        <v>3.7403491562746805E-2</v>
      </c>
      <c r="AS14">
        <f t="shared" si="29"/>
        <v>9.5806705523719615E-2</v>
      </c>
      <c r="AT14">
        <f t="shared" si="30"/>
        <v>0.1429240792467272</v>
      </c>
      <c r="AU14">
        <f t="shared" si="31"/>
        <v>0.182038150418775</v>
      </c>
      <c r="AV14">
        <f t="shared" si="32"/>
        <v>0.21576180864022365</v>
      </c>
      <c r="AW14">
        <f t="shared" si="33"/>
        <v>0.2456445343208962</v>
      </c>
      <c r="AX14">
        <f t="shared" si="34"/>
        <v>0.27264617640732552</v>
      </c>
      <c r="AY14">
        <f t="shared" si="35"/>
        <v>0.29739757516778265</v>
      </c>
      <c r="AZ14">
        <f t="shared" si="36"/>
        <v>0.32033505994229872</v>
      </c>
      <c r="BA14">
        <f t="shared" si="37"/>
        <v>0.34177330202865708</v>
      </c>
      <c r="BB14">
        <f t="shared" si="38"/>
        <v>0.5072394859703554</v>
      </c>
      <c r="BC14">
        <f t="shared" si="39"/>
        <v>0.62659671715556564</v>
      </c>
      <c r="BD14">
        <f t="shared" si="40"/>
        <v>0.72256894624086909</v>
      </c>
      <c r="BE14">
        <f t="shared" si="41"/>
        <v>0.80358729178703991</v>
      </c>
    </row>
    <row r="15" spans="2:57" x14ac:dyDescent="0.3">
      <c r="G15">
        <v>110</v>
      </c>
      <c r="I15">
        <f t="shared" si="0"/>
        <v>4.1459744625109492E-2</v>
      </c>
      <c r="J15">
        <f t="shared" si="1"/>
        <v>0.10332955422391689</v>
      </c>
      <c r="K15">
        <f t="shared" si="2"/>
        <v>0.15274679608962338</v>
      </c>
      <c r="L15">
        <f t="shared" si="3"/>
        <v>0.19366366629160028</v>
      </c>
      <c r="M15">
        <f t="shared" si="4"/>
        <v>0.22891366897286514</v>
      </c>
      <c r="N15">
        <f t="shared" si="5"/>
        <v>0.26014283512817954</v>
      </c>
      <c r="O15">
        <f t="shared" si="6"/>
        <v>0.28836210247206262</v>
      </c>
      <c r="P15">
        <f t="shared" si="7"/>
        <v>0.31423293448931333</v>
      </c>
      <c r="Q15">
        <f t="shared" si="8"/>
        <v>0.33821167077407699</v>
      </c>
      <c r="R15">
        <f t="shared" si="9"/>
        <v>0.36062690186445995</v>
      </c>
      <c r="S15">
        <f t="shared" si="10"/>
        <v>0.53375807389774854</v>
      </c>
      <c r="T15">
        <f t="shared" si="11"/>
        <v>0.658754089959111</v>
      </c>
      <c r="U15">
        <f t="shared" si="12"/>
        <v>0.75930525448770614</v>
      </c>
      <c r="V15">
        <f t="shared" si="13"/>
        <v>0.84421159741338536</v>
      </c>
      <c r="Y15">
        <v>110</v>
      </c>
      <c r="AA15">
        <f t="shared" si="14"/>
        <v>7.8904665626496825E-2</v>
      </c>
      <c r="AB15">
        <f t="shared" si="15"/>
        <v>0.14337557290741065</v>
      </c>
      <c r="AC15">
        <f t="shared" si="16"/>
        <v>0.19068654650481348</v>
      </c>
      <c r="AD15">
        <f t="shared" si="17"/>
        <v>0.22925780102263246</v>
      </c>
      <c r="AE15">
        <f t="shared" si="18"/>
        <v>0.26242669261937368</v>
      </c>
      <c r="AF15">
        <f t="shared" si="19"/>
        <v>0.29186001251802374</v>
      </c>
      <c r="AG15">
        <f t="shared" si="20"/>
        <v>0.31851990708534011</v>
      </c>
      <c r="AH15">
        <f t="shared" si="21"/>
        <v>0.34301770068622478</v>
      </c>
      <c r="AI15">
        <f t="shared" si="22"/>
        <v>0.36576911327852024</v>
      </c>
      <c r="AJ15">
        <f t="shared" si="23"/>
        <v>0.38707149777283806</v>
      </c>
      <c r="AK15">
        <f t="shared" si="24"/>
        <v>0.5520346837390272</v>
      </c>
      <c r="AL15">
        <f t="shared" si="25"/>
        <v>0.6704499236841015</v>
      </c>
      <c r="AM15">
        <f t="shared" si="26"/>
        <v>0.76447556683034001</v>
      </c>
      <c r="AN15">
        <f t="shared" si="27"/>
        <v>0.84258928010075784</v>
      </c>
      <c r="AP15">
        <v>110</v>
      </c>
      <c r="AR15">
        <f t="shared" si="28"/>
        <v>1.2798321316875715E-3</v>
      </c>
      <c r="AS15">
        <f t="shared" si="29"/>
        <v>1.751723241894686E-2</v>
      </c>
      <c r="AT15">
        <f t="shared" si="30"/>
        <v>4.5686150128548215E-2</v>
      </c>
      <c r="AU15">
        <f t="shared" si="31"/>
        <v>7.6938968689493709E-2</v>
      </c>
      <c r="AV15">
        <f t="shared" si="32"/>
        <v>0.10783044375026946</v>
      </c>
      <c r="AW15">
        <f t="shared" si="33"/>
        <v>0.13727638643411783</v>
      </c>
      <c r="AX15">
        <f t="shared" si="34"/>
        <v>0.16502382731650939</v>
      </c>
      <c r="AY15">
        <f t="shared" si="35"/>
        <v>0.19110786021475312</v>
      </c>
      <c r="AZ15">
        <f t="shared" si="36"/>
        <v>0.21565675444124369</v>
      </c>
      <c r="BA15">
        <f t="shared" si="37"/>
        <v>0.23882000168449918</v>
      </c>
      <c r="BB15">
        <f t="shared" si="38"/>
        <v>0.41911044907526829</v>
      </c>
      <c r="BC15">
        <f t="shared" si="39"/>
        <v>0.54747527123167761</v>
      </c>
      <c r="BD15">
        <f t="shared" si="40"/>
        <v>0.64921143972907125</v>
      </c>
      <c r="BE15">
        <f t="shared" si="41"/>
        <v>0.73420648836426439</v>
      </c>
    </row>
    <row r="16" spans="2:57" x14ac:dyDescent="0.3">
      <c r="G16">
        <v>115</v>
      </c>
      <c r="I16">
        <f t="shared" si="0"/>
        <v>1.1355073152064604E-2</v>
      </c>
      <c r="J16">
        <f t="shared" si="1"/>
        <v>5.4377515022381848E-2</v>
      </c>
      <c r="K16">
        <f t="shared" si="2"/>
        <v>9.9933417595958002E-2</v>
      </c>
      <c r="L16">
        <f t="shared" si="3"/>
        <v>0.14127284601816151</v>
      </c>
      <c r="M16">
        <f t="shared" si="4"/>
        <v>0.17825651843380044</v>
      </c>
      <c r="N16">
        <f t="shared" si="5"/>
        <v>0.21158960540408664</v>
      </c>
      <c r="O16">
        <f t="shared" si="6"/>
        <v>0.24195071188978154</v>
      </c>
      <c r="P16">
        <f t="shared" si="7"/>
        <v>0.2698796374360215</v>
      </c>
      <c r="Q16">
        <f t="shared" si="8"/>
        <v>0.29579147918734411</v>
      </c>
      <c r="R16">
        <f t="shared" si="9"/>
        <v>0.32000599329500923</v>
      </c>
      <c r="S16">
        <f t="shared" si="10"/>
        <v>0.50560061959578562</v>
      </c>
      <c r="T16">
        <f t="shared" si="11"/>
        <v>0.63773587385453712</v>
      </c>
      <c r="U16">
        <f t="shared" si="12"/>
        <v>0.74312371276717004</v>
      </c>
      <c r="V16">
        <f t="shared" si="13"/>
        <v>0.83163420463033977</v>
      </c>
      <c r="Y16">
        <v>115</v>
      </c>
      <c r="AA16">
        <f t="shared" si="14"/>
        <v>4.4925546239266936E-2</v>
      </c>
      <c r="AB16">
        <f t="shared" si="15"/>
        <v>0.10912500779394539</v>
      </c>
      <c r="AC16">
        <f t="shared" si="16"/>
        <v>0.1598779807314763</v>
      </c>
      <c r="AD16">
        <f t="shared" si="17"/>
        <v>0.20174485287319668</v>
      </c>
      <c r="AE16">
        <f t="shared" si="18"/>
        <v>0.23773448946649214</v>
      </c>
      <c r="AF16">
        <f t="shared" si="19"/>
        <v>0.26956448745123346</v>
      </c>
      <c r="AG16">
        <f t="shared" si="20"/>
        <v>0.29828227300311033</v>
      </c>
      <c r="AH16">
        <f t="shared" si="21"/>
        <v>0.32457082698947876</v>
      </c>
      <c r="AI16">
        <f t="shared" si="22"/>
        <v>0.34890050929444233</v>
      </c>
      <c r="AJ16">
        <f t="shared" si="23"/>
        <v>0.37160972039984985</v>
      </c>
      <c r="AK16">
        <f t="shared" si="24"/>
        <v>0.5455921101145208</v>
      </c>
      <c r="AL16">
        <f t="shared" si="25"/>
        <v>0.66906761646336732</v>
      </c>
      <c r="AM16">
        <f t="shared" si="26"/>
        <v>0.76659899934282549</v>
      </c>
      <c r="AN16">
        <f t="shared" si="27"/>
        <v>0.84738574187741256</v>
      </c>
      <c r="AP16">
        <v>115</v>
      </c>
      <c r="AR16">
        <f t="shared" si="28"/>
        <v>6.7367205338682622E-6</v>
      </c>
      <c r="AS16">
        <f t="shared" si="29"/>
        <v>1.2568601723670415E-3</v>
      </c>
      <c r="AT16">
        <f t="shared" si="30"/>
        <v>7.8303531906443406E-3</v>
      </c>
      <c r="AU16">
        <f t="shared" si="31"/>
        <v>2.0381249613524031E-2</v>
      </c>
      <c r="AV16">
        <f t="shared" si="32"/>
        <v>3.709184487135108E-2</v>
      </c>
      <c r="AW16">
        <f t="shared" si="33"/>
        <v>5.6204093069575231E-2</v>
      </c>
      <c r="AX16">
        <f t="shared" si="34"/>
        <v>7.6514510849957487E-2</v>
      </c>
      <c r="AY16">
        <f t="shared" si="35"/>
        <v>9.727348704819927E-2</v>
      </c>
      <c r="AZ16">
        <f t="shared" si="36"/>
        <v>0.11803032678147582</v>
      </c>
      <c r="BA16">
        <f t="shared" si="37"/>
        <v>0.13852014243074298</v>
      </c>
      <c r="BB16">
        <f t="shared" si="38"/>
        <v>0.31566273567519076</v>
      </c>
      <c r="BC16">
        <f t="shared" si="39"/>
        <v>0.4498594691960292</v>
      </c>
      <c r="BD16">
        <f t="shared" si="40"/>
        <v>0.55719510030463637</v>
      </c>
      <c r="BE16">
        <f t="shared" si="41"/>
        <v>0.6468217313827832</v>
      </c>
    </row>
    <row r="17" spans="7:57" x14ac:dyDescent="0.3">
      <c r="G17">
        <v>120</v>
      </c>
      <c r="I17">
        <f t="shared" si="0"/>
        <v>2.0685250757256843E-3</v>
      </c>
      <c r="J17">
        <f t="shared" si="1"/>
        <v>2.3332711412433971E-2</v>
      </c>
      <c r="K17">
        <f t="shared" si="2"/>
        <v>5.7053408088958327E-2</v>
      </c>
      <c r="L17">
        <f t="shared" si="3"/>
        <v>9.3034075502440555E-2</v>
      </c>
      <c r="M17">
        <f t="shared" si="4"/>
        <v>0.12788990708238193</v>
      </c>
      <c r="N17">
        <f t="shared" si="5"/>
        <v>0.16072749659884919</v>
      </c>
      <c r="O17">
        <f t="shared" si="6"/>
        <v>0.19144349454685666</v>
      </c>
      <c r="P17">
        <f t="shared" si="7"/>
        <v>0.2201771367549985</v>
      </c>
      <c r="Q17">
        <f t="shared" si="8"/>
        <v>0.24712869597243459</v>
      </c>
      <c r="R17">
        <f t="shared" si="9"/>
        <v>0.27249840451049845</v>
      </c>
      <c r="S17">
        <f t="shared" si="10"/>
        <v>0.46905195347320522</v>
      </c>
      <c r="T17">
        <f t="shared" si="11"/>
        <v>0.60877484538879079</v>
      </c>
      <c r="U17">
        <f t="shared" si="12"/>
        <v>0.71957857026067118</v>
      </c>
      <c r="V17">
        <f t="shared" si="13"/>
        <v>0.81221348325030684</v>
      </c>
      <c r="Y17">
        <v>120</v>
      </c>
      <c r="AA17">
        <f t="shared" si="14"/>
        <v>2.1327896525065605E-2</v>
      </c>
      <c r="AB17">
        <f t="shared" si="15"/>
        <v>7.5813336945485366E-2</v>
      </c>
      <c r="AC17">
        <f t="shared" si="16"/>
        <v>0.12610496950196404</v>
      </c>
      <c r="AD17">
        <f t="shared" si="17"/>
        <v>0.16955364143103457</v>
      </c>
      <c r="AE17">
        <f t="shared" si="18"/>
        <v>0.20755515123786619</v>
      </c>
      <c r="AF17">
        <f t="shared" si="19"/>
        <v>0.24139509792774025</v>
      </c>
      <c r="AG17">
        <f t="shared" si="20"/>
        <v>0.27199931861420884</v>
      </c>
      <c r="AH17">
        <f t="shared" si="21"/>
        <v>0.30002386856514912</v>
      </c>
      <c r="AI17">
        <f t="shared" si="22"/>
        <v>0.32594284085625297</v>
      </c>
      <c r="AJ17">
        <f t="shared" si="23"/>
        <v>0.3501077491813388</v>
      </c>
      <c r="AK17">
        <f t="shared" si="24"/>
        <v>0.53397313281358616</v>
      </c>
      <c r="AL17">
        <f t="shared" si="25"/>
        <v>0.66318326233497227</v>
      </c>
      <c r="AM17">
        <f t="shared" si="26"/>
        <v>0.76469439302491615</v>
      </c>
      <c r="AN17">
        <f t="shared" si="27"/>
        <v>0.84850513852620746</v>
      </c>
      <c r="AP17">
        <v>120</v>
      </c>
      <c r="AR17">
        <f t="shared" si="28"/>
        <v>6.9599615016725039E-9</v>
      </c>
      <c r="AS17">
        <f t="shared" si="29"/>
        <v>3.9971023224294193E-5</v>
      </c>
      <c r="AT17">
        <f t="shared" si="30"/>
        <v>7.8044023598122878E-4</v>
      </c>
      <c r="AU17">
        <f t="shared" si="31"/>
        <v>3.5961608377988127E-3</v>
      </c>
      <c r="AV17">
        <f t="shared" si="32"/>
        <v>9.2196988092317338E-3</v>
      </c>
      <c r="AW17">
        <f t="shared" si="33"/>
        <v>1.7556027112756587E-2</v>
      </c>
      <c r="AX17">
        <f t="shared" si="34"/>
        <v>2.8136724172845171E-2</v>
      </c>
      <c r="AY17">
        <f t="shared" si="35"/>
        <v>4.042758351391075E-2</v>
      </c>
      <c r="AZ17">
        <f t="shared" si="36"/>
        <v>5.3953369730765095E-2</v>
      </c>
      <c r="BA17">
        <f t="shared" si="37"/>
        <v>6.8329969593104806E-2</v>
      </c>
      <c r="BB17">
        <f t="shared" si="38"/>
        <v>0.21935705841356859</v>
      </c>
      <c r="BC17">
        <f t="shared" si="39"/>
        <v>0.35044120413266605</v>
      </c>
      <c r="BD17">
        <f t="shared" si="40"/>
        <v>0.45956885215668852</v>
      </c>
      <c r="BE17">
        <f t="shared" si="41"/>
        <v>0.55209129543356328</v>
      </c>
    </row>
    <row r="18" spans="7:57" x14ac:dyDescent="0.3">
      <c r="G18">
        <v>125</v>
      </c>
      <c r="I18">
        <f t="shared" si="0"/>
        <v>2.6396322770578433E-4</v>
      </c>
      <c r="J18">
        <f t="shared" si="1"/>
        <v>8.3776579671249983E-3</v>
      </c>
      <c r="K18">
        <f t="shared" si="2"/>
        <v>2.89199319495635E-2</v>
      </c>
      <c r="L18">
        <f t="shared" si="3"/>
        <v>5.6032093638267749E-2</v>
      </c>
      <c r="M18">
        <f t="shared" si="4"/>
        <v>8.5419800594485507E-2</v>
      </c>
      <c r="N18">
        <f t="shared" si="5"/>
        <v>0.11501755031066588</v>
      </c>
      <c r="O18">
        <f t="shared" si="6"/>
        <v>0.14391583547437295</v>
      </c>
      <c r="P18">
        <f t="shared" si="7"/>
        <v>0.17174563874605031</v>
      </c>
      <c r="Q18">
        <f t="shared" si="8"/>
        <v>0.19838851664708951</v>
      </c>
      <c r="R18">
        <f t="shared" si="9"/>
        <v>0.22384180561821135</v>
      </c>
      <c r="S18">
        <f t="shared" si="10"/>
        <v>0.42729288686192152</v>
      </c>
      <c r="T18">
        <f t="shared" si="11"/>
        <v>0.57403350128173736</v>
      </c>
      <c r="U18">
        <f t="shared" si="12"/>
        <v>0.69031398866778315</v>
      </c>
      <c r="V18">
        <f t="shared" si="13"/>
        <v>0.78728394585688899</v>
      </c>
      <c r="Y18">
        <v>125</v>
      </c>
      <c r="AA18">
        <f t="shared" si="14"/>
        <v>8.6394717581212612E-3</v>
      </c>
      <c r="AB18">
        <f t="shared" si="15"/>
        <v>4.8636515735941716E-2</v>
      </c>
      <c r="AC18">
        <f t="shared" si="16"/>
        <v>9.4299256777715626E-2</v>
      </c>
      <c r="AD18">
        <f t="shared" si="17"/>
        <v>0.13688718821788132</v>
      </c>
      <c r="AE18">
        <f t="shared" si="18"/>
        <v>0.17545145159162673</v>
      </c>
      <c r="AF18">
        <f t="shared" si="19"/>
        <v>0.21040872318836001</v>
      </c>
      <c r="AG18">
        <f t="shared" si="20"/>
        <v>0.24233244905687776</v>
      </c>
      <c r="AH18">
        <f t="shared" si="21"/>
        <v>0.27172581972973997</v>
      </c>
      <c r="AI18">
        <f t="shared" si="22"/>
        <v>0.29899446559453879</v>
      </c>
      <c r="AJ18">
        <f t="shared" si="23"/>
        <v>0.3244596596452714</v>
      </c>
      <c r="AK18">
        <f t="shared" si="24"/>
        <v>0.51813885189910813</v>
      </c>
      <c r="AL18">
        <f t="shared" si="25"/>
        <v>0.65345582257987467</v>
      </c>
      <c r="AM18">
        <f t="shared" si="26"/>
        <v>0.75927402432728763</v>
      </c>
      <c r="AN18">
        <f t="shared" si="27"/>
        <v>0.84637317449963978</v>
      </c>
      <c r="AP18">
        <v>125</v>
      </c>
      <c r="AR18">
        <f t="shared" si="28"/>
        <v>1.735978122671637E-12</v>
      </c>
      <c r="AS18">
        <f t="shared" si="29"/>
        <v>6.2485864027086964E-7</v>
      </c>
      <c r="AT18">
        <f t="shared" si="30"/>
        <v>4.8462877771001518E-5</v>
      </c>
      <c r="AU18">
        <f t="shared" si="31"/>
        <v>4.4506677252410988E-4</v>
      </c>
      <c r="AV18">
        <f t="shared" si="32"/>
        <v>1.7258883967674482E-3</v>
      </c>
      <c r="AW18">
        <f t="shared" si="33"/>
        <v>4.3304080862080164E-3</v>
      </c>
      <c r="AX18">
        <f t="shared" si="34"/>
        <v>8.4518593867206771E-3</v>
      </c>
      <c r="AY18">
        <f t="shared" si="35"/>
        <v>1.4077924238848249E-2</v>
      </c>
      <c r="AZ18">
        <f t="shared" si="36"/>
        <v>2.107651658597795E-2</v>
      </c>
      <c r="BA18">
        <f t="shared" si="37"/>
        <v>2.9263550912716783E-2</v>
      </c>
      <c r="BB18">
        <f t="shared" si="38"/>
        <v>0.14209451688873281</v>
      </c>
      <c r="BC18">
        <f t="shared" si="39"/>
        <v>0.26058185632494107</v>
      </c>
      <c r="BD18">
        <f t="shared" si="40"/>
        <v>0.36612657044838837</v>
      </c>
      <c r="BE18">
        <f t="shared" si="41"/>
        <v>0.45841893964826841</v>
      </c>
    </row>
    <row r="19" spans="7:57" x14ac:dyDescent="0.3">
      <c r="G19">
        <v>130</v>
      </c>
      <c r="I19">
        <f t="shared" si="0"/>
        <v>2.4664615253611668E-5</v>
      </c>
      <c r="J19">
        <f t="shared" si="1"/>
        <v>2.573458981873061E-3</v>
      </c>
      <c r="K19">
        <f t="shared" si="2"/>
        <v>1.3209299733984308E-2</v>
      </c>
      <c r="L19">
        <f t="shared" si="3"/>
        <v>3.120781264579725E-2</v>
      </c>
      <c r="M19">
        <f t="shared" si="4"/>
        <v>5.3588475727461456E-2</v>
      </c>
      <c r="N19">
        <f t="shared" si="5"/>
        <v>7.8115019427058494E-2</v>
      </c>
      <c r="O19">
        <f t="shared" si="6"/>
        <v>0.10344072895213412</v>
      </c>
      <c r="P19">
        <f t="shared" si="7"/>
        <v>0.12880363658795957</v>
      </c>
      <c r="Q19">
        <f t="shared" si="8"/>
        <v>0.15378580943041786</v>
      </c>
      <c r="R19">
        <f t="shared" si="9"/>
        <v>0.17816680549913189</v>
      </c>
      <c r="S19">
        <f t="shared" si="10"/>
        <v>0.38308718744736653</v>
      </c>
      <c r="T19">
        <f t="shared" si="11"/>
        <v>0.53547351271025068</v>
      </c>
      <c r="U19">
        <f t="shared" si="12"/>
        <v>0.6568433742701324</v>
      </c>
      <c r="V19">
        <f t="shared" si="13"/>
        <v>0.7580802493833807</v>
      </c>
      <c r="Y19">
        <v>130</v>
      </c>
      <c r="AA19">
        <f t="shared" si="14"/>
        <v>3.0456280025937246E-3</v>
      </c>
      <c r="AB19">
        <f t="shared" si="15"/>
        <v>2.909841456749146E-2</v>
      </c>
      <c r="AC19">
        <f t="shared" si="16"/>
        <v>6.729573538434451E-2</v>
      </c>
      <c r="AD19">
        <f t="shared" si="17"/>
        <v>0.10669112068562892</v>
      </c>
      <c r="AE19">
        <f t="shared" si="18"/>
        <v>0.1441763943815362</v>
      </c>
      <c r="AF19">
        <f t="shared" si="19"/>
        <v>0.17910817795815687</v>
      </c>
      <c r="AG19">
        <f t="shared" si="20"/>
        <v>0.21154470571896189</v>
      </c>
      <c r="AH19">
        <f t="shared" si="21"/>
        <v>0.24172728981926181</v>
      </c>
      <c r="AI19">
        <f t="shared" si="22"/>
        <v>0.26992241961759361</v>
      </c>
      <c r="AJ19">
        <f t="shared" si="23"/>
        <v>0.29637484768584299</v>
      </c>
      <c r="AK19">
        <f t="shared" si="24"/>
        <v>0.49899766616306857</v>
      </c>
      <c r="AL19">
        <f t="shared" si="25"/>
        <v>0.64050987256156355</v>
      </c>
      <c r="AM19">
        <f t="shared" si="26"/>
        <v>0.7508216007760149</v>
      </c>
      <c r="AN19">
        <f t="shared" si="27"/>
        <v>0.84138986871529853</v>
      </c>
      <c r="AP19">
        <v>130</v>
      </c>
      <c r="AR19">
        <f t="shared" si="28"/>
        <v>1.247722190230733E-16</v>
      </c>
      <c r="AS19">
        <f t="shared" si="29"/>
        <v>5.2457823818334011E-9</v>
      </c>
      <c r="AT19">
        <f t="shared" si="30"/>
        <v>1.9887917206308642E-6</v>
      </c>
      <c r="AU19">
        <f t="shared" si="31"/>
        <v>4.038137314557552E-5</v>
      </c>
      <c r="AV19">
        <f t="shared" si="32"/>
        <v>2.5206590353609039E-4</v>
      </c>
      <c r="AW19">
        <f t="shared" si="33"/>
        <v>8.6868143918896585E-4</v>
      </c>
      <c r="AX19">
        <f t="shared" si="34"/>
        <v>2.1268370180966031E-3</v>
      </c>
      <c r="AY19">
        <f t="shared" si="35"/>
        <v>4.1991195969349748E-3</v>
      </c>
      <c r="AZ19">
        <f t="shared" si="36"/>
        <v>7.1754270940931394E-3</v>
      </c>
      <c r="BA19">
        <f t="shared" si="37"/>
        <v>1.1074379087941755E-2</v>
      </c>
      <c r="BB19">
        <f t="shared" si="38"/>
        <v>8.6559585117731042E-2</v>
      </c>
      <c r="BC19">
        <f t="shared" si="39"/>
        <v>0.18603608061799032</v>
      </c>
      <c r="BD19">
        <f t="shared" si="40"/>
        <v>0.28297093897443343</v>
      </c>
      <c r="BE19">
        <f t="shared" si="41"/>
        <v>0.37157602890379682</v>
      </c>
    </row>
    <row r="20" spans="7:57" x14ac:dyDescent="0.3">
      <c r="G20">
        <v>135</v>
      </c>
      <c r="I20">
        <f t="shared" si="0"/>
        <v>1.7530109023145043E-6</v>
      </c>
      <c r="J20">
        <f t="shared" si="1"/>
        <v>6.89320490541164E-4</v>
      </c>
      <c r="K20">
        <f t="shared" si="2"/>
        <v>5.5061531676659165E-3</v>
      </c>
      <c r="L20">
        <f t="shared" si="3"/>
        <v>1.6227966445448345E-2</v>
      </c>
      <c r="M20">
        <f t="shared" si="4"/>
        <v>3.1819367439192572E-2</v>
      </c>
      <c r="N20">
        <f t="shared" si="5"/>
        <v>5.0671947233936809E-2</v>
      </c>
      <c r="O20">
        <f t="shared" si="6"/>
        <v>7.147635788231986E-2</v>
      </c>
      <c r="P20">
        <f t="shared" si="7"/>
        <v>9.3320554875542944E-2</v>
      </c>
      <c r="Q20">
        <f t="shared" si="8"/>
        <v>0.11560345928134991</v>
      </c>
      <c r="R20">
        <f t="shared" si="9"/>
        <v>0.13793855243276579</v>
      </c>
      <c r="S20">
        <f t="shared" si="10"/>
        <v>0.33866932678137185</v>
      </c>
      <c r="T20">
        <f t="shared" si="11"/>
        <v>0.49479201943433782</v>
      </c>
      <c r="U20">
        <f t="shared" si="12"/>
        <v>0.62051137062691963</v>
      </c>
      <c r="V20">
        <f t="shared" si="13"/>
        <v>0.72571322803396565</v>
      </c>
      <c r="Y20">
        <v>135</v>
      </c>
      <c r="AA20">
        <f t="shared" si="14"/>
        <v>9.503394546450289E-4</v>
      </c>
      <c r="AB20">
        <f t="shared" si="15"/>
        <v>1.6374094930515438E-2</v>
      </c>
      <c r="AC20">
        <f t="shared" si="16"/>
        <v>4.6093272696781748E-2</v>
      </c>
      <c r="AD20">
        <f t="shared" si="17"/>
        <v>8.062306246902104E-2</v>
      </c>
      <c r="AE20">
        <f t="shared" si="18"/>
        <v>0.11556698455080515</v>
      </c>
      <c r="AF20">
        <f t="shared" si="19"/>
        <v>0.14932325285649345</v>
      </c>
      <c r="AG20">
        <f t="shared" si="20"/>
        <v>0.18138808755412689</v>
      </c>
      <c r="AH20">
        <f t="shared" si="21"/>
        <v>0.2116792144510537</v>
      </c>
      <c r="AI20">
        <f t="shared" si="22"/>
        <v>0.24027301202528756</v>
      </c>
      <c r="AJ20">
        <f t="shared" si="23"/>
        <v>0.26729952054680567</v>
      </c>
      <c r="AK20">
        <f t="shared" si="24"/>
        <v>0.47737971160509779</v>
      </c>
      <c r="AL20">
        <f t="shared" si="25"/>
        <v>0.62492438861032051</v>
      </c>
      <c r="AM20">
        <f t="shared" si="26"/>
        <v>0.73978667680739474</v>
      </c>
      <c r="AN20">
        <f t="shared" si="27"/>
        <v>0.83392671372802984</v>
      </c>
      <c r="AP20">
        <v>135</v>
      </c>
      <c r="AR20">
        <f t="shared" si="28"/>
        <v>3.0086617304103606E-21</v>
      </c>
      <c r="AS20">
        <f t="shared" si="29"/>
        <v>2.5517633623765736E-11</v>
      </c>
      <c r="AT20">
        <f t="shared" si="30"/>
        <v>5.6738474150032419E-8</v>
      </c>
      <c r="AU20">
        <f t="shared" si="31"/>
        <v>2.7899636340967845E-6</v>
      </c>
      <c r="AV20">
        <f t="shared" si="32"/>
        <v>2.9607997104108362E-5</v>
      </c>
      <c r="AW20">
        <f t="shared" si="33"/>
        <v>1.4534734818581388E-4</v>
      </c>
      <c r="AX20">
        <f t="shared" si="34"/>
        <v>4.5817559828766953E-4</v>
      </c>
      <c r="AY20">
        <f t="shared" si="35"/>
        <v>1.0933755800638383E-3</v>
      </c>
      <c r="AZ20">
        <f t="shared" si="36"/>
        <v>2.1651121661498732E-3</v>
      </c>
      <c r="BA20">
        <f t="shared" si="37"/>
        <v>3.7598389688949115E-3</v>
      </c>
      <c r="BB20">
        <f t="shared" si="38"/>
        <v>4.9962307922047984E-2</v>
      </c>
      <c r="BC20">
        <f t="shared" si="39"/>
        <v>0.12815935968047906</v>
      </c>
      <c r="BD20">
        <f t="shared" si="40"/>
        <v>0.21296483325512211</v>
      </c>
      <c r="BE20">
        <f t="shared" si="41"/>
        <v>0.29489098382107914</v>
      </c>
    </row>
    <row r="21" spans="7:57" x14ac:dyDescent="0.3">
      <c r="G21">
        <v>140</v>
      </c>
      <c r="I21">
        <f t="shared" si="0"/>
        <v>9.7937749170318701E-8</v>
      </c>
      <c r="J21">
        <f t="shared" si="1"/>
        <v>1.6367344465552199E-4</v>
      </c>
      <c r="K21">
        <f t="shared" si="2"/>
        <v>2.1177230646577411E-3</v>
      </c>
      <c r="L21">
        <f t="shared" si="3"/>
        <v>7.9435914841497809E-3</v>
      </c>
      <c r="M21">
        <f t="shared" si="4"/>
        <v>1.8000455519786449E-2</v>
      </c>
      <c r="N21">
        <f t="shared" si="5"/>
        <v>3.1568381504252209E-2</v>
      </c>
      <c r="O21">
        <f t="shared" si="6"/>
        <v>4.7705729750376964E-2</v>
      </c>
      <c r="P21">
        <f t="shared" si="7"/>
        <v>6.5588544899120957E-2</v>
      </c>
      <c r="Q21">
        <f t="shared" si="8"/>
        <v>8.4581782621465387E-2</v>
      </c>
      <c r="R21">
        <f t="shared" si="9"/>
        <v>0.1042211652111974</v>
      </c>
      <c r="S21">
        <f t="shared" si="10"/>
        <v>0.2957231189511369</v>
      </c>
      <c r="T21">
        <f t="shared" si="11"/>
        <v>0.45339683503257289</v>
      </c>
      <c r="U21">
        <f t="shared" si="12"/>
        <v>0.58247693709726134</v>
      </c>
      <c r="V21">
        <f t="shared" si="13"/>
        <v>0.69115896371880403</v>
      </c>
      <c r="Y21">
        <v>140</v>
      </c>
      <c r="AA21">
        <f t="shared" si="14"/>
        <v>2.6634878733576307E-4</v>
      </c>
      <c r="AB21">
        <f t="shared" si="15"/>
        <v>8.7300030082944971E-3</v>
      </c>
      <c r="AC21">
        <f t="shared" si="16"/>
        <v>3.0450166811718988E-2</v>
      </c>
      <c r="AD21">
        <f t="shared" si="17"/>
        <v>5.9286927376384899E-2</v>
      </c>
      <c r="AE21">
        <f t="shared" si="18"/>
        <v>9.0627906162675992E-2</v>
      </c>
      <c r="AF21">
        <f t="shared" si="19"/>
        <v>0.12222910034137176</v>
      </c>
      <c r="AG21">
        <f t="shared" si="20"/>
        <v>0.15309296235130823</v>
      </c>
      <c r="AH21">
        <f t="shared" si="21"/>
        <v>0.18280966330758441</v>
      </c>
      <c r="AI21">
        <f t="shared" si="22"/>
        <v>0.2112437392784553</v>
      </c>
      <c r="AJ21">
        <f t="shared" si="23"/>
        <v>0.23838743989858865</v>
      </c>
      <c r="AK21">
        <f t="shared" si="24"/>
        <v>0.45402279742050045</v>
      </c>
      <c r="AL21">
        <f t="shared" si="25"/>
        <v>0.6072264500392125</v>
      </c>
      <c r="AM21">
        <f t="shared" si="26"/>
        <v>0.72658171509209246</v>
      </c>
      <c r="AN21">
        <f t="shared" si="27"/>
        <v>0.82432542675759601</v>
      </c>
      <c r="AP21">
        <v>140</v>
      </c>
      <c r="AR21">
        <f t="shared" si="28"/>
        <v>2.7755174863825503E-26</v>
      </c>
      <c r="AS21">
        <f t="shared" si="29"/>
        <v>7.6802814218934899E-14</v>
      </c>
      <c r="AT21">
        <f t="shared" si="30"/>
        <v>1.1756275778131189E-9</v>
      </c>
      <c r="AU21">
        <f t="shared" si="31"/>
        <v>1.5167651578010655E-7</v>
      </c>
      <c r="AV21">
        <f t="shared" si="32"/>
        <v>2.8713454403848715E-6</v>
      </c>
      <c r="AW21">
        <f t="shared" si="33"/>
        <v>2.0732639788992961E-5</v>
      </c>
      <c r="AX21">
        <f t="shared" si="34"/>
        <v>8.6094036586961643E-5</v>
      </c>
      <c r="AY21">
        <f t="shared" si="35"/>
        <v>2.5262754622349385E-4</v>
      </c>
      <c r="AZ21">
        <f t="shared" si="36"/>
        <v>5.8750695962988023E-4</v>
      </c>
      <c r="BA21">
        <f t="shared" si="37"/>
        <v>1.1602695242521601E-3</v>
      </c>
      <c r="BB21">
        <f t="shared" si="38"/>
        <v>2.7503549451983314E-2</v>
      </c>
      <c r="BC21">
        <f t="shared" si="39"/>
        <v>8.5562234911034277E-2</v>
      </c>
      <c r="BD21">
        <f t="shared" si="40"/>
        <v>0.15657861761389585</v>
      </c>
      <c r="BE21">
        <f t="shared" si="41"/>
        <v>0.22973211747964489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C9676-1E95-44F0-8177-040647574B28}">
  <sheetPr codeName="Sheet11"/>
  <dimension ref="C2:C33"/>
  <sheetViews>
    <sheetView topLeftCell="A37" zoomScale="85" zoomScaleNormal="85" workbookViewId="0">
      <selection activeCell="K62" sqref="K62"/>
    </sheetView>
  </sheetViews>
  <sheetFormatPr defaultRowHeight="14.4" x14ac:dyDescent="0.3"/>
  <sheetData>
    <row r="2" spans="3:3" x14ac:dyDescent="0.3">
      <c r="C2">
        <v>40</v>
      </c>
    </row>
    <row r="3" spans="3:3" x14ac:dyDescent="0.3">
      <c r="C3">
        <v>45</v>
      </c>
    </row>
    <row r="4" spans="3:3" x14ac:dyDescent="0.3">
      <c r="C4">
        <v>50</v>
      </c>
    </row>
    <row r="5" spans="3:3" x14ac:dyDescent="0.3">
      <c r="C5">
        <v>55</v>
      </c>
    </row>
    <row r="6" spans="3:3" x14ac:dyDescent="0.3">
      <c r="C6">
        <v>60</v>
      </c>
    </row>
    <row r="7" spans="3:3" x14ac:dyDescent="0.3">
      <c r="C7">
        <v>65</v>
      </c>
    </row>
    <row r="8" spans="3:3" x14ac:dyDescent="0.3">
      <c r="C8">
        <v>70</v>
      </c>
    </row>
    <row r="9" spans="3:3" x14ac:dyDescent="0.3">
      <c r="C9">
        <v>75</v>
      </c>
    </row>
    <row r="10" spans="3:3" x14ac:dyDescent="0.3">
      <c r="C10">
        <v>80</v>
      </c>
    </row>
    <row r="11" spans="3:3" x14ac:dyDescent="0.3">
      <c r="C11">
        <v>85</v>
      </c>
    </row>
    <row r="12" spans="3:3" x14ac:dyDescent="0.3">
      <c r="C12">
        <v>90</v>
      </c>
    </row>
    <row r="13" spans="3:3" x14ac:dyDescent="0.3">
      <c r="C13">
        <v>95</v>
      </c>
    </row>
    <row r="14" spans="3:3" x14ac:dyDescent="0.3">
      <c r="C14">
        <v>100</v>
      </c>
    </row>
    <row r="15" spans="3:3" x14ac:dyDescent="0.3">
      <c r="C15">
        <v>105</v>
      </c>
    </row>
    <row r="16" spans="3:3" x14ac:dyDescent="0.3">
      <c r="C16">
        <v>110</v>
      </c>
    </row>
    <row r="17" spans="3:3" x14ac:dyDescent="0.3">
      <c r="C17">
        <v>115</v>
      </c>
    </row>
    <row r="18" spans="3:3" x14ac:dyDescent="0.3">
      <c r="C18">
        <v>120</v>
      </c>
    </row>
    <row r="19" spans="3:3" x14ac:dyDescent="0.3">
      <c r="C19">
        <v>125</v>
      </c>
    </row>
    <row r="20" spans="3:3" x14ac:dyDescent="0.3">
      <c r="C20">
        <v>130</v>
      </c>
    </row>
    <row r="21" spans="3:3" x14ac:dyDescent="0.3">
      <c r="C21">
        <v>135</v>
      </c>
    </row>
    <row r="22" spans="3:3" x14ac:dyDescent="0.3">
      <c r="C22">
        <v>140</v>
      </c>
    </row>
    <row r="23" spans="3:3" x14ac:dyDescent="0.3">
      <c r="C23">
        <v>145</v>
      </c>
    </row>
    <row r="24" spans="3:3" x14ac:dyDescent="0.3">
      <c r="C24">
        <v>150</v>
      </c>
    </row>
    <row r="25" spans="3:3" x14ac:dyDescent="0.3">
      <c r="C25">
        <v>155</v>
      </c>
    </row>
    <row r="26" spans="3:3" x14ac:dyDescent="0.3">
      <c r="C26">
        <v>160</v>
      </c>
    </row>
    <row r="27" spans="3:3" x14ac:dyDescent="0.3">
      <c r="C27">
        <v>165</v>
      </c>
    </row>
    <row r="28" spans="3:3" x14ac:dyDescent="0.3">
      <c r="C28">
        <v>170</v>
      </c>
    </row>
    <row r="29" spans="3:3" x14ac:dyDescent="0.3">
      <c r="C29">
        <v>175</v>
      </c>
    </row>
    <row r="30" spans="3:3" x14ac:dyDescent="0.3">
      <c r="C30">
        <v>180</v>
      </c>
    </row>
    <row r="31" spans="3:3" x14ac:dyDescent="0.3">
      <c r="C31">
        <v>185</v>
      </c>
    </row>
    <row r="32" spans="3:3" x14ac:dyDescent="0.3">
      <c r="C32">
        <v>190</v>
      </c>
    </row>
    <row r="33" spans="3:3" x14ac:dyDescent="0.3">
      <c r="C33">
        <v>195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FBA229-8F24-4DDF-B97A-37B87A32DDF7}">
  <sheetPr codeName="Sheet7"/>
  <dimension ref="C3:AJ161"/>
  <sheetViews>
    <sheetView topLeftCell="A76" zoomScale="70" zoomScaleNormal="70" workbookViewId="0">
      <selection activeCell="AF171" sqref="AF171"/>
    </sheetView>
  </sheetViews>
  <sheetFormatPr defaultRowHeight="14.4" x14ac:dyDescent="0.3"/>
  <cols>
    <col min="7" max="7" width="12.33203125" customWidth="1"/>
    <col min="9" max="9" width="9.88671875" customWidth="1"/>
    <col min="12" max="12" width="11" customWidth="1"/>
  </cols>
  <sheetData>
    <row r="3" spans="3:25" x14ac:dyDescent="0.3">
      <c r="C3" t="s">
        <v>54</v>
      </c>
    </row>
    <row r="5" spans="3:25" x14ac:dyDescent="0.3">
      <c r="C5" t="s">
        <v>55</v>
      </c>
      <c r="I5" s="3">
        <v>44746</v>
      </c>
      <c r="K5" t="s">
        <v>63</v>
      </c>
      <c r="L5" s="1"/>
    </row>
    <row r="6" spans="3:25" x14ac:dyDescent="0.3">
      <c r="C6" t="s">
        <v>56</v>
      </c>
      <c r="G6" t="s">
        <v>61</v>
      </c>
      <c r="H6" t="s">
        <v>70</v>
      </c>
      <c r="L6" s="1"/>
      <c r="Y6" s="1"/>
    </row>
    <row r="7" spans="3:25" x14ac:dyDescent="0.3">
      <c r="C7" t="s">
        <v>57</v>
      </c>
      <c r="G7" t="s">
        <v>62</v>
      </c>
      <c r="H7">
        <v>122.31</v>
      </c>
      <c r="L7" s="1"/>
      <c r="Y7" s="1"/>
    </row>
    <row r="8" spans="3:25" x14ac:dyDescent="0.3">
      <c r="C8" t="s">
        <v>58</v>
      </c>
      <c r="G8" t="s">
        <v>69</v>
      </c>
      <c r="H8">
        <v>0</v>
      </c>
      <c r="L8" s="1"/>
      <c r="Y8" s="1"/>
    </row>
    <row r="9" spans="3:25" x14ac:dyDescent="0.3">
      <c r="C9" t="s">
        <v>59</v>
      </c>
      <c r="L9" s="1"/>
      <c r="Y9" s="1"/>
    </row>
    <row r="10" spans="3:25" x14ac:dyDescent="0.3">
      <c r="C10" t="s">
        <v>60</v>
      </c>
      <c r="J10" t="s">
        <v>51</v>
      </c>
      <c r="L10" s="1"/>
      <c r="Q10" t="s">
        <v>68</v>
      </c>
      <c r="R10">
        <v>4</v>
      </c>
      <c r="Y10" s="1"/>
    </row>
    <row r="11" spans="3:25" x14ac:dyDescent="0.3">
      <c r="H11" t="s">
        <v>71</v>
      </c>
      <c r="I11" s="33" t="s">
        <v>64</v>
      </c>
      <c r="J11" s="33"/>
      <c r="K11" s="33"/>
      <c r="L11" s="1" t="s">
        <v>42</v>
      </c>
      <c r="M11" t="s">
        <v>43</v>
      </c>
      <c r="N11" t="s">
        <v>44</v>
      </c>
      <c r="O11" t="s">
        <v>45</v>
      </c>
      <c r="P11" t="s">
        <v>67</v>
      </c>
      <c r="Q11" t="s">
        <v>46</v>
      </c>
      <c r="R11" t="s">
        <v>47</v>
      </c>
      <c r="S11" t="s">
        <v>48</v>
      </c>
      <c r="T11" t="s">
        <v>49</v>
      </c>
      <c r="Y11" s="1"/>
    </row>
    <row r="12" spans="3:25" x14ac:dyDescent="0.3">
      <c r="H12">
        <f>I12*100</f>
        <v>145.68119640481964</v>
      </c>
      <c r="I12" s="33">
        <f>ImpliedVolatility($H$6,$H$7,L12,Third_part!$X$23,Third_part!$Z$23,$H$8,P12,$R$10)</f>
        <v>1.4568119640481965</v>
      </c>
      <c r="J12" s="33"/>
      <c r="K12" s="33"/>
      <c r="L12" s="4">
        <v>110</v>
      </c>
      <c r="M12">
        <v>12</v>
      </c>
      <c r="N12">
        <v>13</v>
      </c>
      <c r="O12">
        <v>14.5</v>
      </c>
      <c r="P12">
        <f>(N12+O12)/2</f>
        <v>13.75</v>
      </c>
      <c r="Q12" t="s">
        <v>50</v>
      </c>
      <c r="R12">
        <v>4</v>
      </c>
      <c r="S12">
        <v>12</v>
      </c>
      <c r="T12" s="1">
        <v>0.50509999999999999</v>
      </c>
      <c r="Y12" s="1"/>
    </row>
    <row r="13" spans="3:25" x14ac:dyDescent="0.3">
      <c r="H13">
        <f t="shared" ref="H13:H21" si="0">I13*100</f>
        <v>78.492706000567651</v>
      </c>
      <c r="I13" s="33">
        <f>ImpliedVolatility($H$6,$H$7,L13,Third_part!$X$23,Third_part!$Z$23,$H$8,P13,$R$10)</f>
        <v>0.78492706000567647</v>
      </c>
      <c r="J13" s="33"/>
      <c r="K13" s="33"/>
      <c r="L13" s="4">
        <v>117</v>
      </c>
      <c r="M13">
        <v>4.3</v>
      </c>
      <c r="N13">
        <v>7.5</v>
      </c>
      <c r="O13">
        <v>9.1</v>
      </c>
      <c r="P13">
        <f t="shared" ref="P13:P21" si="1">(N13+O13)/2</f>
        <v>8.3000000000000007</v>
      </c>
      <c r="Q13" t="s">
        <v>50</v>
      </c>
      <c r="R13" s="1" t="s">
        <v>50</v>
      </c>
      <c r="S13">
        <v>5</v>
      </c>
      <c r="T13" s="1">
        <v>0.44969999999999999</v>
      </c>
      <c r="Y13" s="1"/>
    </row>
    <row r="14" spans="3:25" x14ac:dyDescent="0.3">
      <c r="H14">
        <f t="shared" si="0"/>
        <v>68.728784160140606</v>
      </c>
      <c r="I14" s="33">
        <f>ImpliedVolatility($H$6,$H$7,L14,Third_part!$X$23,Third_part!$Z$23,$H$8,P14,$R$10)</f>
        <v>0.68728784160140599</v>
      </c>
      <c r="J14" s="33"/>
      <c r="K14" s="33"/>
      <c r="L14" s="4">
        <v>118</v>
      </c>
      <c r="M14">
        <v>3.7</v>
      </c>
      <c r="N14">
        <v>6.9</v>
      </c>
      <c r="O14">
        <v>8</v>
      </c>
      <c r="P14">
        <f t="shared" si="1"/>
        <v>7.45</v>
      </c>
      <c r="Q14" t="s">
        <v>50</v>
      </c>
      <c r="R14" t="s">
        <v>50</v>
      </c>
      <c r="S14">
        <v>7</v>
      </c>
      <c r="T14" s="1">
        <v>0.41139999999999999</v>
      </c>
      <c r="Y14" s="1"/>
    </row>
    <row r="15" spans="3:25" x14ac:dyDescent="0.3">
      <c r="H15">
        <f t="shared" si="0"/>
        <v>59.774167040952179</v>
      </c>
      <c r="I15" s="33">
        <f>ImpliedVolatility($H$6,$H$7,L15,Third_part!$X$23,Third_part!$Z$23,$H$8,P15,$R$10)</f>
        <v>0.59774167040952175</v>
      </c>
      <c r="J15" s="33"/>
      <c r="K15" s="33"/>
      <c r="L15" s="4">
        <v>119</v>
      </c>
      <c r="M15">
        <v>5.2</v>
      </c>
      <c r="N15">
        <v>6</v>
      </c>
      <c r="O15">
        <v>7.4</v>
      </c>
      <c r="P15">
        <f t="shared" si="1"/>
        <v>6.7</v>
      </c>
      <c r="Q15" t="s">
        <v>50</v>
      </c>
      <c r="R15" t="s">
        <v>50</v>
      </c>
      <c r="S15">
        <v>4</v>
      </c>
      <c r="T15" s="1">
        <v>0.40989999999999999</v>
      </c>
      <c r="Y15" s="1"/>
    </row>
    <row r="16" spans="3:25" x14ac:dyDescent="0.3">
      <c r="H16">
        <f t="shared" si="0"/>
        <v>50.86860042232879</v>
      </c>
      <c r="I16" s="33">
        <f>ImpliedVolatility($H$6,$H$7,L16,Third_part!$X$23,Third_part!$Z$23,$H$8,P16,$R$10)</f>
        <v>0.50868600422328791</v>
      </c>
      <c r="J16" s="33"/>
      <c r="K16" s="33"/>
      <c r="L16" s="4">
        <v>120</v>
      </c>
      <c r="M16">
        <v>6.4</v>
      </c>
      <c r="N16">
        <v>5.5</v>
      </c>
      <c r="O16">
        <v>6.4</v>
      </c>
      <c r="P16">
        <f t="shared" si="1"/>
        <v>5.95</v>
      </c>
      <c r="Q16" s="1">
        <v>0.1368</v>
      </c>
      <c r="R16">
        <v>9</v>
      </c>
      <c r="S16">
        <v>17</v>
      </c>
      <c r="T16" s="1">
        <v>0.37709999999999999</v>
      </c>
      <c r="Y16" s="1"/>
    </row>
    <row r="17" spans="8:36" x14ac:dyDescent="0.3">
      <c r="H17">
        <f t="shared" si="0"/>
        <v>43.784504909161051</v>
      </c>
      <c r="I17" s="33">
        <f>ImpliedVolatility($H$6,$H$7,L17,Third_part!$X$23,Third_part!$Z$23,$H$8,P17,$R$10)</f>
        <v>0.43784504909161048</v>
      </c>
      <c r="J17" s="33"/>
      <c r="K17" s="33"/>
      <c r="L17" s="4">
        <v>121</v>
      </c>
      <c r="M17">
        <v>5.7</v>
      </c>
      <c r="N17">
        <v>4.9000000000000004</v>
      </c>
      <c r="O17">
        <v>6</v>
      </c>
      <c r="P17">
        <f t="shared" si="1"/>
        <v>5.45</v>
      </c>
      <c r="Q17" s="1" t="s">
        <v>50</v>
      </c>
      <c r="R17">
        <v>60</v>
      </c>
      <c r="S17">
        <v>30</v>
      </c>
      <c r="T17" s="1">
        <v>0.38650000000000001</v>
      </c>
      <c r="Y17" s="1"/>
    </row>
    <row r="18" spans="8:36" x14ac:dyDescent="0.3">
      <c r="H18">
        <f t="shared" si="0"/>
        <v>14.002971373796733</v>
      </c>
      <c r="I18" s="33">
        <f>ImpliedVolatility($H$6,$H$7,L18,Third_part!$X$23,Third_part!$Z$23,$H$8,P18,$R$10)</f>
        <v>0.14002971373796733</v>
      </c>
      <c r="J18" s="33"/>
      <c r="K18" s="33"/>
      <c r="L18" s="4">
        <v>125</v>
      </c>
      <c r="M18">
        <v>3.02</v>
      </c>
      <c r="N18">
        <v>3.1</v>
      </c>
      <c r="O18">
        <v>4</v>
      </c>
      <c r="P18">
        <f t="shared" si="1"/>
        <v>3.55</v>
      </c>
      <c r="Q18" t="s">
        <v>50</v>
      </c>
      <c r="R18">
        <v>5</v>
      </c>
      <c r="S18">
        <v>16</v>
      </c>
      <c r="T18" s="1">
        <v>0.3735</v>
      </c>
      <c r="Y18" s="1"/>
    </row>
    <row r="19" spans="8:36" x14ac:dyDescent="0.3">
      <c r="H19">
        <f t="shared" si="0"/>
        <v>-2.4820591101966549</v>
      </c>
      <c r="I19" s="33">
        <f>ImpliedVolatility($H$6,$H$7,L19,Third_part!$X$23,Third_part!$Z$23,$H$8,P19,$R$10)</f>
        <v>-2.4820591101966549E-2</v>
      </c>
      <c r="J19" s="33"/>
      <c r="K19" s="33"/>
      <c r="L19" s="4">
        <v>129</v>
      </c>
      <c r="M19">
        <v>1.73</v>
      </c>
      <c r="N19">
        <v>1.65</v>
      </c>
      <c r="O19">
        <v>2.6</v>
      </c>
      <c r="P19">
        <f t="shared" si="1"/>
        <v>2.125</v>
      </c>
      <c r="Q19" t="s">
        <v>50</v>
      </c>
      <c r="R19">
        <v>1</v>
      </c>
      <c r="S19">
        <v>1</v>
      </c>
      <c r="T19" s="1">
        <v>0.37059999999999998</v>
      </c>
      <c r="Y19" s="1"/>
      <c r="AJ19" s="1"/>
    </row>
    <row r="20" spans="8:36" x14ac:dyDescent="0.3">
      <c r="H20">
        <f t="shared" si="0"/>
        <v>3955.457878489713</v>
      </c>
      <c r="I20" s="33">
        <f>ImpliedVolatility($H$6,$H$7,L20,Third_part!$X$23,Third_part!$Z$23,$H$8,P20,$R$10)</f>
        <v>39.554578784897132</v>
      </c>
      <c r="J20" s="33"/>
      <c r="K20" s="33"/>
      <c r="L20" s="4">
        <v>130</v>
      </c>
      <c r="M20">
        <v>1.55</v>
      </c>
      <c r="N20">
        <v>1.55</v>
      </c>
      <c r="O20">
        <v>2.35</v>
      </c>
      <c r="P20">
        <f t="shared" si="1"/>
        <v>1.9500000000000002</v>
      </c>
      <c r="Q20" t="s">
        <v>50</v>
      </c>
      <c r="R20">
        <v>4</v>
      </c>
      <c r="S20">
        <v>9</v>
      </c>
      <c r="T20" s="1">
        <v>0.37259999999999999</v>
      </c>
      <c r="Y20" s="1"/>
    </row>
    <row r="21" spans="8:36" x14ac:dyDescent="0.3">
      <c r="H21">
        <f t="shared" si="0"/>
        <v>-2.3759837642443244</v>
      </c>
      <c r="I21" s="33">
        <f>ImpliedVolatility($H$6,$H$7,L21,Third_part!$X$23,Third_part!$Z$23,$H$8,P21,$R$10)</f>
        <v>-2.3759837642443243E-2</v>
      </c>
      <c r="J21" s="33"/>
      <c r="K21" s="33"/>
      <c r="L21" s="4">
        <v>135</v>
      </c>
      <c r="M21">
        <v>0.62</v>
      </c>
      <c r="N21">
        <v>0.6</v>
      </c>
      <c r="O21">
        <v>1.35</v>
      </c>
      <c r="P21">
        <f t="shared" si="1"/>
        <v>0.97500000000000009</v>
      </c>
      <c r="Q21" t="s">
        <v>50</v>
      </c>
      <c r="R21">
        <v>4</v>
      </c>
      <c r="S21">
        <v>7</v>
      </c>
      <c r="T21" s="1">
        <v>0.37790000000000001</v>
      </c>
      <c r="Y21" s="1"/>
    </row>
    <row r="22" spans="8:36" x14ac:dyDescent="0.3">
      <c r="L22" s="1"/>
    </row>
    <row r="23" spans="8:36" x14ac:dyDescent="0.3">
      <c r="L23" s="1"/>
    </row>
    <row r="24" spans="8:36" x14ac:dyDescent="0.3">
      <c r="L24" s="1"/>
    </row>
    <row r="25" spans="8:36" x14ac:dyDescent="0.3">
      <c r="L25" s="1"/>
    </row>
    <row r="26" spans="8:36" x14ac:dyDescent="0.3">
      <c r="L26" s="1"/>
    </row>
    <row r="27" spans="8:36" x14ac:dyDescent="0.3">
      <c r="L27" s="1"/>
      <c r="Y27" s="1"/>
    </row>
    <row r="28" spans="8:36" x14ac:dyDescent="0.3">
      <c r="J28" t="s">
        <v>52</v>
      </c>
      <c r="L28" s="1"/>
      <c r="M28" t="s">
        <v>65</v>
      </c>
      <c r="N28">
        <f>((1.36804-0.97236)/3+0.97236)/100</f>
        <v>1.1042533333333333E-2</v>
      </c>
      <c r="O28" t="s">
        <v>66</v>
      </c>
      <c r="P28">
        <f>4/12</f>
        <v>0.33333333333333331</v>
      </c>
      <c r="Q28" t="s">
        <v>68</v>
      </c>
      <c r="R28">
        <v>4</v>
      </c>
      <c r="Y28" s="1"/>
    </row>
    <row r="29" spans="8:36" x14ac:dyDescent="0.3">
      <c r="H29" t="s">
        <v>71</v>
      </c>
      <c r="I29" s="33" t="s">
        <v>64</v>
      </c>
      <c r="J29" s="33"/>
      <c r="K29" s="33"/>
      <c r="L29" t="s">
        <v>42</v>
      </c>
      <c r="M29" t="s">
        <v>43</v>
      </c>
      <c r="N29" t="s">
        <v>44</v>
      </c>
      <c r="O29" t="s">
        <v>45</v>
      </c>
      <c r="P29" t="s">
        <v>67</v>
      </c>
      <c r="Q29" t="s">
        <v>46</v>
      </c>
      <c r="R29" t="s">
        <v>47</v>
      </c>
      <c r="S29" t="s">
        <v>48</v>
      </c>
      <c r="T29" t="s">
        <v>49</v>
      </c>
      <c r="Y29" s="1"/>
    </row>
    <row r="30" spans="8:36" x14ac:dyDescent="0.3">
      <c r="H30">
        <f t="shared" ref="H30:H45" si="2">I30*100</f>
        <v>215.69332081006581</v>
      </c>
      <c r="I30" s="33">
        <f t="shared" ref="I30:I45" si="3">ImpliedVolatility($H$6,$H$7,L30,$N$28,$P$28,$H$8,P30,$R$28)</f>
        <v>2.156933208100658</v>
      </c>
      <c r="J30" s="33"/>
      <c r="K30" s="33"/>
      <c r="L30" s="16">
        <v>90</v>
      </c>
      <c r="M30">
        <v>30.5</v>
      </c>
      <c r="N30">
        <v>33.700000000000003</v>
      </c>
      <c r="O30">
        <v>35.200000000000003</v>
      </c>
      <c r="P30">
        <f t="shared" ref="P30:P45" si="4">(N30+O30)/2</f>
        <v>34.450000000000003</v>
      </c>
      <c r="Q30" t="s">
        <v>50</v>
      </c>
      <c r="R30">
        <v>8</v>
      </c>
      <c r="S30">
        <v>8</v>
      </c>
      <c r="T30" s="1">
        <v>0.52280000000000004</v>
      </c>
      <c r="Y30" s="1"/>
    </row>
    <row r="31" spans="8:36" x14ac:dyDescent="0.3">
      <c r="H31">
        <f t="shared" si="2"/>
        <v>144.43373444921204</v>
      </c>
      <c r="I31" s="33">
        <f t="shared" si="3"/>
        <v>1.4443373444921204</v>
      </c>
      <c r="J31" s="33"/>
      <c r="K31" s="33"/>
      <c r="L31" s="16">
        <v>100</v>
      </c>
      <c r="M31">
        <v>23.4</v>
      </c>
      <c r="N31">
        <v>25</v>
      </c>
      <c r="O31">
        <v>26.1</v>
      </c>
      <c r="P31">
        <f t="shared" si="4"/>
        <v>25.55</v>
      </c>
      <c r="Q31" t="s">
        <v>50</v>
      </c>
      <c r="R31">
        <v>4</v>
      </c>
      <c r="S31">
        <v>9</v>
      </c>
      <c r="T31" s="1">
        <v>0.43990000000000001</v>
      </c>
      <c r="Y31" s="1"/>
    </row>
    <row r="32" spans="8:36" x14ac:dyDescent="0.3">
      <c r="H32">
        <f t="shared" si="2"/>
        <v>-50760963.446779281</v>
      </c>
      <c r="I32" s="33">
        <f t="shared" si="3"/>
        <v>-507609.63446779281</v>
      </c>
      <c r="J32" s="33"/>
      <c r="K32" s="33"/>
      <c r="L32" s="16">
        <v>105</v>
      </c>
      <c r="M32">
        <v>19.600000000000001</v>
      </c>
      <c r="N32">
        <v>21.1</v>
      </c>
      <c r="O32">
        <v>22</v>
      </c>
      <c r="P32">
        <f t="shared" si="4"/>
        <v>21.55</v>
      </c>
      <c r="Q32" t="s">
        <v>50</v>
      </c>
      <c r="R32">
        <v>1</v>
      </c>
      <c r="S32">
        <v>77</v>
      </c>
      <c r="T32" s="1">
        <v>0.4138</v>
      </c>
      <c r="Y32" s="1"/>
    </row>
    <row r="33" spans="8:25" x14ac:dyDescent="0.3">
      <c r="H33">
        <f t="shared" si="2"/>
        <v>88.303843408565413</v>
      </c>
      <c r="I33" s="33">
        <f t="shared" si="3"/>
        <v>0.88303843408565408</v>
      </c>
      <c r="J33" s="33"/>
      <c r="K33" s="33"/>
      <c r="L33" s="16">
        <v>110</v>
      </c>
      <c r="M33">
        <v>16.5</v>
      </c>
      <c r="N33">
        <v>17.100000000000001</v>
      </c>
      <c r="O33">
        <v>17.899999999999999</v>
      </c>
      <c r="P33">
        <f t="shared" si="4"/>
        <v>17.5</v>
      </c>
      <c r="Q33" t="s">
        <v>50</v>
      </c>
      <c r="R33">
        <v>10</v>
      </c>
      <c r="S33">
        <v>29</v>
      </c>
      <c r="T33" s="1">
        <v>0.38030000000000003</v>
      </c>
      <c r="X33" s="2"/>
      <c r="Y33" s="1"/>
    </row>
    <row r="34" spans="8:25" x14ac:dyDescent="0.3">
      <c r="H34">
        <f t="shared" si="2"/>
        <v>65.280507737065307</v>
      </c>
      <c r="I34" s="33">
        <f t="shared" si="3"/>
        <v>0.65280507737065308</v>
      </c>
      <c r="J34" s="33"/>
      <c r="K34" s="33"/>
      <c r="L34" s="16">
        <v>115</v>
      </c>
      <c r="M34">
        <v>11.99</v>
      </c>
      <c r="N34">
        <v>13.6</v>
      </c>
      <c r="O34">
        <v>14.6</v>
      </c>
      <c r="P34">
        <f t="shared" si="4"/>
        <v>14.1</v>
      </c>
      <c r="Q34" t="s">
        <v>50</v>
      </c>
      <c r="R34">
        <v>4</v>
      </c>
      <c r="S34">
        <v>55</v>
      </c>
      <c r="T34" s="1">
        <v>0.36870000000000003</v>
      </c>
      <c r="Y34" s="1"/>
    </row>
    <row r="35" spans="8:25" x14ac:dyDescent="0.3">
      <c r="H35">
        <f t="shared" si="2"/>
        <v>44.557852369240045</v>
      </c>
      <c r="I35" s="33">
        <f t="shared" si="3"/>
        <v>0.44557852369240042</v>
      </c>
      <c r="J35" s="33"/>
      <c r="K35" s="33"/>
      <c r="L35" s="16">
        <v>120</v>
      </c>
      <c r="M35">
        <v>8.9</v>
      </c>
      <c r="N35">
        <v>10.7</v>
      </c>
      <c r="O35">
        <v>11.4</v>
      </c>
      <c r="P35">
        <f t="shared" si="4"/>
        <v>11.05</v>
      </c>
      <c r="Q35" t="s">
        <v>50</v>
      </c>
      <c r="R35">
        <v>1</v>
      </c>
      <c r="S35">
        <v>204</v>
      </c>
      <c r="T35" s="1">
        <v>0.34910000000000002</v>
      </c>
      <c r="Y35" s="1"/>
    </row>
    <row r="36" spans="8:25" x14ac:dyDescent="0.3">
      <c r="H36">
        <f t="shared" si="2"/>
        <v>25.455556933004932</v>
      </c>
      <c r="I36" s="33">
        <f t="shared" si="3"/>
        <v>0.2545555693300493</v>
      </c>
      <c r="J36" s="33"/>
      <c r="K36" s="33"/>
      <c r="L36" s="16">
        <v>125</v>
      </c>
      <c r="M36">
        <v>7.1</v>
      </c>
      <c r="N36">
        <v>8.1</v>
      </c>
      <c r="O36">
        <v>8.6999999999999993</v>
      </c>
      <c r="P36">
        <f t="shared" si="4"/>
        <v>8.3999999999999986</v>
      </c>
      <c r="Q36" t="s">
        <v>50</v>
      </c>
      <c r="R36">
        <v>54</v>
      </c>
      <c r="S36">
        <v>222</v>
      </c>
      <c r="T36" s="1">
        <v>0.33460000000000001</v>
      </c>
      <c r="Y36" s="1"/>
    </row>
    <row r="37" spans="8:25" x14ac:dyDescent="0.3">
      <c r="H37">
        <f t="shared" si="2"/>
        <v>-501470.59887069761</v>
      </c>
      <c r="I37" s="33">
        <f t="shared" si="3"/>
        <v>-5014.7059887069763</v>
      </c>
      <c r="J37" s="33"/>
      <c r="K37" s="33"/>
      <c r="L37" s="16">
        <v>130</v>
      </c>
      <c r="M37">
        <v>6.21</v>
      </c>
      <c r="N37">
        <v>5.8</v>
      </c>
      <c r="O37">
        <v>6.6</v>
      </c>
      <c r="P37">
        <f t="shared" si="4"/>
        <v>6.1999999999999993</v>
      </c>
      <c r="Q37" s="1">
        <v>0.24199999999999999</v>
      </c>
      <c r="R37">
        <v>7</v>
      </c>
      <c r="S37">
        <v>122</v>
      </c>
      <c r="T37" s="1">
        <v>0.32750000000000001</v>
      </c>
      <c r="Y37" s="1"/>
    </row>
    <row r="38" spans="8:25" x14ac:dyDescent="0.3">
      <c r="H38">
        <f t="shared" si="2"/>
        <v>0.2445759909193157</v>
      </c>
      <c r="I38" s="33">
        <f t="shared" si="3"/>
        <v>2.445759909193157E-3</v>
      </c>
      <c r="J38" s="33"/>
      <c r="K38" s="33"/>
      <c r="L38" s="16">
        <v>135</v>
      </c>
      <c r="M38">
        <v>4.4000000000000004</v>
      </c>
      <c r="N38">
        <v>4.0999999999999996</v>
      </c>
      <c r="O38">
        <v>4.9000000000000004</v>
      </c>
      <c r="P38">
        <f t="shared" si="4"/>
        <v>4.5</v>
      </c>
      <c r="Q38" s="1">
        <v>0.38800000000000001</v>
      </c>
      <c r="R38">
        <v>4</v>
      </c>
      <c r="S38">
        <v>373</v>
      </c>
      <c r="T38" s="1">
        <v>0.3216</v>
      </c>
      <c r="Y38" s="1"/>
    </row>
    <row r="39" spans="8:25" x14ac:dyDescent="0.3">
      <c r="H39">
        <f t="shared" si="2"/>
        <v>-4.1169285413701795</v>
      </c>
      <c r="I39" s="33">
        <f t="shared" si="3"/>
        <v>-4.1169285413701795E-2</v>
      </c>
      <c r="J39" s="33"/>
      <c r="K39" s="33"/>
      <c r="L39" s="16">
        <v>140</v>
      </c>
      <c r="M39">
        <v>3.2</v>
      </c>
      <c r="N39">
        <v>3</v>
      </c>
      <c r="O39">
        <v>3.6</v>
      </c>
      <c r="P39">
        <f t="shared" si="4"/>
        <v>3.3</v>
      </c>
      <c r="Q39" s="1">
        <v>0.19850000000000001</v>
      </c>
      <c r="R39">
        <v>2</v>
      </c>
      <c r="S39">
        <v>62</v>
      </c>
      <c r="T39" s="1">
        <v>0.31809999999999999</v>
      </c>
      <c r="Y39" s="1"/>
    </row>
    <row r="40" spans="8:25" x14ac:dyDescent="0.3">
      <c r="H40">
        <f t="shared" si="2"/>
        <v>-7539.0854027458336</v>
      </c>
      <c r="I40" s="33">
        <f t="shared" si="3"/>
        <v>-75.390854027458332</v>
      </c>
      <c r="J40" s="33"/>
      <c r="K40" s="33"/>
      <c r="L40" s="16">
        <v>145</v>
      </c>
      <c r="M40">
        <v>1.03</v>
      </c>
      <c r="N40">
        <v>2.1</v>
      </c>
      <c r="O40">
        <v>2.6</v>
      </c>
      <c r="P40">
        <f t="shared" si="4"/>
        <v>2.35</v>
      </c>
      <c r="Q40" t="s">
        <v>50</v>
      </c>
      <c r="R40">
        <v>1</v>
      </c>
      <c r="S40">
        <v>192</v>
      </c>
      <c r="T40" s="1">
        <v>0.31519999999999998</v>
      </c>
      <c r="Y40" s="1"/>
    </row>
    <row r="41" spans="8:25" x14ac:dyDescent="0.3">
      <c r="H41">
        <f t="shared" si="2"/>
        <v>-4.8641098230088362</v>
      </c>
      <c r="I41" s="33">
        <f t="shared" si="3"/>
        <v>-4.8641098230088359E-2</v>
      </c>
      <c r="J41" s="33"/>
      <c r="K41" s="33"/>
      <c r="L41" s="16">
        <v>150</v>
      </c>
      <c r="M41">
        <v>1.25</v>
      </c>
      <c r="N41">
        <v>1.4</v>
      </c>
      <c r="O41">
        <v>1.8</v>
      </c>
      <c r="P41">
        <f t="shared" si="4"/>
        <v>1.6</v>
      </c>
      <c r="Q41" t="s">
        <v>50</v>
      </c>
      <c r="R41">
        <v>1</v>
      </c>
      <c r="S41">
        <v>133</v>
      </c>
      <c r="T41" s="1">
        <v>0.31009999999999999</v>
      </c>
      <c r="Y41" s="1"/>
    </row>
    <row r="42" spans="8:25" x14ac:dyDescent="0.3">
      <c r="H42">
        <f t="shared" si="2"/>
        <v>1002855.5568030289</v>
      </c>
      <c r="I42" s="33">
        <f t="shared" si="3"/>
        <v>10028.55556803029</v>
      </c>
      <c r="J42" s="33"/>
      <c r="K42" s="33"/>
      <c r="L42" s="16">
        <v>155</v>
      </c>
      <c r="M42">
        <v>2</v>
      </c>
      <c r="N42">
        <v>1</v>
      </c>
      <c r="O42">
        <v>1.65</v>
      </c>
      <c r="P42">
        <f t="shared" si="4"/>
        <v>1.325</v>
      </c>
      <c r="Q42" t="s">
        <v>50</v>
      </c>
      <c r="R42">
        <v>2</v>
      </c>
      <c r="S42">
        <v>2</v>
      </c>
      <c r="T42" s="1">
        <v>0.33300000000000002</v>
      </c>
    </row>
    <row r="43" spans="8:25" x14ac:dyDescent="0.3">
      <c r="H43">
        <f t="shared" si="2"/>
        <v>8.0638896069634729</v>
      </c>
      <c r="I43" s="33">
        <f t="shared" si="3"/>
        <v>8.063889606963473E-2</v>
      </c>
      <c r="J43" s="33"/>
      <c r="K43" s="33"/>
      <c r="L43" s="16">
        <v>160</v>
      </c>
      <c r="M43">
        <v>0.6</v>
      </c>
      <c r="N43">
        <v>0.55000000000000004</v>
      </c>
      <c r="O43">
        <v>1.1000000000000001</v>
      </c>
      <c r="P43">
        <f t="shared" si="4"/>
        <v>0.82500000000000007</v>
      </c>
      <c r="Q43" t="s">
        <v>50</v>
      </c>
      <c r="R43">
        <v>1</v>
      </c>
      <c r="S43">
        <v>6</v>
      </c>
      <c r="T43" s="1">
        <v>0.3251</v>
      </c>
    </row>
    <row r="44" spans="8:25" x14ac:dyDescent="0.3">
      <c r="H44">
        <f t="shared" si="2"/>
        <v>1.0987620183922076</v>
      </c>
      <c r="I44" s="33">
        <f t="shared" si="3"/>
        <v>1.0987620183922076E-2</v>
      </c>
      <c r="J44" s="33"/>
      <c r="K44" s="33"/>
      <c r="L44" s="16">
        <v>170</v>
      </c>
      <c r="M44">
        <v>0.3</v>
      </c>
      <c r="N44">
        <v>0.2</v>
      </c>
      <c r="O44">
        <v>0.75</v>
      </c>
      <c r="P44">
        <f t="shared" si="4"/>
        <v>0.47499999999999998</v>
      </c>
      <c r="Q44" t="s">
        <v>50</v>
      </c>
      <c r="R44" t="s">
        <v>50</v>
      </c>
      <c r="S44">
        <v>1</v>
      </c>
      <c r="T44" s="1">
        <v>0.34520000000000001</v>
      </c>
    </row>
    <row r="45" spans="8:25" x14ac:dyDescent="0.3">
      <c r="H45">
        <f t="shared" si="2"/>
        <v>-0.59992454102527626</v>
      </c>
      <c r="I45" s="33">
        <f t="shared" si="3"/>
        <v>-5.9992454102527626E-3</v>
      </c>
      <c r="J45" s="33"/>
      <c r="K45" s="33"/>
      <c r="L45" s="16">
        <v>180</v>
      </c>
      <c r="M45">
        <v>0.35</v>
      </c>
      <c r="N45">
        <v>0.05</v>
      </c>
      <c r="O45">
        <v>0.55000000000000004</v>
      </c>
      <c r="P45">
        <f t="shared" si="4"/>
        <v>0.30000000000000004</v>
      </c>
      <c r="Q45" t="s">
        <v>50</v>
      </c>
      <c r="R45">
        <v>2</v>
      </c>
      <c r="S45">
        <v>4</v>
      </c>
      <c r="T45" s="1">
        <v>0.36649999999999999</v>
      </c>
    </row>
    <row r="46" spans="8:25" x14ac:dyDescent="0.3">
      <c r="I46" s="5"/>
      <c r="J46" s="5"/>
      <c r="K46" s="5"/>
      <c r="L46" s="4"/>
      <c r="T46" s="1"/>
    </row>
    <row r="47" spans="8:25" x14ac:dyDescent="0.3">
      <c r="I47" s="5"/>
      <c r="J47" s="5"/>
      <c r="K47" s="5"/>
      <c r="L47" s="4"/>
      <c r="T47" s="1"/>
    </row>
    <row r="48" spans="8:25" x14ac:dyDescent="0.3">
      <c r="I48" s="5"/>
      <c r="J48" s="5"/>
      <c r="K48" s="5"/>
      <c r="L48" s="4"/>
      <c r="T48" s="1"/>
    </row>
    <row r="49" spans="8:20" x14ac:dyDescent="0.3">
      <c r="I49" s="5"/>
      <c r="J49" s="5"/>
      <c r="K49" s="5"/>
      <c r="L49" s="4"/>
      <c r="T49" s="1"/>
    </row>
    <row r="50" spans="8:20" x14ac:dyDescent="0.3">
      <c r="L50" s="1"/>
    </row>
    <row r="51" spans="8:20" x14ac:dyDescent="0.3">
      <c r="L51" s="1"/>
    </row>
    <row r="52" spans="8:20" x14ac:dyDescent="0.3">
      <c r="L52" s="1"/>
    </row>
    <row r="53" spans="8:20" x14ac:dyDescent="0.3">
      <c r="J53" t="s">
        <v>53</v>
      </c>
      <c r="M53" t="s">
        <v>65</v>
      </c>
      <c r="N53">
        <f>((1.73292-1.36804)/3+1.36804)/100</f>
        <v>1.4896666666666667E-2</v>
      </c>
      <c r="O53" t="s">
        <v>66</v>
      </c>
      <c r="P53">
        <f>7/12</f>
        <v>0.58333333333333337</v>
      </c>
      <c r="Q53" t="s">
        <v>68</v>
      </c>
      <c r="R53">
        <v>4</v>
      </c>
    </row>
    <row r="54" spans="8:20" x14ac:dyDescent="0.3">
      <c r="H54" t="s">
        <v>71</v>
      </c>
      <c r="I54" s="33" t="s">
        <v>64</v>
      </c>
      <c r="J54" s="33"/>
      <c r="K54" s="33"/>
      <c r="L54" t="s">
        <v>42</v>
      </c>
      <c r="M54" t="s">
        <v>43</v>
      </c>
      <c r="N54" t="s">
        <v>44</v>
      </c>
      <c r="O54" t="s">
        <v>45</v>
      </c>
      <c r="P54" t="s">
        <v>67</v>
      </c>
      <c r="Q54" t="s">
        <v>46</v>
      </c>
      <c r="R54" t="s">
        <v>47</v>
      </c>
      <c r="S54" t="s">
        <v>48</v>
      </c>
      <c r="T54" t="s">
        <v>49</v>
      </c>
    </row>
    <row r="55" spans="8:20" x14ac:dyDescent="0.3">
      <c r="H55">
        <f>I55*100</f>
        <v>96.095324792777134</v>
      </c>
      <c r="I55" s="33">
        <f t="shared" ref="I55:I62" si="5">ImpliedVolatility($H$6,$H$7,L55,$N$53,$P$53,$H$8,P55,$R$53)</f>
        <v>0.96095324792777137</v>
      </c>
      <c r="J55" s="33"/>
      <c r="K55" s="33"/>
      <c r="L55">
        <v>105</v>
      </c>
      <c r="M55">
        <v>24.3</v>
      </c>
      <c r="N55">
        <v>22.9</v>
      </c>
      <c r="O55">
        <v>25.2</v>
      </c>
      <c r="P55">
        <f>(N55+O55)/2</f>
        <v>24.049999999999997</v>
      </c>
      <c r="Q55" t="s">
        <v>50</v>
      </c>
      <c r="R55">
        <v>1</v>
      </c>
      <c r="S55">
        <v>3</v>
      </c>
      <c r="T55" s="1">
        <v>0.42799999999999999</v>
      </c>
    </row>
    <row r="56" spans="8:20" x14ac:dyDescent="0.3">
      <c r="H56">
        <f t="shared" ref="H56:H62" si="6">I56*100</f>
        <v>76.800347173864807</v>
      </c>
      <c r="I56" s="33">
        <f t="shared" si="5"/>
        <v>0.76800347173864814</v>
      </c>
      <c r="J56" s="33"/>
      <c r="K56" s="33"/>
      <c r="L56">
        <v>110</v>
      </c>
      <c r="M56">
        <v>10.7</v>
      </c>
      <c r="N56">
        <v>20</v>
      </c>
      <c r="O56">
        <v>21.1</v>
      </c>
      <c r="P56">
        <f t="shared" ref="P56:P62" si="7">(N56+O56)/2</f>
        <v>20.55</v>
      </c>
      <c r="Q56" t="s">
        <v>50</v>
      </c>
      <c r="R56" t="s">
        <v>50</v>
      </c>
      <c r="S56">
        <v>8</v>
      </c>
      <c r="T56" s="1">
        <v>0.39319999999999999</v>
      </c>
    </row>
    <row r="57" spans="8:20" x14ac:dyDescent="0.3">
      <c r="H57">
        <f t="shared" si="6"/>
        <v>58.676912512199685</v>
      </c>
      <c r="I57" s="33">
        <f t="shared" si="5"/>
        <v>0.58676912512199686</v>
      </c>
      <c r="J57" s="33"/>
      <c r="K57" s="33"/>
      <c r="L57">
        <v>115</v>
      </c>
      <c r="M57">
        <v>17.13</v>
      </c>
      <c r="N57">
        <v>16.5</v>
      </c>
      <c r="O57">
        <v>17.600000000000001</v>
      </c>
      <c r="P57">
        <f t="shared" si="7"/>
        <v>17.05</v>
      </c>
      <c r="Q57" s="1">
        <v>0.58609999999999995</v>
      </c>
      <c r="R57">
        <v>2</v>
      </c>
      <c r="S57">
        <v>2</v>
      </c>
      <c r="T57" s="1">
        <v>0.3715</v>
      </c>
    </row>
    <row r="58" spans="8:20" x14ac:dyDescent="0.3">
      <c r="H58">
        <f t="shared" si="6"/>
        <v>-2190.4907639612775</v>
      </c>
      <c r="I58" s="33">
        <f t="shared" si="5"/>
        <v>-21.904907639612777</v>
      </c>
      <c r="J58" s="33"/>
      <c r="K58" s="33"/>
      <c r="L58">
        <v>120</v>
      </c>
      <c r="M58">
        <v>13.1</v>
      </c>
      <c r="N58">
        <v>13.4</v>
      </c>
      <c r="O58">
        <v>14.7</v>
      </c>
      <c r="P58">
        <f t="shared" si="7"/>
        <v>14.05</v>
      </c>
      <c r="Q58" t="s">
        <v>50</v>
      </c>
      <c r="R58">
        <v>1</v>
      </c>
      <c r="S58">
        <v>6</v>
      </c>
      <c r="T58" s="1">
        <v>0.36009999999999998</v>
      </c>
    </row>
    <row r="59" spans="8:20" x14ac:dyDescent="0.3">
      <c r="H59">
        <f t="shared" si="6"/>
        <v>-5937145.098380859</v>
      </c>
      <c r="I59" s="33">
        <f t="shared" si="5"/>
        <v>-59371.450983808594</v>
      </c>
      <c r="J59" s="33"/>
      <c r="K59" s="33"/>
      <c r="L59">
        <v>130</v>
      </c>
      <c r="M59">
        <v>8.9</v>
      </c>
      <c r="N59">
        <v>8.4</v>
      </c>
      <c r="O59">
        <v>9.6</v>
      </c>
      <c r="P59">
        <f t="shared" si="7"/>
        <v>9</v>
      </c>
      <c r="Q59" s="1">
        <v>7.2300000000000003E-2</v>
      </c>
      <c r="R59">
        <v>8</v>
      </c>
      <c r="S59">
        <v>63</v>
      </c>
      <c r="T59" s="1">
        <v>0.33429999999999999</v>
      </c>
    </row>
    <row r="60" spans="8:20" x14ac:dyDescent="0.3">
      <c r="H60">
        <f t="shared" si="6"/>
        <v>1604.5251148755747</v>
      </c>
      <c r="I60" s="33">
        <f t="shared" si="5"/>
        <v>16.045251148755746</v>
      </c>
      <c r="J60" s="33"/>
      <c r="K60" s="33"/>
      <c r="L60">
        <v>135</v>
      </c>
      <c r="M60">
        <v>5.6</v>
      </c>
      <c r="N60">
        <v>6.2</v>
      </c>
      <c r="O60">
        <v>8</v>
      </c>
      <c r="P60">
        <f t="shared" si="7"/>
        <v>7.1</v>
      </c>
      <c r="Q60" t="s">
        <v>50</v>
      </c>
      <c r="R60" t="s">
        <v>50</v>
      </c>
      <c r="S60">
        <v>1</v>
      </c>
      <c r="T60" s="1">
        <v>0.33550000000000002</v>
      </c>
    </row>
    <row r="61" spans="8:20" x14ac:dyDescent="0.3">
      <c r="H61">
        <f t="shared" si="6"/>
        <v>2155.0428369655451</v>
      </c>
      <c r="I61" s="33">
        <f t="shared" si="5"/>
        <v>21.55042836965545</v>
      </c>
      <c r="J61" s="33"/>
      <c r="K61" s="33"/>
      <c r="L61">
        <v>140</v>
      </c>
      <c r="M61">
        <v>5.2</v>
      </c>
      <c r="N61">
        <v>4.8</v>
      </c>
      <c r="O61">
        <v>6.4</v>
      </c>
      <c r="P61">
        <f t="shared" si="7"/>
        <v>5.6</v>
      </c>
      <c r="Q61" t="s">
        <v>50</v>
      </c>
      <c r="R61">
        <v>4</v>
      </c>
      <c r="S61">
        <v>25</v>
      </c>
      <c r="T61" s="1">
        <v>0.32990000000000003</v>
      </c>
    </row>
    <row r="62" spans="8:20" x14ac:dyDescent="0.3">
      <c r="H62">
        <f t="shared" si="6"/>
        <v>3672.6657666884562</v>
      </c>
      <c r="I62" s="33">
        <f t="shared" si="5"/>
        <v>36.726657666884563</v>
      </c>
      <c r="J62" s="33"/>
      <c r="K62" s="33"/>
      <c r="L62">
        <v>150</v>
      </c>
      <c r="M62">
        <v>2.1</v>
      </c>
      <c r="N62">
        <v>3.1</v>
      </c>
      <c r="O62">
        <v>3.8</v>
      </c>
      <c r="P62">
        <f t="shared" si="7"/>
        <v>3.45</v>
      </c>
      <c r="Q62" t="s">
        <v>50</v>
      </c>
      <c r="R62">
        <v>3</v>
      </c>
      <c r="S62">
        <v>11</v>
      </c>
      <c r="T62" s="1">
        <v>0.315</v>
      </c>
    </row>
    <row r="70" spans="8:20" x14ac:dyDescent="0.3">
      <c r="J70" t="s">
        <v>72</v>
      </c>
      <c r="M70" t="s">
        <v>65</v>
      </c>
      <c r="N70">
        <f>((2.01817-1.73292)/3+1.73292)/100</f>
        <v>1.8280033333333334E-2</v>
      </c>
      <c r="O70" t="s">
        <v>66</v>
      </c>
      <c r="P70">
        <f>10/12</f>
        <v>0.83333333333333337</v>
      </c>
      <c r="Q70" t="s">
        <v>68</v>
      </c>
      <c r="R70">
        <v>4</v>
      </c>
    </row>
    <row r="71" spans="8:20" x14ac:dyDescent="0.3">
      <c r="H71" t="s">
        <v>71</v>
      </c>
      <c r="I71" s="33" t="s">
        <v>64</v>
      </c>
      <c r="J71" s="33"/>
      <c r="K71" s="33"/>
      <c r="L71" t="s">
        <v>42</v>
      </c>
      <c r="M71" t="s">
        <v>43</v>
      </c>
      <c r="N71" t="s">
        <v>44</v>
      </c>
      <c r="O71" t="s">
        <v>45</v>
      </c>
      <c r="P71" t="s">
        <v>67</v>
      </c>
      <c r="Q71" t="s">
        <v>46</v>
      </c>
      <c r="R71" t="s">
        <v>47</v>
      </c>
      <c r="S71" t="s">
        <v>48</v>
      </c>
      <c r="T71" t="s">
        <v>49</v>
      </c>
    </row>
    <row r="72" spans="8:20" x14ac:dyDescent="0.3">
      <c r="H72">
        <f>I72*100</f>
        <v>1447.3208697561843</v>
      </c>
      <c r="I72" s="33">
        <f t="shared" ref="I72:I100" si="8">ImpliedVolatility($H$6,$H$7,L72,$N$70,$P$70,$H$8,P72,$R$70)</f>
        <v>14.473208697561843</v>
      </c>
      <c r="J72" s="33"/>
      <c r="K72" s="33"/>
      <c r="L72">
        <v>40</v>
      </c>
      <c r="M72">
        <v>73.3</v>
      </c>
      <c r="N72">
        <v>80</v>
      </c>
      <c r="O72">
        <v>85</v>
      </c>
      <c r="P72">
        <f>(N72+O72)/2</f>
        <v>82.5</v>
      </c>
      <c r="Q72" t="s">
        <v>50</v>
      </c>
      <c r="R72">
        <v>2</v>
      </c>
      <c r="S72">
        <v>3</v>
      </c>
      <c r="T72" s="1">
        <v>0.67869999999999997</v>
      </c>
    </row>
    <row r="73" spans="8:20" x14ac:dyDescent="0.3">
      <c r="H73">
        <f t="shared" ref="H73:H100" si="9">I73*100</f>
        <v>21369.333717689391</v>
      </c>
      <c r="I73" s="33">
        <f t="shared" si="8"/>
        <v>213.69333717689392</v>
      </c>
      <c r="J73" s="33"/>
      <c r="K73" s="33"/>
      <c r="L73">
        <v>55</v>
      </c>
      <c r="M73">
        <v>34.5</v>
      </c>
      <c r="N73">
        <v>66</v>
      </c>
      <c r="O73">
        <v>71</v>
      </c>
      <c r="P73">
        <f t="shared" ref="P73:P100" si="10">(N73+O73)/2</f>
        <v>68.5</v>
      </c>
      <c r="Q73" t="s">
        <v>50</v>
      </c>
      <c r="R73">
        <v>1</v>
      </c>
      <c r="S73">
        <v>11</v>
      </c>
      <c r="T73" s="1">
        <v>0.62519999999999998</v>
      </c>
    </row>
    <row r="74" spans="8:20" x14ac:dyDescent="0.3">
      <c r="H74">
        <f t="shared" si="9"/>
        <v>3043.2824832207502</v>
      </c>
      <c r="I74" s="33">
        <f t="shared" si="8"/>
        <v>30.432824832207501</v>
      </c>
      <c r="J74" s="33"/>
      <c r="K74" s="33"/>
      <c r="L74">
        <v>60</v>
      </c>
      <c r="M74">
        <v>50.26</v>
      </c>
      <c r="N74">
        <v>59.2</v>
      </c>
      <c r="O74">
        <v>63.1</v>
      </c>
      <c r="P74">
        <f t="shared" si="10"/>
        <v>61.150000000000006</v>
      </c>
      <c r="Q74" t="s">
        <v>50</v>
      </c>
      <c r="R74">
        <v>3</v>
      </c>
      <c r="S74">
        <v>19</v>
      </c>
      <c r="T74" s="1">
        <v>0.52659999999999996</v>
      </c>
    </row>
    <row r="75" spans="8:20" x14ac:dyDescent="0.3">
      <c r="H75">
        <f t="shared" si="9"/>
        <v>281103.90943632642</v>
      </c>
      <c r="I75" s="33">
        <f t="shared" si="8"/>
        <v>2811.0390943632642</v>
      </c>
      <c r="J75" s="33"/>
      <c r="K75" s="33"/>
      <c r="L75">
        <v>65</v>
      </c>
      <c r="M75">
        <v>48.8</v>
      </c>
      <c r="N75">
        <v>66</v>
      </c>
      <c r="O75">
        <v>69.900000000000006</v>
      </c>
      <c r="P75">
        <f t="shared" si="10"/>
        <v>67.95</v>
      </c>
      <c r="Q75" t="s">
        <v>50</v>
      </c>
      <c r="R75">
        <v>2</v>
      </c>
      <c r="S75">
        <v>1</v>
      </c>
      <c r="T75" s="1">
        <v>1.0176000000000001</v>
      </c>
    </row>
    <row r="76" spans="8:20" x14ac:dyDescent="0.3">
      <c r="H76">
        <f t="shared" si="9"/>
        <v>316.31270414017382</v>
      </c>
      <c r="I76" s="33">
        <f t="shared" si="8"/>
        <v>3.1631270414017383</v>
      </c>
      <c r="J76" s="33"/>
      <c r="K76" s="33"/>
      <c r="L76">
        <v>70</v>
      </c>
      <c r="M76">
        <v>44.72</v>
      </c>
      <c r="N76">
        <v>54.6</v>
      </c>
      <c r="O76">
        <v>56.3</v>
      </c>
      <c r="P76">
        <f t="shared" si="10"/>
        <v>55.45</v>
      </c>
      <c r="Q76" t="s">
        <v>50</v>
      </c>
      <c r="R76">
        <v>1</v>
      </c>
      <c r="S76">
        <v>461</v>
      </c>
      <c r="T76" s="1">
        <v>0.58609999999999995</v>
      </c>
    </row>
    <row r="77" spans="8:20" x14ac:dyDescent="0.3">
      <c r="H77">
        <f t="shared" si="9"/>
        <v>253.02346061086155</v>
      </c>
      <c r="I77" s="33">
        <f t="shared" si="8"/>
        <v>2.5302346061086154</v>
      </c>
      <c r="J77" s="33"/>
      <c r="K77" s="33"/>
      <c r="L77">
        <v>75</v>
      </c>
      <c r="M77">
        <v>40.6</v>
      </c>
      <c r="N77">
        <v>49.4</v>
      </c>
      <c r="O77">
        <v>51.8</v>
      </c>
      <c r="P77">
        <f t="shared" si="10"/>
        <v>50.599999999999994</v>
      </c>
      <c r="Q77" t="s">
        <v>50</v>
      </c>
      <c r="R77">
        <v>2</v>
      </c>
      <c r="S77">
        <v>43</v>
      </c>
      <c r="T77" s="1">
        <v>0.53710000000000002</v>
      </c>
    </row>
    <row r="78" spans="8:20" x14ac:dyDescent="0.3">
      <c r="H78">
        <f t="shared" si="9"/>
        <v>411280.41438874544</v>
      </c>
      <c r="I78" s="33">
        <f t="shared" si="8"/>
        <v>4112.8041438874543</v>
      </c>
      <c r="J78" s="33"/>
      <c r="K78" s="33"/>
      <c r="L78">
        <v>80</v>
      </c>
      <c r="M78">
        <v>42.9</v>
      </c>
      <c r="N78">
        <v>45</v>
      </c>
      <c r="O78">
        <v>47.3</v>
      </c>
      <c r="P78">
        <f t="shared" si="10"/>
        <v>46.15</v>
      </c>
      <c r="Q78" t="s">
        <v>50</v>
      </c>
      <c r="R78">
        <v>1</v>
      </c>
      <c r="S78">
        <v>58</v>
      </c>
      <c r="T78" s="1">
        <v>0.50860000000000005</v>
      </c>
    </row>
    <row r="79" spans="8:20" x14ac:dyDescent="0.3">
      <c r="H79">
        <f t="shared" si="9"/>
        <v>176.30269160503954</v>
      </c>
      <c r="I79" s="33">
        <f t="shared" si="8"/>
        <v>1.7630269160503955</v>
      </c>
      <c r="J79" s="33"/>
      <c r="K79" s="33"/>
      <c r="L79">
        <v>85</v>
      </c>
      <c r="M79">
        <v>38.75</v>
      </c>
      <c r="N79">
        <v>41.3</v>
      </c>
      <c r="O79">
        <v>42</v>
      </c>
      <c r="P79">
        <f t="shared" si="10"/>
        <v>41.65</v>
      </c>
      <c r="Q79" t="s">
        <v>50</v>
      </c>
      <c r="R79">
        <v>1</v>
      </c>
      <c r="S79">
        <v>77</v>
      </c>
      <c r="T79" s="1">
        <v>0.49049999999999999</v>
      </c>
    </row>
    <row r="80" spans="8:20" x14ac:dyDescent="0.3">
      <c r="H80">
        <f t="shared" si="9"/>
        <v>7458.2888169241969</v>
      </c>
      <c r="I80" s="33">
        <f t="shared" si="8"/>
        <v>74.582888169241969</v>
      </c>
      <c r="J80" s="33"/>
      <c r="K80" s="33"/>
      <c r="L80">
        <v>90</v>
      </c>
      <c r="M80">
        <v>23.4</v>
      </c>
      <c r="N80">
        <v>37</v>
      </c>
      <c r="O80">
        <v>38.200000000000003</v>
      </c>
      <c r="P80">
        <f t="shared" si="10"/>
        <v>37.6</v>
      </c>
      <c r="Q80" t="s">
        <v>50</v>
      </c>
      <c r="R80">
        <v>1</v>
      </c>
      <c r="S80">
        <v>170</v>
      </c>
      <c r="T80" s="1">
        <v>0.48099999999999998</v>
      </c>
    </row>
    <row r="81" spans="8:20" x14ac:dyDescent="0.3">
      <c r="H81">
        <f t="shared" si="9"/>
        <v>-31664.670231938373</v>
      </c>
      <c r="I81" s="33">
        <f t="shared" si="8"/>
        <v>-316.64670231938373</v>
      </c>
      <c r="J81" s="33"/>
      <c r="K81" s="33"/>
      <c r="L81">
        <v>95</v>
      </c>
      <c r="M81">
        <v>31.9</v>
      </c>
      <c r="N81">
        <v>32.4</v>
      </c>
      <c r="O81">
        <v>34.9</v>
      </c>
      <c r="P81">
        <f t="shared" si="10"/>
        <v>33.65</v>
      </c>
      <c r="Q81" t="s">
        <v>50</v>
      </c>
      <c r="R81">
        <v>2</v>
      </c>
      <c r="S81">
        <v>46</v>
      </c>
      <c r="T81" s="1">
        <v>0.48220000000000002</v>
      </c>
    </row>
    <row r="82" spans="8:20" x14ac:dyDescent="0.3">
      <c r="H82">
        <f t="shared" si="9"/>
        <v>1784.5982462502755</v>
      </c>
      <c r="I82" s="33">
        <f t="shared" si="8"/>
        <v>17.845982462502754</v>
      </c>
      <c r="J82" s="33"/>
      <c r="K82" s="33"/>
      <c r="L82">
        <v>100</v>
      </c>
      <c r="M82">
        <v>20.5</v>
      </c>
      <c r="N82">
        <v>28.9</v>
      </c>
      <c r="O82">
        <v>30.3</v>
      </c>
      <c r="P82">
        <f t="shared" si="10"/>
        <v>29.6</v>
      </c>
      <c r="Q82" t="s">
        <v>50</v>
      </c>
      <c r="R82">
        <v>2</v>
      </c>
      <c r="S82">
        <v>88</v>
      </c>
      <c r="T82" s="1">
        <v>0.43840000000000001</v>
      </c>
    </row>
    <row r="83" spans="8:20" x14ac:dyDescent="0.3">
      <c r="H83">
        <f t="shared" si="9"/>
        <v>4733.953114274399</v>
      </c>
      <c r="I83" s="33">
        <f t="shared" si="8"/>
        <v>47.339531142743994</v>
      </c>
      <c r="J83" s="33"/>
      <c r="K83" s="33"/>
      <c r="L83">
        <v>105</v>
      </c>
      <c r="M83">
        <v>23.44</v>
      </c>
      <c r="N83">
        <v>25.3</v>
      </c>
      <c r="O83">
        <v>25.9</v>
      </c>
      <c r="P83">
        <f t="shared" si="10"/>
        <v>25.6</v>
      </c>
      <c r="Q83" t="s">
        <v>50</v>
      </c>
      <c r="R83">
        <v>4</v>
      </c>
      <c r="S83">
        <v>92</v>
      </c>
      <c r="T83" s="1">
        <v>0.39979999999999999</v>
      </c>
    </row>
    <row r="84" spans="8:20" x14ac:dyDescent="0.3">
      <c r="H84">
        <f t="shared" si="9"/>
        <v>11967.520780893012</v>
      </c>
      <c r="I84" s="33">
        <f t="shared" si="8"/>
        <v>119.67520780893012</v>
      </c>
      <c r="J84" s="33"/>
      <c r="K84" s="33"/>
      <c r="L84">
        <v>110</v>
      </c>
      <c r="M84">
        <v>20</v>
      </c>
      <c r="N84">
        <v>21.8</v>
      </c>
      <c r="O84">
        <v>22.9</v>
      </c>
      <c r="P84">
        <f t="shared" si="10"/>
        <v>22.35</v>
      </c>
      <c r="Q84" t="s">
        <v>50</v>
      </c>
      <c r="R84">
        <v>6</v>
      </c>
      <c r="S84">
        <v>355</v>
      </c>
      <c r="T84" s="1">
        <v>0.39589999999999997</v>
      </c>
    </row>
    <row r="85" spans="8:20" x14ac:dyDescent="0.3">
      <c r="H85">
        <f t="shared" si="9"/>
        <v>33791.985059667415</v>
      </c>
      <c r="I85" s="33">
        <f t="shared" si="8"/>
        <v>337.91985059667417</v>
      </c>
      <c r="J85" s="33"/>
      <c r="K85" s="33"/>
      <c r="L85">
        <v>115</v>
      </c>
      <c r="M85">
        <v>18.600000000000001</v>
      </c>
      <c r="N85">
        <v>18.3</v>
      </c>
      <c r="O85">
        <v>19.3</v>
      </c>
      <c r="P85">
        <f t="shared" si="10"/>
        <v>18.8</v>
      </c>
      <c r="Q85" t="s">
        <v>50</v>
      </c>
      <c r="R85">
        <v>2</v>
      </c>
      <c r="S85">
        <v>159</v>
      </c>
      <c r="T85" s="1">
        <v>0.37159999999999999</v>
      </c>
    </row>
    <row r="86" spans="8:20" x14ac:dyDescent="0.3">
      <c r="H86">
        <f t="shared" si="9"/>
        <v>94660.088436634163</v>
      </c>
      <c r="I86" s="33">
        <f t="shared" si="8"/>
        <v>946.60088436634169</v>
      </c>
      <c r="J86" s="33"/>
      <c r="K86" s="33"/>
      <c r="L86">
        <v>120</v>
      </c>
      <c r="M86">
        <v>15.86</v>
      </c>
      <c r="N86">
        <v>15.1</v>
      </c>
      <c r="O86">
        <v>16.3</v>
      </c>
      <c r="P86">
        <f t="shared" si="10"/>
        <v>15.7</v>
      </c>
      <c r="Q86" s="1">
        <v>5.0299999999999997E-2</v>
      </c>
      <c r="R86">
        <v>20</v>
      </c>
      <c r="S86">
        <v>222</v>
      </c>
      <c r="T86" s="1">
        <v>0.3574</v>
      </c>
    </row>
    <row r="87" spans="8:20" x14ac:dyDescent="0.3">
      <c r="H87">
        <f t="shared" si="9"/>
        <v>249196.68399141624</v>
      </c>
      <c r="I87" s="33">
        <f t="shared" si="8"/>
        <v>2491.9668399141624</v>
      </c>
      <c r="J87" s="33"/>
      <c r="K87" s="33"/>
      <c r="L87">
        <v>125</v>
      </c>
      <c r="M87">
        <v>13</v>
      </c>
      <c r="N87">
        <v>12.9</v>
      </c>
      <c r="O87">
        <v>13.6</v>
      </c>
      <c r="P87">
        <f t="shared" si="10"/>
        <v>13.25</v>
      </c>
      <c r="Q87" s="1">
        <v>8.3299999999999999E-2</v>
      </c>
      <c r="R87">
        <v>1</v>
      </c>
      <c r="S87">
        <v>386</v>
      </c>
      <c r="T87" s="1">
        <v>0.34489999999999998</v>
      </c>
    </row>
    <row r="88" spans="8:20" x14ac:dyDescent="0.3">
      <c r="H88">
        <f t="shared" si="9"/>
        <v>666701.4797765268</v>
      </c>
      <c r="I88" s="33">
        <f t="shared" si="8"/>
        <v>6667.0147977652678</v>
      </c>
      <c r="J88" s="33"/>
      <c r="K88" s="33"/>
      <c r="L88">
        <v>130</v>
      </c>
      <c r="M88">
        <v>10.4</v>
      </c>
      <c r="N88">
        <v>10.5</v>
      </c>
      <c r="O88">
        <v>11.4</v>
      </c>
      <c r="P88">
        <f t="shared" si="10"/>
        <v>10.95</v>
      </c>
      <c r="Q88" t="s">
        <v>50</v>
      </c>
      <c r="R88">
        <v>3</v>
      </c>
      <c r="S88">
        <v>387</v>
      </c>
      <c r="T88" s="1">
        <v>0.33829999999999999</v>
      </c>
    </row>
    <row r="89" spans="8:20" x14ac:dyDescent="0.3">
      <c r="H89">
        <f t="shared" si="9"/>
        <v>1800918.1832785173</v>
      </c>
      <c r="I89" s="33">
        <f t="shared" si="8"/>
        <v>18009.181832785172</v>
      </c>
      <c r="J89" s="33"/>
      <c r="K89" s="33"/>
      <c r="L89">
        <v>135</v>
      </c>
      <c r="M89">
        <v>7.5</v>
      </c>
      <c r="N89">
        <v>8.1999999999999993</v>
      </c>
      <c r="O89">
        <v>9.4</v>
      </c>
      <c r="P89">
        <f t="shared" si="10"/>
        <v>8.8000000000000007</v>
      </c>
      <c r="Q89" t="s">
        <v>50</v>
      </c>
      <c r="R89">
        <v>3</v>
      </c>
      <c r="S89">
        <v>129</v>
      </c>
      <c r="T89" s="1">
        <v>0.33069999999999999</v>
      </c>
    </row>
    <row r="90" spans="8:20" x14ac:dyDescent="0.3">
      <c r="H90">
        <f t="shared" si="9"/>
        <v>4377326.0133676557</v>
      </c>
      <c r="I90" s="33">
        <f t="shared" si="8"/>
        <v>43773.260133676558</v>
      </c>
      <c r="J90" s="33"/>
      <c r="K90" s="33"/>
      <c r="L90">
        <v>140</v>
      </c>
      <c r="M90">
        <v>6.08</v>
      </c>
      <c r="N90">
        <v>6.7</v>
      </c>
      <c r="O90">
        <v>7.9</v>
      </c>
      <c r="P90">
        <f t="shared" si="10"/>
        <v>7.3000000000000007</v>
      </c>
      <c r="Q90" t="s">
        <v>50</v>
      </c>
      <c r="R90">
        <v>1</v>
      </c>
      <c r="S90" s="2">
        <v>1743</v>
      </c>
      <c r="T90" s="1">
        <v>0.32950000000000002</v>
      </c>
    </row>
    <row r="91" spans="8:20" x14ac:dyDescent="0.3">
      <c r="H91">
        <f t="shared" si="9"/>
        <v>10903700.514859756</v>
      </c>
      <c r="I91" s="33">
        <f t="shared" si="8"/>
        <v>109037.00514859757</v>
      </c>
      <c r="J91" s="33"/>
      <c r="K91" s="33"/>
      <c r="L91">
        <v>145</v>
      </c>
      <c r="M91">
        <v>4.5999999999999996</v>
      </c>
      <c r="N91">
        <v>5.5</v>
      </c>
      <c r="O91">
        <v>6.1</v>
      </c>
      <c r="P91">
        <f t="shared" si="10"/>
        <v>5.8</v>
      </c>
      <c r="Q91" t="s">
        <v>50</v>
      </c>
      <c r="R91">
        <v>1</v>
      </c>
      <c r="S91">
        <v>265</v>
      </c>
      <c r="T91" s="1">
        <v>0.31530000000000002</v>
      </c>
    </row>
    <row r="92" spans="8:20" x14ac:dyDescent="0.3">
      <c r="H92">
        <f t="shared" si="9"/>
        <v>25949167.087489873</v>
      </c>
      <c r="I92" s="33">
        <f t="shared" si="8"/>
        <v>259491.67087489873</v>
      </c>
      <c r="J92" s="33"/>
      <c r="K92" s="33"/>
      <c r="L92">
        <v>150</v>
      </c>
      <c r="M92">
        <v>4.0999999999999996</v>
      </c>
      <c r="N92">
        <v>4.3</v>
      </c>
      <c r="O92">
        <v>4.9000000000000004</v>
      </c>
      <c r="P92">
        <f t="shared" si="10"/>
        <v>4.5999999999999996</v>
      </c>
      <c r="Q92" t="s">
        <v>50</v>
      </c>
      <c r="R92">
        <v>61</v>
      </c>
      <c r="S92">
        <v>229</v>
      </c>
      <c r="T92" s="1">
        <v>0.31069999999999998</v>
      </c>
    </row>
    <row r="93" spans="8:20" x14ac:dyDescent="0.3">
      <c r="H93">
        <f t="shared" si="9"/>
        <v>60045145.720678486</v>
      </c>
      <c r="I93" s="33">
        <f t="shared" si="8"/>
        <v>600451.45720678486</v>
      </c>
      <c r="J93" s="33"/>
      <c r="K93" s="33"/>
      <c r="L93">
        <v>155</v>
      </c>
      <c r="M93">
        <v>2.83</v>
      </c>
      <c r="N93">
        <v>3.3</v>
      </c>
      <c r="O93">
        <v>3.9</v>
      </c>
      <c r="P93">
        <f t="shared" si="10"/>
        <v>3.5999999999999996</v>
      </c>
      <c r="Q93" t="s">
        <v>50</v>
      </c>
      <c r="R93">
        <v>1</v>
      </c>
      <c r="S93">
        <v>88</v>
      </c>
      <c r="T93" s="1">
        <v>0.30659999999999998</v>
      </c>
    </row>
    <row r="94" spans="8:20" x14ac:dyDescent="0.3">
      <c r="H94">
        <f t="shared" si="9"/>
        <v>133026338.3255156</v>
      </c>
      <c r="I94" s="33">
        <f t="shared" si="8"/>
        <v>1330263.383255156</v>
      </c>
      <c r="J94" s="33"/>
      <c r="K94" s="33"/>
      <c r="L94">
        <v>160</v>
      </c>
      <c r="M94">
        <v>2.25</v>
      </c>
      <c r="N94">
        <v>2.6</v>
      </c>
      <c r="O94">
        <v>3.1</v>
      </c>
      <c r="P94">
        <f t="shared" si="10"/>
        <v>2.85</v>
      </c>
      <c r="Q94" t="s">
        <v>50</v>
      </c>
      <c r="R94">
        <v>1</v>
      </c>
      <c r="S94">
        <v>70</v>
      </c>
      <c r="T94" s="1">
        <v>0.30349999999999999</v>
      </c>
    </row>
    <row r="95" spans="8:20" x14ac:dyDescent="0.3">
      <c r="H95">
        <f t="shared" si="9"/>
        <v>281185058.81909013</v>
      </c>
      <c r="I95" s="33">
        <f t="shared" si="8"/>
        <v>2811850.5881909016</v>
      </c>
      <c r="J95" s="33"/>
      <c r="K95" s="33"/>
      <c r="L95">
        <v>165</v>
      </c>
      <c r="M95">
        <v>1.65</v>
      </c>
      <c r="N95">
        <v>2</v>
      </c>
      <c r="O95">
        <v>2.7</v>
      </c>
      <c r="P95">
        <f t="shared" si="10"/>
        <v>2.35</v>
      </c>
      <c r="Q95" t="s">
        <v>50</v>
      </c>
      <c r="R95">
        <v>1</v>
      </c>
      <c r="S95">
        <v>332</v>
      </c>
      <c r="T95" s="1">
        <v>0.31019999999999998</v>
      </c>
    </row>
    <row r="96" spans="8:20" x14ac:dyDescent="0.3">
      <c r="H96">
        <f t="shared" si="9"/>
        <v>597397082.73271334</v>
      </c>
      <c r="I96" s="33">
        <f t="shared" si="8"/>
        <v>5973970.8273271332</v>
      </c>
      <c r="J96" s="33"/>
      <c r="K96" s="33"/>
      <c r="L96">
        <v>170</v>
      </c>
      <c r="M96">
        <v>1.5</v>
      </c>
      <c r="N96">
        <v>1.5</v>
      </c>
      <c r="O96">
        <v>2.25</v>
      </c>
      <c r="P96">
        <f t="shared" si="10"/>
        <v>1.875</v>
      </c>
      <c r="Q96" t="s">
        <v>50</v>
      </c>
      <c r="R96">
        <v>2</v>
      </c>
      <c r="S96">
        <v>6</v>
      </c>
      <c r="T96" s="1">
        <v>0.312</v>
      </c>
    </row>
    <row r="97" spans="8:20" x14ac:dyDescent="0.3">
      <c r="H97">
        <f t="shared" si="9"/>
        <v>-1239.1395135240089</v>
      </c>
      <c r="I97" s="33">
        <f t="shared" si="8"/>
        <v>-12.391395135240089</v>
      </c>
      <c r="J97" s="33"/>
      <c r="K97" s="33"/>
      <c r="L97">
        <v>180</v>
      </c>
      <c r="M97">
        <v>2.4300000000000002</v>
      </c>
      <c r="N97">
        <v>0</v>
      </c>
      <c r="O97">
        <v>4.3</v>
      </c>
      <c r="P97">
        <f t="shared" si="10"/>
        <v>2.15</v>
      </c>
      <c r="Q97" t="s">
        <v>50</v>
      </c>
      <c r="R97" t="s">
        <v>50</v>
      </c>
      <c r="S97">
        <v>2</v>
      </c>
      <c r="T97" s="1">
        <v>0.42270000000000002</v>
      </c>
    </row>
    <row r="98" spans="8:20" x14ac:dyDescent="0.3">
      <c r="H98">
        <f t="shared" si="9"/>
        <v>-1267.0292830226763</v>
      </c>
      <c r="I98" s="33">
        <f t="shared" si="8"/>
        <v>-12.670292830226764</v>
      </c>
      <c r="J98" s="33"/>
      <c r="K98" s="33"/>
      <c r="L98">
        <v>185</v>
      </c>
      <c r="M98">
        <v>2.67</v>
      </c>
      <c r="N98">
        <v>0.1</v>
      </c>
      <c r="O98">
        <v>3.8</v>
      </c>
      <c r="P98">
        <f t="shared" si="10"/>
        <v>1.95</v>
      </c>
      <c r="Q98" t="s">
        <v>50</v>
      </c>
      <c r="R98" t="s">
        <v>50</v>
      </c>
      <c r="S98">
        <v>2</v>
      </c>
      <c r="T98" s="1">
        <v>0.42349999999999999</v>
      </c>
    </row>
    <row r="99" spans="8:20" x14ac:dyDescent="0.3">
      <c r="H99">
        <f t="shared" si="9"/>
        <v>-1304.305484109005</v>
      </c>
      <c r="I99" s="33">
        <f t="shared" si="8"/>
        <v>-13.043054841090051</v>
      </c>
      <c r="J99" s="33"/>
      <c r="K99" s="33"/>
      <c r="L99">
        <v>190</v>
      </c>
      <c r="M99">
        <v>0.7</v>
      </c>
      <c r="N99">
        <v>0.25</v>
      </c>
      <c r="O99">
        <v>1.25</v>
      </c>
      <c r="P99">
        <f t="shared" si="10"/>
        <v>0.75</v>
      </c>
      <c r="Q99" t="s">
        <v>50</v>
      </c>
      <c r="R99">
        <v>1</v>
      </c>
      <c r="S99">
        <v>2</v>
      </c>
      <c r="T99" s="1">
        <v>0.3286</v>
      </c>
    </row>
    <row r="100" spans="8:20" x14ac:dyDescent="0.3">
      <c r="H100">
        <f t="shared" si="9"/>
        <v>-1323.8678143971804</v>
      </c>
      <c r="I100" s="33">
        <f t="shared" si="8"/>
        <v>-13.238678143971804</v>
      </c>
      <c r="J100" s="33"/>
      <c r="K100" s="33"/>
      <c r="L100">
        <v>195</v>
      </c>
      <c r="M100">
        <v>0.55000000000000004</v>
      </c>
      <c r="N100">
        <v>0.2</v>
      </c>
      <c r="O100">
        <v>2.5</v>
      </c>
      <c r="P100">
        <f t="shared" si="10"/>
        <v>1.35</v>
      </c>
      <c r="Q100" t="s">
        <v>50</v>
      </c>
      <c r="R100">
        <v>13</v>
      </c>
      <c r="S100">
        <v>3</v>
      </c>
      <c r="T100" s="1">
        <v>0.40529999999999999</v>
      </c>
    </row>
    <row r="104" spans="8:20" x14ac:dyDescent="0.3">
      <c r="J104" t="s">
        <v>73</v>
      </c>
      <c r="M104" t="s">
        <v>65</v>
      </c>
      <c r="N104">
        <f>0.026</f>
        <v>2.5999999999999999E-2</v>
      </c>
      <c r="O104" t="s">
        <v>66</v>
      </c>
      <c r="P104">
        <f>22/12</f>
        <v>1.8333333333333333</v>
      </c>
      <c r="Q104" t="s">
        <v>68</v>
      </c>
      <c r="R104">
        <v>4</v>
      </c>
    </row>
    <row r="105" spans="8:20" x14ac:dyDescent="0.3">
      <c r="H105" t="s">
        <v>71</v>
      </c>
      <c r="I105" s="33" t="s">
        <v>64</v>
      </c>
      <c r="J105" s="33"/>
      <c r="K105" s="33"/>
      <c r="L105" t="s">
        <v>42</v>
      </c>
      <c r="M105" t="s">
        <v>43</v>
      </c>
      <c r="N105" t="s">
        <v>44</v>
      </c>
      <c r="O105" t="s">
        <v>45</v>
      </c>
      <c r="P105" t="s">
        <v>67</v>
      </c>
      <c r="Q105" t="s">
        <v>46</v>
      </c>
      <c r="R105" t="s">
        <v>47</v>
      </c>
      <c r="S105" t="s">
        <v>48</v>
      </c>
      <c r="T105" t="s">
        <v>49</v>
      </c>
    </row>
    <row r="106" spans="8:20" x14ac:dyDescent="0.3">
      <c r="H106">
        <f>I106*100</f>
        <v>2239.7260758292318</v>
      </c>
      <c r="I106" s="33">
        <f t="shared" ref="I106:I129" si="11">ImpliedVolatility($H$6,$H$7,L106,$N$104,$P$104,$H$8,P106,$R$104)</f>
        <v>22.397260758292319</v>
      </c>
      <c r="J106" s="33"/>
      <c r="K106" s="33"/>
      <c r="L106">
        <v>55</v>
      </c>
      <c r="M106">
        <v>60.5</v>
      </c>
      <c r="N106">
        <v>69.5</v>
      </c>
      <c r="O106">
        <v>74.5</v>
      </c>
      <c r="P106">
        <f>(N106+O106)/2</f>
        <v>72</v>
      </c>
      <c r="Q106" t="s">
        <v>50</v>
      </c>
      <c r="R106">
        <v>1</v>
      </c>
      <c r="S106">
        <v>3</v>
      </c>
      <c r="T106" s="1">
        <v>0.58979999999999999</v>
      </c>
    </row>
    <row r="107" spans="8:20" x14ac:dyDescent="0.3">
      <c r="H107">
        <f t="shared" ref="H107:H129" si="12">I107*100</f>
        <v>1347603.1476227206</v>
      </c>
      <c r="I107" s="33">
        <f t="shared" si="11"/>
        <v>13476.031476227206</v>
      </c>
      <c r="J107" s="33"/>
      <c r="K107" s="33"/>
      <c r="L107">
        <v>60</v>
      </c>
      <c r="M107">
        <v>67.900000000000006</v>
      </c>
      <c r="N107">
        <v>58.3</v>
      </c>
      <c r="O107">
        <v>62.5</v>
      </c>
      <c r="P107">
        <f t="shared" ref="P107:P129" si="13">(N107+O107)/2</f>
        <v>60.4</v>
      </c>
      <c r="Q107" t="s">
        <v>50</v>
      </c>
      <c r="R107" t="s">
        <v>50</v>
      </c>
      <c r="S107">
        <v>2</v>
      </c>
      <c r="T107" s="1">
        <v>0.30080000000000001</v>
      </c>
    </row>
    <row r="108" spans="8:20" x14ac:dyDescent="0.3">
      <c r="H108">
        <f t="shared" si="12"/>
        <v>-1586.6610196704578</v>
      </c>
      <c r="I108" s="33">
        <f t="shared" si="11"/>
        <v>-15.866610196704578</v>
      </c>
      <c r="J108" s="33"/>
      <c r="K108" s="33"/>
      <c r="L108">
        <v>75</v>
      </c>
      <c r="M108">
        <v>45.1</v>
      </c>
      <c r="N108">
        <v>43.2</v>
      </c>
      <c r="O108">
        <v>47.5</v>
      </c>
      <c r="P108">
        <f t="shared" si="13"/>
        <v>45.35</v>
      </c>
      <c r="Q108" t="s">
        <v>50</v>
      </c>
      <c r="R108" t="s">
        <v>50</v>
      </c>
      <c r="S108">
        <v>1</v>
      </c>
      <c r="T108" s="1">
        <v>0.21629999999999999</v>
      </c>
    </row>
    <row r="109" spans="8:20" x14ac:dyDescent="0.3">
      <c r="H109">
        <f t="shared" si="12"/>
        <v>-2034.5173392567315</v>
      </c>
      <c r="I109" s="33">
        <f t="shared" si="11"/>
        <v>-20.345173392567315</v>
      </c>
      <c r="J109" s="33"/>
      <c r="K109" s="33"/>
      <c r="L109">
        <v>85</v>
      </c>
      <c r="M109">
        <v>29.6</v>
      </c>
      <c r="N109">
        <v>45.5</v>
      </c>
      <c r="O109">
        <v>48.5</v>
      </c>
      <c r="P109">
        <f t="shared" si="13"/>
        <v>47</v>
      </c>
      <c r="Q109" t="s">
        <v>50</v>
      </c>
      <c r="R109">
        <v>3</v>
      </c>
      <c r="S109">
        <v>22</v>
      </c>
      <c r="T109" s="1">
        <v>0.4829</v>
      </c>
    </row>
    <row r="110" spans="8:20" x14ac:dyDescent="0.3">
      <c r="H110">
        <f t="shared" si="12"/>
        <v>-3064.0285543480518</v>
      </c>
      <c r="I110" s="33">
        <f t="shared" si="11"/>
        <v>-30.640285543480516</v>
      </c>
      <c r="J110" s="33"/>
      <c r="K110" s="33"/>
      <c r="L110">
        <v>95</v>
      </c>
      <c r="M110">
        <v>30.1</v>
      </c>
      <c r="N110">
        <v>37.200000000000003</v>
      </c>
      <c r="O110">
        <v>42</v>
      </c>
      <c r="P110">
        <f t="shared" si="13"/>
        <v>39.6</v>
      </c>
      <c r="Q110" t="s">
        <v>50</v>
      </c>
      <c r="R110">
        <v>2</v>
      </c>
      <c r="S110">
        <v>3</v>
      </c>
      <c r="T110" s="1">
        <v>0.46489999999999998</v>
      </c>
    </row>
    <row r="111" spans="8:20" x14ac:dyDescent="0.3">
      <c r="H111">
        <f t="shared" si="12"/>
        <v>-3568.7501428447681</v>
      </c>
      <c r="I111" s="33">
        <f t="shared" si="11"/>
        <v>-35.687501428447682</v>
      </c>
      <c r="J111" s="33"/>
      <c r="K111" s="33"/>
      <c r="L111">
        <v>100</v>
      </c>
      <c r="M111">
        <v>36.6</v>
      </c>
      <c r="N111">
        <v>33</v>
      </c>
      <c r="O111">
        <v>38</v>
      </c>
      <c r="P111">
        <f t="shared" si="13"/>
        <v>35.5</v>
      </c>
      <c r="Q111" t="s">
        <v>50</v>
      </c>
      <c r="R111">
        <v>6</v>
      </c>
      <c r="S111">
        <v>81</v>
      </c>
      <c r="T111" s="1">
        <v>0.43859999999999999</v>
      </c>
    </row>
    <row r="112" spans="8:20" x14ac:dyDescent="0.3">
      <c r="H112">
        <f t="shared" si="12"/>
        <v>-3979.1675386480902</v>
      </c>
      <c r="I112" s="33">
        <f t="shared" si="11"/>
        <v>-39.791675386480904</v>
      </c>
      <c r="J112" s="33"/>
      <c r="K112" s="33"/>
      <c r="L112">
        <v>105</v>
      </c>
      <c r="M112">
        <v>23.5</v>
      </c>
      <c r="N112">
        <v>30.1</v>
      </c>
      <c r="O112">
        <v>34.9</v>
      </c>
      <c r="P112">
        <f t="shared" si="13"/>
        <v>32.5</v>
      </c>
      <c r="Q112" t="s">
        <v>50</v>
      </c>
      <c r="R112">
        <v>3</v>
      </c>
      <c r="S112">
        <v>7</v>
      </c>
      <c r="T112" s="1">
        <v>0.42799999999999999</v>
      </c>
    </row>
    <row r="113" spans="8:20" x14ac:dyDescent="0.3">
      <c r="H113">
        <f t="shared" si="12"/>
        <v>-4449.780347199242</v>
      </c>
      <c r="I113" s="33">
        <f t="shared" si="11"/>
        <v>-44.49780347199242</v>
      </c>
      <c r="J113" s="33"/>
      <c r="K113" s="33"/>
      <c r="L113">
        <v>110</v>
      </c>
      <c r="M113">
        <v>26</v>
      </c>
      <c r="N113">
        <v>26.6</v>
      </c>
      <c r="O113">
        <v>30</v>
      </c>
      <c r="P113">
        <f t="shared" si="13"/>
        <v>28.3</v>
      </c>
      <c r="Q113" t="s">
        <v>50</v>
      </c>
      <c r="R113">
        <v>1</v>
      </c>
      <c r="S113">
        <v>22</v>
      </c>
      <c r="T113" s="1">
        <v>0.38469999999999999</v>
      </c>
    </row>
    <row r="114" spans="8:20" x14ac:dyDescent="0.3">
      <c r="H114">
        <f t="shared" si="12"/>
        <v>-4836.3841776981035</v>
      </c>
      <c r="I114" s="33">
        <f t="shared" si="11"/>
        <v>-48.363841776981033</v>
      </c>
      <c r="J114" s="33"/>
      <c r="K114" s="33"/>
      <c r="L114">
        <v>115</v>
      </c>
      <c r="M114">
        <v>17.399999999999999</v>
      </c>
      <c r="N114">
        <v>23.4</v>
      </c>
      <c r="O114">
        <v>26.9</v>
      </c>
      <c r="P114">
        <f t="shared" si="13"/>
        <v>25.15</v>
      </c>
      <c r="Q114" t="s">
        <v>50</v>
      </c>
      <c r="R114">
        <v>4</v>
      </c>
      <c r="S114">
        <v>15</v>
      </c>
      <c r="T114" s="1">
        <v>0.37159999999999999</v>
      </c>
    </row>
    <row r="115" spans="8:20" x14ac:dyDescent="0.3">
      <c r="H115">
        <f t="shared" si="12"/>
        <v>-5117.3474683560553</v>
      </c>
      <c r="I115" s="33">
        <f t="shared" si="11"/>
        <v>-51.173474683560556</v>
      </c>
      <c r="J115" s="33"/>
      <c r="K115" s="33"/>
      <c r="L115">
        <v>120</v>
      </c>
      <c r="M115">
        <v>19.8</v>
      </c>
      <c r="N115">
        <v>22.6</v>
      </c>
      <c r="O115">
        <v>24.4</v>
      </c>
      <c r="P115">
        <f t="shared" si="13"/>
        <v>23.5</v>
      </c>
      <c r="Q115" t="s">
        <v>50</v>
      </c>
      <c r="R115">
        <v>1</v>
      </c>
      <c r="S115">
        <v>247</v>
      </c>
      <c r="T115" s="1">
        <v>0.36609999999999998</v>
      </c>
    </row>
    <row r="116" spans="8:20" x14ac:dyDescent="0.3">
      <c r="H116">
        <f t="shared" si="12"/>
        <v>-5395.4754539102123</v>
      </c>
      <c r="I116" s="33">
        <f t="shared" si="11"/>
        <v>-53.954754539102126</v>
      </c>
      <c r="J116" s="33"/>
      <c r="K116" s="33"/>
      <c r="L116">
        <v>125</v>
      </c>
      <c r="M116">
        <v>17.3</v>
      </c>
      <c r="N116">
        <v>20.2</v>
      </c>
      <c r="O116">
        <v>23.3</v>
      </c>
      <c r="P116">
        <f t="shared" si="13"/>
        <v>21.75</v>
      </c>
      <c r="Q116" t="s">
        <v>50</v>
      </c>
      <c r="R116">
        <v>4</v>
      </c>
      <c r="S116">
        <v>33</v>
      </c>
      <c r="T116" s="1">
        <v>0.38019999999999998</v>
      </c>
    </row>
    <row r="117" spans="8:20" x14ac:dyDescent="0.3">
      <c r="H117">
        <f t="shared" si="12"/>
        <v>-5750.5680196981812</v>
      </c>
      <c r="I117" s="33">
        <f t="shared" si="11"/>
        <v>-57.505680196981814</v>
      </c>
      <c r="J117" s="33"/>
      <c r="K117" s="33"/>
      <c r="L117">
        <v>130</v>
      </c>
      <c r="M117">
        <v>18.2</v>
      </c>
      <c r="N117">
        <v>16.600000000000001</v>
      </c>
      <c r="O117">
        <v>20.5</v>
      </c>
      <c r="P117">
        <f t="shared" si="13"/>
        <v>18.55</v>
      </c>
      <c r="Q117" t="s">
        <v>50</v>
      </c>
      <c r="R117">
        <v>5</v>
      </c>
      <c r="S117">
        <v>80</v>
      </c>
      <c r="T117" s="1">
        <v>0.36520000000000002</v>
      </c>
    </row>
    <row r="118" spans="8:20" x14ac:dyDescent="0.3">
      <c r="H118">
        <f t="shared" si="12"/>
        <v>-5996.6953507714079</v>
      </c>
      <c r="I118" s="33">
        <f t="shared" si="11"/>
        <v>-59.966953507714081</v>
      </c>
      <c r="J118" s="33"/>
      <c r="K118" s="33"/>
      <c r="L118">
        <v>135</v>
      </c>
      <c r="M118">
        <v>15.1</v>
      </c>
      <c r="N118">
        <v>15.1</v>
      </c>
      <c r="O118">
        <v>19</v>
      </c>
      <c r="P118">
        <f t="shared" si="13"/>
        <v>17.05</v>
      </c>
      <c r="Q118" s="1">
        <v>6.3399999999999998E-2</v>
      </c>
      <c r="R118">
        <v>13</v>
      </c>
      <c r="S118">
        <v>228</v>
      </c>
      <c r="T118" s="1">
        <v>0.36830000000000002</v>
      </c>
    </row>
    <row r="119" spans="8:20" x14ac:dyDescent="0.3">
      <c r="H119">
        <f t="shared" si="12"/>
        <v>-6312.8959598667125</v>
      </c>
      <c r="I119" s="33">
        <f t="shared" si="11"/>
        <v>-63.128959598667123</v>
      </c>
      <c r="J119" s="33"/>
      <c r="K119" s="33"/>
      <c r="L119">
        <v>140</v>
      </c>
      <c r="M119">
        <v>11</v>
      </c>
      <c r="N119">
        <v>13</v>
      </c>
      <c r="O119">
        <v>15.4</v>
      </c>
      <c r="P119">
        <f t="shared" si="13"/>
        <v>14.2</v>
      </c>
      <c r="Q119" t="s">
        <v>50</v>
      </c>
      <c r="R119">
        <v>1</v>
      </c>
      <c r="S119">
        <v>71</v>
      </c>
      <c r="T119" s="1">
        <v>0.33689999999999998</v>
      </c>
    </row>
    <row r="120" spans="8:20" x14ac:dyDescent="0.3">
      <c r="H120">
        <f t="shared" si="12"/>
        <v>-6826.5944804614637</v>
      </c>
      <c r="I120" s="33">
        <f t="shared" si="11"/>
        <v>-68.265944804614634</v>
      </c>
      <c r="J120" s="33"/>
      <c r="K120" s="33"/>
      <c r="L120">
        <v>145</v>
      </c>
      <c r="M120">
        <v>11.25</v>
      </c>
      <c r="N120">
        <v>5.8</v>
      </c>
      <c r="O120">
        <v>9.5</v>
      </c>
      <c r="P120">
        <f t="shared" si="13"/>
        <v>7.65</v>
      </c>
      <c r="Q120" t="s">
        <v>50</v>
      </c>
      <c r="R120">
        <v>2</v>
      </c>
      <c r="S120">
        <v>15</v>
      </c>
      <c r="T120" s="1">
        <v>0.26619999999999999</v>
      </c>
    </row>
    <row r="121" spans="8:20" x14ac:dyDescent="0.3">
      <c r="H121">
        <f t="shared" si="12"/>
        <v>-6763.9240861986518</v>
      </c>
      <c r="I121" s="33">
        <f t="shared" si="11"/>
        <v>-67.639240861986522</v>
      </c>
      <c r="J121" s="33"/>
      <c r="K121" s="33"/>
      <c r="L121">
        <v>150</v>
      </c>
      <c r="M121">
        <v>9.1</v>
      </c>
      <c r="N121">
        <v>9.1999999999999993</v>
      </c>
      <c r="O121">
        <v>13.5</v>
      </c>
      <c r="P121">
        <f t="shared" si="13"/>
        <v>11.35</v>
      </c>
      <c r="Q121" t="s">
        <v>50</v>
      </c>
      <c r="R121">
        <v>1</v>
      </c>
      <c r="S121" s="2">
        <v>1297</v>
      </c>
      <c r="T121" s="1">
        <v>0.34970000000000001</v>
      </c>
    </row>
    <row r="122" spans="8:20" x14ac:dyDescent="0.3">
      <c r="H122">
        <f t="shared" si="12"/>
        <v>-7109.7858195229055</v>
      </c>
      <c r="I122" s="33">
        <f t="shared" si="11"/>
        <v>-71.097858195229051</v>
      </c>
      <c r="J122" s="33"/>
      <c r="K122" s="33"/>
      <c r="L122">
        <v>155</v>
      </c>
      <c r="M122">
        <v>12</v>
      </c>
      <c r="N122">
        <v>6.4</v>
      </c>
      <c r="O122">
        <v>8.6999999999999993</v>
      </c>
      <c r="P122">
        <f t="shared" si="13"/>
        <v>7.55</v>
      </c>
      <c r="Q122" t="s">
        <v>50</v>
      </c>
      <c r="R122">
        <v>4</v>
      </c>
      <c r="S122">
        <v>4</v>
      </c>
      <c r="T122" s="1">
        <v>0.2908</v>
      </c>
    </row>
    <row r="123" spans="8:20" x14ac:dyDescent="0.3">
      <c r="H123">
        <f t="shared" si="12"/>
        <v>-7160.4587398924468</v>
      </c>
      <c r="I123" s="33">
        <f t="shared" si="11"/>
        <v>-71.604587398924465</v>
      </c>
      <c r="J123" s="33"/>
      <c r="K123" s="33"/>
      <c r="L123">
        <v>160</v>
      </c>
      <c r="M123">
        <v>6</v>
      </c>
      <c r="N123">
        <v>7.5</v>
      </c>
      <c r="O123">
        <v>10.8</v>
      </c>
      <c r="P123">
        <f t="shared" si="13"/>
        <v>9.15</v>
      </c>
      <c r="Q123" t="s">
        <v>50</v>
      </c>
      <c r="R123">
        <v>10</v>
      </c>
      <c r="S123">
        <v>14</v>
      </c>
      <c r="T123" s="1">
        <v>0.34289999999999998</v>
      </c>
    </row>
    <row r="124" spans="8:20" x14ac:dyDescent="0.3">
      <c r="H124">
        <f t="shared" si="12"/>
        <v>-7371.0880216861297</v>
      </c>
      <c r="I124" s="33">
        <f t="shared" si="11"/>
        <v>-73.710880216861298</v>
      </c>
      <c r="J124" s="33"/>
      <c r="K124" s="33"/>
      <c r="L124">
        <v>165</v>
      </c>
      <c r="M124">
        <v>4.0999999999999996</v>
      </c>
      <c r="N124">
        <v>5.5</v>
      </c>
      <c r="O124">
        <v>9.9</v>
      </c>
      <c r="P124">
        <f t="shared" si="13"/>
        <v>7.7</v>
      </c>
      <c r="Q124" t="s">
        <v>50</v>
      </c>
      <c r="R124">
        <v>1</v>
      </c>
      <c r="S124">
        <v>1</v>
      </c>
      <c r="T124" s="1">
        <v>0.34420000000000001</v>
      </c>
    </row>
    <row r="125" spans="8:20" x14ac:dyDescent="0.3">
      <c r="H125">
        <f t="shared" si="12"/>
        <v>-7598.1472483551115</v>
      </c>
      <c r="I125" s="33">
        <f t="shared" si="11"/>
        <v>-75.981472483551116</v>
      </c>
      <c r="J125" s="33"/>
      <c r="K125" s="33"/>
      <c r="L125">
        <v>170</v>
      </c>
      <c r="M125">
        <v>3.1</v>
      </c>
      <c r="N125">
        <v>4.5</v>
      </c>
      <c r="O125">
        <v>7.2</v>
      </c>
      <c r="P125">
        <f t="shared" si="13"/>
        <v>5.85</v>
      </c>
      <c r="Q125" t="s">
        <v>50</v>
      </c>
      <c r="R125">
        <v>50</v>
      </c>
      <c r="S125">
        <v>125</v>
      </c>
      <c r="T125" s="1">
        <v>0.31219999999999998</v>
      </c>
    </row>
    <row r="126" spans="8:20" x14ac:dyDescent="0.3">
      <c r="H126">
        <f t="shared" si="12"/>
        <v>-8023.973539172046</v>
      </c>
      <c r="I126" s="33">
        <f t="shared" si="11"/>
        <v>-80.239735391720458</v>
      </c>
      <c r="J126" s="33"/>
      <c r="K126" s="33"/>
      <c r="L126">
        <v>180</v>
      </c>
      <c r="M126">
        <v>3.5</v>
      </c>
      <c r="N126">
        <v>1.5</v>
      </c>
      <c r="O126">
        <v>3.4</v>
      </c>
      <c r="P126">
        <f t="shared" si="13"/>
        <v>2.4500000000000002</v>
      </c>
      <c r="Q126" t="s">
        <v>50</v>
      </c>
      <c r="R126">
        <v>2</v>
      </c>
      <c r="S126">
        <v>79</v>
      </c>
      <c r="T126" s="1">
        <v>0.26069999999999999</v>
      </c>
    </row>
    <row r="127" spans="8:20" x14ac:dyDescent="0.3">
      <c r="H127">
        <f t="shared" si="12"/>
        <v>-8091.4391680769686</v>
      </c>
      <c r="I127" s="33">
        <f t="shared" si="11"/>
        <v>-80.914391680769683</v>
      </c>
      <c r="J127" s="33"/>
      <c r="K127" s="33"/>
      <c r="L127">
        <v>185</v>
      </c>
      <c r="M127">
        <v>2.65</v>
      </c>
      <c r="N127">
        <v>1.65</v>
      </c>
      <c r="O127">
        <v>5.5</v>
      </c>
      <c r="P127">
        <f t="shared" si="13"/>
        <v>3.5750000000000002</v>
      </c>
      <c r="Q127" t="s">
        <v>50</v>
      </c>
      <c r="R127">
        <v>1</v>
      </c>
      <c r="S127">
        <v>0</v>
      </c>
      <c r="T127" s="1">
        <v>0.31890000000000002</v>
      </c>
    </row>
    <row r="128" spans="8:20" x14ac:dyDescent="0.3">
      <c r="H128">
        <f t="shared" si="12"/>
        <v>-8293.0499969167849</v>
      </c>
      <c r="I128" s="33">
        <f t="shared" si="11"/>
        <v>-82.930499969167855</v>
      </c>
      <c r="J128" s="33"/>
      <c r="K128" s="33"/>
      <c r="L128">
        <v>190</v>
      </c>
      <c r="M128">
        <v>3.5</v>
      </c>
      <c r="N128">
        <v>1.1000000000000001</v>
      </c>
      <c r="O128">
        <v>2.8</v>
      </c>
      <c r="P128">
        <f t="shared" si="13"/>
        <v>1.95</v>
      </c>
      <c r="Q128" t="s">
        <v>50</v>
      </c>
      <c r="R128">
        <v>40</v>
      </c>
      <c r="S128">
        <v>340</v>
      </c>
      <c r="T128" s="1">
        <v>0.26779999999999998</v>
      </c>
    </row>
    <row r="129" spans="8:20" x14ac:dyDescent="0.3">
      <c r="H129">
        <f t="shared" si="12"/>
        <v>-8388.8972700032809</v>
      </c>
      <c r="I129" s="33">
        <f t="shared" si="11"/>
        <v>-83.888972700032809</v>
      </c>
      <c r="J129" s="33"/>
      <c r="K129" s="33"/>
      <c r="L129">
        <v>195</v>
      </c>
      <c r="M129">
        <v>2</v>
      </c>
      <c r="N129">
        <v>0.7</v>
      </c>
      <c r="O129">
        <v>4.2</v>
      </c>
      <c r="P129">
        <f t="shared" si="13"/>
        <v>2.4500000000000002</v>
      </c>
      <c r="Q129" t="s">
        <v>50</v>
      </c>
      <c r="R129">
        <v>1</v>
      </c>
      <c r="S129">
        <v>14</v>
      </c>
      <c r="T129" s="1">
        <v>0.31319999999999998</v>
      </c>
    </row>
    <row r="133" spans="8:20" x14ac:dyDescent="0.3">
      <c r="O133" s="1"/>
    </row>
    <row r="134" spans="8:20" x14ac:dyDescent="0.3">
      <c r="N134" s="1"/>
      <c r="O134" s="1"/>
    </row>
    <row r="135" spans="8:20" x14ac:dyDescent="0.3">
      <c r="N135" s="1"/>
      <c r="O135" s="1"/>
    </row>
    <row r="136" spans="8:20" x14ac:dyDescent="0.3">
      <c r="O136" s="1"/>
    </row>
    <row r="137" spans="8:20" x14ac:dyDescent="0.3">
      <c r="O137" s="1"/>
    </row>
    <row r="138" spans="8:20" x14ac:dyDescent="0.3">
      <c r="N138" s="1"/>
      <c r="O138" s="1"/>
    </row>
    <row r="139" spans="8:20" x14ac:dyDescent="0.3">
      <c r="O139" s="1"/>
    </row>
    <row r="140" spans="8:20" x14ac:dyDescent="0.3">
      <c r="N140" s="1"/>
      <c r="O140" s="1"/>
    </row>
    <row r="141" spans="8:20" x14ac:dyDescent="0.3">
      <c r="O141" s="1"/>
    </row>
    <row r="142" spans="8:20" x14ac:dyDescent="0.3">
      <c r="N142" s="1"/>
      <c r="O142" s="1"/>
    </row>
    <row r="143" spans="8:20" x14ac:dyDescent="0.3">
      <c r="N143" s="1"/>
      <c r="O143" s="1"/>
    </row>
    <row r="144" spans="8:20" x14ac:dyDescent="0.3">
      <c r="N144" s="1"/>
      <c r="O144" s="1"/>
    </row>
    <row r="145" spans="14:15" x14ac:dyDescent="0.3">
      <c r="N145" s="1"/>
      <c r="O145" s="1"/>
    </row>
    <row r="146" spans="14:15" x14ac:dyDescent="0.3">
      <c r="N146" s="1"/>
      <c r="O146" s="1"/>
    </row>
    <row r="147" spans="14:15" x14ac:dyDescent="0.3">
      <c r="N147" s="1"/>
      <c r="O147" s="1"/>
    </row>
    <row r="148" spans="14:15" x14ac:dyDescent="0.3">
      <c r="N148" s="1"/>
      <c r="O148" s="1"/>
    </row>
    <row r="149" spans="14:15" x14ac:dyDescent="0.3">
      <c r="N149" s="1"/>
      <c r="O149" s="1"/>
    </row>
    <row r="150" spans="14:15" x14ac:dyDescent="0.3">
      <c r="N150" s="1"/>
      <c r="O150" s="1"/>
    </row>
    <row r="151" spans="14:15" x14ac:dyDescent="0.3">
      <c r="N151" s="1"/>
      <c r="O151" s="1"/>
    </row>
    <row r="152" spans="14:15" x14ac:dyDescent="0.3">
      <c r="N152" s="1"/>
      <c r="O152" s="1"/>
    </row>
    <row r="153" spans="14:15" x14ac:dyDescent="0.3">
      <c r="N153" s="1"/>
      <c r="O153" s="1"/>
    </row>
    <row r="154" spans="14:15" x14ac:dyDescent="0.3">
      <c r="N154" s="1"/>
      <c r="O154" s="1"/>
    </row>
    <row r="155" spans="14:15" x14ac:dyDescent="0.3">
      <c r="N155" s="1"/>
      <c r="O155" s="1"/>
    </row>
    <row r="156" spans="14:15" x14ac:dyDescent="0.3">
      <c r="N156" s="1"/>
      <c r="O156" s="1"/>
    </row>
    <row r="157" spans="14:15" x14ac:dyDescent="0.3">
      <c r="N157" s="1"/>
      <c r="O157" s="1"/>
    </row>
    <row r="158" spans="14:15" x14ac:dyDescent="0.3">
      <c r="N158" s="1"/>
      <c r="O158" s="1"/>
    </row>
    <row r="159" spans="14:15" x14ac:dyDescent="0.3">
      <c r="N159" s="1"/>
      <c r="O159" s="1"/>
    </row>
    <row r="160" spans="14:15" x14ac:dyDescent="0.3">
      <c r="N160" s="1"/>
      <c r="O160" s="1"/>
    </row>
    <row r="161" spans="14:15" x14ac:dyDescent="0.3">
      <c r="N161" s="1"/>
      <c r="O161" s="1"/>
    </row>
  </sheetData>
  <mergeCells count="92">
    <mergeCell ref="I125:K125"/>
    <mergeCell ref="I126:K126"/>
    <mergeCell ref="I127:K127"/>
    <mergeCell ref="I128:K128"/>
    <mergeCell ref="I129:K129"/>
    <mergeCell ref="I124:K124"/>
    <mergeCell ref="I113:K113"/>
    <mergeCell ref="I114:K114"/>
    <mergeCell ref="I115:K115"/>
    <mergeCell ref="I116:K116"/>
    <mergeCell ref="I117:K117"/>
    <mergeCell ref="I118:K118"/>
    <mergeCell ref="I119:K119"/>
    <mergeCell ref="I120:K120"/>
    <mergeCell ref="I121:K121"/>
    <mergeCell ref="I122:K122"/>
    <mergeCell ref="I123:K123"/>
    <mergeCell ref="I109:K109"/>
    <mergeCell ref="I110:K110"/>
    <mergeCell ref="I111:K111"/>
    <mergeCell ref="I112:K112"/>
    <mergeCell ref="I105:K105"/>
    <mergeCell ref="I106:K106"/>
    <mergeCell ref="I107:K107"/>
    <mergeCell ref="I108:K108"/>
    <mergeCell ref="I100:K100"/>
    <mergeCell ref="I89:K89"/>
    <mergeCell ref="I90:K90"/>
    <mergeCell ref="I91:K91"/>
    <mergeCell ref="I92:K92"/>
    <mergeCell ref="I93:K93"/>
    <mergeCell ref="I94:K94"/>
    <mergeCell ref="I95:K95"/>
    <mergeCell ref="I96:K96"/>
    <mergeCell ref="I97:K97"/>
    <mergeCell ref="I98:K98"/>
    <mergeCell ref="I99:K99"/>
    <mergeCell ref="I88:K88"/>
    <mergeCell ref="I77:K77"/>
    <mergeCell ref="I78:K78"/>
    <mergeCell ref="I79:K79"/>
    <mergeCell ref="I80:K80"/>
    <mergeCell ref="I81:K81"/>
    <mergeCell ref="I82:K82"/>
    <mergeCell ref="I83:K83"/>
    <mergeCell ref="I84:K84"/>
    <mergeCell ref="I85:K85"/>
    <mergeCell ref="I86:K86"/>
    <mergeCell ref="I87:K87"/>
    <mergeCell ref="I73:K73"/>
    <mergeCell ref="I74:K74"/>
    <mergeCell ref="I75:K75"/>
    <mergeCell ref="I76:K76"/>
    <mergeCell ref="I59:K59"/>
    <mergeCell ref="I60:K60"/>
    <mergeCell ref="I61:K61"/>
    <mergeCell ref="I62:K62"/>
    <mergeCell ref="I71:K71"/>
    <mergeCell ref="I72:K72"/>
    <mergeCell ref="I58:K58"/>
    <mergeCell ref="I39:K39"/>
    <mergeCell ref="I40:K40"/>
    <mergeCell ref="I41:K41"/>
    <mergeCell ref="I42:K42"/>
    <mergeCell ref="I43:K43"/>
    <mergeCell ref="I44:K44"/>
    <mergeCell ref="I45:K45"/>
    <mergeCell ref="I54:K54"/>
    <mergeCell ref="I55:K55"/>
    <mergeCell ref="I56:K56"/>
    <mergeCell ref="I57:K57"/>
    <mergeCell ref="I38:K38"/>
    <mergeCell ref="I21:K21"/>
    <mergeCell ref="I29:K29"/>
    <mergeCell ref="I30:K30"/>
    <mergeCell ref="I31:K31"/>
    <mergeCell ref="I32:K32"/>
    <mergeCell ref="I33:K33"/>
    <mergeCell ref="I34:K34"/>
    <mergeCell ref="I35:K35"/>
    <mergeCell ref="I36:K36"/>
    <mergeCell ref="I37:K37"/>
    <mergeCell ref="I16:K16"/>
    <mergeCell ref="I17:K17"/>
    <mergeCell ref="I18:K18"/>
    <mergeCell ref="I19:K19"/>
    <mergeCell ref="I20:K20"/>
    <mergeCell ref="I11:K11"/>
    <mergeCell ref="I12:K12"/>
    <mergeCell ref="I13:K13"/>
    <mergeCell ref="I14:K14"/>
    <mergeCell ref="I15:K15"/>
  </mergeCell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9ECEC6-BA73-4467-AB88-6559EB744D07}">
  <sheetPr codeName="Sheet8"/>
  <dimension ref="B4:AD447"/>
  <sheetViews>
    <sheetView zoomScale="55" zoomScaleNormal="55" workbookViewId="0">
      <selection activeCell="AC24" sqref="AC24"/>
    </sheetView>
  </sheetViews>
  <sheetFormatPr defaultRowHeight="14.4" x14ac:dyDescent="0.3"/>
  <cols>
    <col min="2" max="2" width="11.5546875" customWidth="1"/>
    <col min="13" max="13" width="8.88671875" style="6"/>
    <col min="14" max="14" width="11.6640625" customWidth="1"/>
    <col min="17" max="17" width="8.88671875" customWidth="1"/>
    <col min="20" max="20" width="10.33203125" customWidth="1"/>
    <col min="22" max="22" width="8.88671875" customWidth="1"/>
    <col min="27" max="27" width="10.88671875" customWidth="1"/>
  </cols>
  <sheetData>
    <row r="4" spans="2:23" x14ac:dyDescent="0.3">
      <c r="B4" t="s">
        <v>74</v>
      </c>
      <c r="C4" t="s">
        <v>75</v>
      </c>
      <c r="D4" t="s">
        <v>76</v>
      </c>
      <c r="E4" t="s">
        <v>77</v>
      </c>
      <c r="F4" t="s">
        <v>78</v>
      </c>
      <c r="G4" t="s">
        <v>79</v>
      </c>
      <c r="H4" t="s">
        <v>47</v>
      </c>
      <c r="I4" t="s">
        <v>80</v>
      </c>
    </row>
    <row r="5" spans="2:23" x14ac:dyDescent="0.3">
      <c r="B5" s="3">
        <v>44019</v>
      </c>
      <c r="C5">
        <v>69.059997999999993</v>
      </c>
      <c r="D5">
        <v>69.910004000000001</v>
      </c>
      <c r="E5">
        <v>68.449996999999996</v>
      </c>
      <c r="F5">
        <v>68.569999999999993</v>
      </c>
      <c r="G5">
        <v>68.569999999999993</v>
      </c>
      <c r="H5">
        <v>2552300</v>
      </c>
    </row>
    <row r="6" spans="2:23" x14ac:dyDescent="0.3">
      <c r="B6" s="3">
        <v>44020</v>
      </c>
      <c r="C6">
        <v>68.660004000000001</v>
      </c>
      <c r="D6">
        <v>69.290001000000004</v>
      </c>
      <c r="E6">
        <v>67.819999999999993</v>
      </c>
      <c r="F6">
        <v>68.760002</v>
      </c>
      <c r="G6">
        <v>68.760002</v>
      </c>
      <c r="H6">
        <v>1905200</v>
      </c>
      <c r="I6">
        <f>(G6-G5)/G5</f>
        <v>2.7709202275048406E-3</v>
      </c>
    </row>
    <row r="7" spans="2:23" x14ac:dyDescent="0.3">
      <c r="B7" s="3">
        <v>44021</v>
      </c>
      <c r="C7">
        <v>68.639999000000003</v>
      </c>
      <c r="D7">
        <v>69.230002999999996</v>
      </c>
      <c r="E7">
        <v>67.269997000000004</v>
      </c>
      <c r="F7">
        <v>68.260002</v>
      </c>
      <c r="G7">
        <v>68.260002</v>
      </c>
      <c r="H7">
        <v>2409200</v>
      </c>
      <c r="I7">
        <f t="shared" ref="I7:I70" si="0">(G7-G6)/G6</f>
        <v>-7.2716693638257895E-3</v>
      </c>
    </row>
    <row r="8" spans="2:23" x14ac:dyDescent="0.3">
      <c r="B8" s="3">
        <v>44022</v>
      </c>
      <c r="C8">
        <v>68.269997000000004</v>
      </c>
      <c r="D8">
        <v>68.379997000000003</v>
      </c>
      <c r="E8">
        <v>66.870002999999997</v>
      </c>
      <c r="F8">
        <v>67.819999999999993</v>
      </c>
      <c r="G8">
        <v>67.819999999999993</v>
      </c>
      <c r="H8">
        <v>2799800</v>
      </c>
      <c r="I8">
        <f t="shared" si="0"/>
        <v>-6.4459710973932714E-3</v>
      </c>
      <c r="Q8" t="s">
        <v>81</v>
      </c>
      <c r="S8" t="s">
        <v>82</v>
      </c>
      <c r="U8" t="s">
        <v>101</v>
      </c>
      <c r="W8" t="s">
        <v>89</v>
      </c>
    </row>
    <row r="9" spans="2:23" x14ac:dyDescent="0.3">
      <c r="B9" s="3">
        <v>44025</v>
      </c>
      <c r="C9">
        <v>68.489998</v>
      </c>
      <c r="D9">
        <v>68.860000999999997</v>
      </c>
      <c r="E9">
        <v>66.949996999999996</v>
      </c>
      <c r="F9">
        <v>67.190002000000007</v>
      </c>
      <c r="G9">
        <v>67.190002000000007</v>
      </c>
      <c r="H9">
        <v>3578900</v>
      </c>
      <c r="I9">
        <f t="shared" si="0"/>
        <v>-9.2892657033321491E-3</v>
      </c>
      <c r="M9" s="6">
        <v>1</v>
      </c>
      <c r="N9" s="7">
        <v>44687</v>
      </c>
      <c r="Q9">
        <f>STDEV(I425:I447)</f>
        <v>2.7154593075393425E-2</v>
      </c>
      <c r="S9">
        <f>Q9*SQRT(252)</f>
        <v>0.43106580138388567</v>
      </c>
      <c r="U9">
        <f>S9*SQRT(1/12)</f>
        <v>0.12443797823371407</v>
      </c>
      <c r="W9">
        <f>38.65/100</f>
        <v>0.38650000000000001</v>
      </c>
    </row>
    <row r="10" spans="2:23" x14ac:dyDescent="0.3">
      <c r="B10" s="3">
        <v>44026</v>
      </c>
      <c r="C10">
        <v>67.660004000000001</v>
      </c>
      <c r="D10">
        <v>71.25</v>
      </c>
      <c r="E10">
        <v>67.510002</v>
      </c>
      <c r="F10">
        <v>71.220000999999996</v>
      </c>
      <c r="G10">
        <v>71.220000999999996</v>
      </c>
      <c r="H10">
        <v>4805300</v>
      </c>
      <c r="I10">
        <f t="shared" si="0"/>
        <v>5.9979146897480212E-2</v>
      </c>
      <c r="M10" s="6">
        <v>2</v>
      </c>
      <c r="N10" s="7">
        <v>44792</v>
      </c>
      <c r="Q10">
        <f>STDEV(I355:I447)</f>
        <v>2.268611794382025E-2</v>
      </c>
      <c r="S10">
        <f t="shared" ref="S10:S13" si="1">Q10*SQRT(252)</f>
        <v>0.36013095775697018</v>
      </c>
      <c r="U10">
        <f>S10*SQRT(4/12)</f>
        <v>0.20792170540450447</v>
      </c>
      <c r="W10">
        <f>34.91/100</f>
        <v>0.34909999999999997</v>
      </c>
    </row>
    <row r="11" spans="2:23" x14ac:dyDescent="0.3">
      <c r="B11" s="3">
        <v>44027</v>
      </c>
      <c r="C11">
        <v>72.190002000000007</v>
      </c>
      <c r="D11">
        <v>73.610000999999997</v>
      </c>
      <c r="E11">
        <v>71.430000000000007</v>
      </c>
      <c r="F11">
        <v>72.470000999999996</v>
      </c>
      <c r="G11">
        <v>72.470000999999996</v>
      </c>
      <c r="H11">
        <v>3810000</v>
      </c>
      <c r="I11">
        <f t="shared" si="0"/>
        <v>1.7551249402537921E-2</v>
      </c>
      <c r="M11" s="6">
        <v>3</v>
      </c>
      <c r="N11" s="7">
        <v>44883</v>
      </c>
      <c r="Q11">
        <f>STDEV(I290:I449)</f>
        <v>1.9916696987329608E-2</v>
      </c>
      <c r="S11">
        <f t="shared" si="1"/>
        <v>0.31616776299782096</v>
      </c>
      <c r="U11">
        <f>S11*SQRT(7/12)</f>
        <v>0.24147711770706212</v>
      </c>
      <c r="W11">
        <f>36.01/100</f>
        <v>0.36009999999999998</v>
      </c>
    </row>
    <row r="12" spans="2:23" x14ac:dyDescent="0.3">
      <c r="B12" s="3">
        <v>44028</v>
      </c>
      <c r="C12">
        <v>71.959998999999996</v>
      </c>
      <c r="D12">
        <v>72.190002000000007</v>
      </c>
      <c r="E12">
        <v>71.160004000000001</v>
      </c>
      <c r="F12">
        <v>71.849997999999999</v>
      </c>
      <c r="G12">
        <v>71.849997999999999</v>
      </c>
      <c r="H12">
        <v>2115000</v>
      </c>
      <c r="I12">
        <f t="shared" si="0"/>
        <v>-8.555305525661536E-3</v>
      </c>
      <c r="M12" s="6">
        <v>4</v>
      </c>
      <c r="N12" s="7">
        <v>44946</v>
      </c>
      <c r="Q12">
        <f>STDEV(I248:I450)</f>
        <v>1.8605481547912358E-2</v>
      </c>
      <c r="S12">
        <f t="shared" si="1"/>
        <v>0.29535286319026305</v>
      </c>
      <c r="U12">
        <f>S12*SQRT(10/12)</f>
        <v>0.26961904265507386</v>
      </c>
      <c r="W12">
        <f>35.74/100</f>
        <v>0.3574</v>
      </c>
    </row>
    <row r="13" spans="2:23" x14ac:dyDescent="0.3">
      <c r="B13" s="3">
        <v>44029</v>
      </c>
      <c r="C13">
        <v>72.040001000000004</v>
      </c>
      <c r="D13">
        <v>74.599997999999999</v>
      </c>
      <c r="E13">
        <v>71.25</v>
      </c>
      <c r="F13">
        <v>74.110000999999997</v>
      </c>
      <c r="G13">
        <v>74.110000999999997</v>
      </c>
      <c r="H13">
        <v>5154100</v>
      </c>
      <c r="I13">
        <f t="shared" si="0"/>
        <v>3.1454461557535431E-2</v>
      </c>
      <c r="M13" s="6">
        <v>5</v>
      </c>
      <c r="N13" s="7">
        <v>45310</v>
      </c>
      <c r="Q13">
        <f>STDEV(I6:I451)</f>
        <v>1.7771378802033035E-2</v>
      </c>
      <c r="S13">
        <f t="shared" si="1"/>
        <v>0.28211189258942626</v>
      </c>
      <c r="U13">
        <f>S13*SQRT(22/12)</f>
        <v>0.3819813083001723</v>
      </c>
      <c r="W13">
        <f>36.61/100</f>
        <v>0.36609999999999998</v>
      </c>
    </row>
    <row r="14" spans="2:23" x14ac:dyDescent="0.3">
      <c r="B14" s="3">
        <v>44032</v>
      </c>
      <c r="C14">
        <v>74.050003000000004</v>
      </c>
      <c r="D14">
        <v>75.809997999999993</v>
      </c>
      <c r="E14">
        <v>74.010002</v>
      </c>
      <c r="F14">
        <v>74.639999000000003</v>
      </c>
      <c r="G14">
        <v>74.639999000000003</v>
      </c>
      <c r="H14">
        <v>2609800</v>
      </c>
      <c r="I14">
        <f t="shared" si="0"/>
        <v>7.1515044238092268E-3</v>
      </c>
    </row>
    <row r="15" spans="2:23" x14ac:dyDescent="0.3">
      <c r="B15" s="3">
        <v>44033</v>
      </c>
      <c r="C15">
        <v>75.389999000000003</v>
      </c>
      <c r="D15">
        <v>76.580001999999993</v>
      </c>
      <c r="E15">
        <v>75</v>
      </c>
      <c r="F15">
        <v>75.940002000000007</v>
      </c>
      <c r="G15">
        <v>75.940002000000007</v>
      </c>
      <c r="H15">
        <v>2794600</v>
      </c>
      <c r="I15">
        <f t="shared" si="0"/>
        <v>1.7416975045779458E-2</v>
      </c>
    </row>
    <row r="16" spans="2:23" x14ac:dyDescent="0.3">
      <c r="B16" s="3">
        <v>44034</v>
      </c>
      <c r="C16">
        <v>75.870002999999997</v>
      </c>
      <c r="D16">
        <v>78.559997999999993</v>
      </c>
      <c r="E16">
        <v>75.629997000000003</v>
      </c>
      <c r="F16">
        <v>77.910004000000001</v>
      </c>
      <c r="G16">
        <v>77.910004000000001</v>
      </c>
      <c r="H16">
        <v>3373000</v>
      </c>
      <c r="I16">
        <f t="shared" si="0"/>
        <v>2.5941558442413443E-2</v>
      </c>
    </row>
    <row r="17" spans="2:30" x14ac:dyDescent="0.3">
      <c r="B17" s="3">
        <v>44035</v>
      </c>
      <c r="C17">
        <v>77.980002999999996</v>
      </c>
      <c r="D17">
        <v>78.919998000000007</v>
      </c>
      <c r="E17">
        <v>77.160004000000001</v>
      </c>
      <c r="F17">
        <v>77.319999999999993</v>
      </c>
      <c r="G17">
        <v>77.319999999999993</v>
      </c>
      <c r="H17">
        <v>3361000</v>
      </c>
      <c r="I17">
        <f t="shared" si="0"/>
        <v>-7.5728914094267989E-3</v>
      </c>
      <c r="N17" t="s">
        <v>88</v>
      </c>
      <c r="AA17" s="3">
        <v>44746</v>
      </c>
      <c r="AC17" t="s">
        <v>63</v>
      </c>
      <c r="AD17" s="1"/>
    </row>
    <row r="18" spans="2:30" x14ac:dyDescent="0.3">
      <c r="B18" s="3">
        <v>44036</v>
      </c>
      <c r="C18">
        <v>80</v>
      </c>
      <c r="D18">
        <v>80.5</v>
      </c>
      <c r="E18">
        <v>76.099997999999999</v>
      </c>
      <c r="F18">
        <v>78.129997000000003</v>
      </c>
      <c r="G18">
        <v>78.129997000000003</v>
      </c>
      <c r="H18">
        <v>5463000</v>
      </c>
      <c r="I18">
        <f t="shared" si="0"/>
        <v>1.0475905328505043E-2</v>
      </c>
    </row>
    <row r="19" spans="2:30" x14ac:dyDescent="0.3">
      <c r="B19" s="3">
        <v>44039</v>
      </c>
      <c r="C19">
        <v>78.120002999999997</v>
      </c>
      <c r="D19">
        <v>79.180000000000007</v>
      </c>
      <c r="E19">
        <v>77.400002000000001</v>
      </c>
      <c r="F19">
        <v>78.690002000000007</v>
      </c>
      <c r="G19">
        <v>78.690002000000007</v>
      </c>
      <c r="H19">
        <v>2466900</v>
      </c>
      <c r="I19">
        <f t="shared" si="0"/>
        <v>7.1676055484809998E-3</v>
      </c>
      <c r="N19" t="s">
        <v>84</v>
      </c>
    </row>
    <row r="20" spans="2:30" x14ac:dyDescent="0.3">
      <c r="B20" s="3">
        <v>44040</v>
      </c>
      <c r="C20">
        <v>78.260002</v>
      </c>
      <c r="D20">
        <v>78.889999000000003</v>
      </c>
      <c r="E20">
        <v>77.410004000000001</v>
      </c>
      <c r="F20">
        <v>77.440002000000007</v>
      </c>
      <c r="G20">
        <v>77.440002000000007</v>
      </c>
      <c r="H20">
        <v>2007100</v>
      </c>
      <c r="I20">
        <f t="shared" si="0"/>
        <v>-1.5885118416949586E-2</v>
      </c>
      <c r="N20" t="s">
        <v>23</v>
      </c>
      <c r="P20" t="s">
        <v>83</v>
      </c>
    </row>
    <row r="21" spans="2:30" x14ac:dyDescent="0.3">
      <c r="B21" s="3">
        <v>44041</v>
      </c>
      <c r="C21">
        <v>77.730002999999996</v>
      </c>
      <c r="D21">
        <v>80.290001000000004</v>
      </c>
      <c r="E21">
        <v>77.550003000000004</v>
      </c>
      <c r="F21">
        <v>79.330001999999993</v>
      </c>
      <c r="G21">
        <v>79.330001999999993</v>
      </c>
      <c r="H21">
        <v>1834000</v>
      </c>
      <c r="I21">
        <f t="shared" si="0"/>
        <v>2.4405991105216993E-2</v>
      </c>
      <c r="N21" t="s">
        <v>85</v>
      </c>
      <c r="P21">
        <v>122.31</v>
      </c>
    </row>
    <row r="22" spans="2:30" x14ac:dyDescent="0.3">
      <c r="B22" s="3">
        <v>44042</v>
      </c>
      <c r="C22">
        <v>78.269997000000004</v>
      </c>
      <c r="D22">
        <v>79.059997999999993</v>
      </c>
      <c r="E22">
        <v>77.419998000000007</v>
      </c>
      <c r="F22">
        <v>78.949996999999996</v>
      </c>
      <c r="G22">
        <v>78.949996999999996</v>
      </c>
      <c r="H22">
        <v>1666100</v>
      </c>
      <c r="I22">
        <f t="shared" si="0"/>
        <v>-4.7901801389088217E-3</v>
      </c>
      <c r="N22" t="s">
        <v>87</v>
      </c>
      <c r="P22">
        <v>0</v>
      </c>
      <c r="S22" s="1" t="s">
        <v>42</v>
      </c>
      <c r="T22" t="s">
        <v>43</v>
      </c>
      <c r="U22" t="s">
        <v>44</v>
      </c>
      <c r="V22" t="s">
        <v>45</v>
      </c>
      <c r="W22" t="s">
        <v>67</v>
      </c>
      <c r="X22" t="s">
        <v>46</v>
      </c>
      <c r="Y22" t="s">
        <v>47</v>
      </c>
      <c r="Z22" t="s">
        <v>48</v>
      </c>
      <c r="AA22" t="s">
        <v>49</v>
      </c>
    </row>
    <row r="23" spans="2:30" x14ac:dyDescent="0.3">
      <c r="B23" s="3">
        <v>44043</v>
      </c>
      <c r="C23">
        <v>79.059997999999993</v>
      </c>
      <c r="D23">
        <v>79.300003000000004</v>
      </c>
      <c r="E23">
        <v>77.790001000000004</v>
      </c>
      <c r="F23">
        <v>78.410004000000001</v>
      </c>
      <c r="G23">
        <v>78.410004000000001</v>
      </c>
      <c r="H23">
        <v>2185600</v>
      </c>
      <c r="I23">
        <f t="shared" si="0"/>
        <v>-6.8396836037877941E-3</v>
      </c>
      <c r="T23" t="s">
        <v>51</v>
      </c>
      <c r="W23" t="s">
        <v>65</v>
      </c>
      <c r="X23">
        <v>9.6167000000000006E-3</v>
      </c>
      <c r="Y23" t="s">
        <v>66</v>
      </c>
      <c r="Z23">
        <f>1/12</f>
        <v>8.3333333333333329E-2</v>
      </c>
      <c r="AC23" t="s">
        <v>86</v>
      </c>
    </row>
    <row r="24" spans="2:30" x14ac:dyDescent="0.3">
      <c r="B24" s="3">
        <v>44046</v>
      </c>
      <c r="C24">
        <v>78.580001999999993</v>
      </c>
      <c r="D24">
        <v>78.879997000000003</v>
      </c>
      <c r="E24">
        <v>77.720000999999996</v>
      </c>
      <c r="F24">
        <v>78.019997000000004</v>
      </c>
      <c r="G24">
        <v>78.019997000000004</v>
      </c>
      <c r="H24">
        <v>1554700</v>
      </c>
      <c r="I24">
        <f t="shared" si="0"/>
        <v>-4.9739443961767573E-3</v>
      </c>
      <c r="S24" s="4">
        <v>121</v>
      </c>
      <c r="T24">
        <v>5.7</v>
      </c>
      <c r="U24">
        <v>4.9000000000000004</v>
      </c>
      <c r="V24">
        <v>6</v>
      </c>
      <c r="W24">
        <f t="shared" ref="W24" si="2">(U24+V24)/2</f>
        <v>5.45</v>
      </c>
      <c r="X24" s="1" t="s">
        <v>50</v>
      </c>
      <c r="Y24">
        <v>60</v>
      </c>
      <c r="Z24">
        <v>30</v>
      </c>
      <c r="AA24" s="1">
        <v>0.38650000000000001</v>
      </c>
      <c r="AC24">
        <f>BSCall(P21,S24,X23,S9,Z23)</f>
        <v>6.7625780838241312</v>
      </c>
    </row>
    <row r="25" spans="2:30" x14ac:dyDescent="0.3">
      <c r="B25" s="3">
        <v>44047</v>
      </c>
      <c r="C25">
        <v>77.819999999999993</v>
      </c>
      <c r="D25">
        <v>77.940002000000007</v>
      </c>
      <c r="E25">
        <v>76.050003000000004</v>
      </c>
      <c r="F25">
        <v>76.599997999999999</v>
      </c>
      <c r="G25">
        <v>76.599997999999999</v>
      </c>
      <c r="H25">
        <v>2003500</v>
      </c>
      <c r="I25">
        <f t="shared" si="0"/>
        <v>-1.8200449302760217E-2</v>
      </c>
      <c r="T25" t="s">
        <v>52</v>
      </c>
      <c r="W25" t="s">
        <v>65</v>
      </c>
      <c r="X25">
        <f>((1.36804-0.97236)/3+0.97236)/100</f>
        <v>1.1042533333333333E-2</v>
      </c>
      <c r="Y25" t="s">
        <v>66</v>
      </c>
      <c r="Z25">
        <f>4/12</f>
        <v>0.33333333333333331</v>
      </c>
    </row>
    <row r="26" spans="2:30" x14ac:dyDescent="0.3">
      <c r="B26" s="3">
        <v>44048</v>
      </c>
      <c r="C26">
        <v>76.849997999999999</v>
      </c>
      <c r="D26">
        <v>78.400002000000001</v>
      </c>
      <c r="E26">
        <v>76.730002999999996</v>
      </c>
      <c r="F26">
        <v>78.120002999999997</v>
      </c>
      <c r="G26">
        <v>78.120002999999997</v>
      </c>
      <c r="H26">
        <v>1421000</v>
      </c>
      <c r="I26">
        <f t="shared" si="0"/>
        <v>1.9843407828809573E-2</v>
      </c>
      <c r="S26" s="4">
        <v>120</v>
      </c>
      <c r="T26">
        <v>8.9</v>
      </c>
      <c r="U26">
        <v>10.7</v>
      </c>
      <c r="V26">
        <v>11.4</v>
      </c>
      <c r="W26">
        <f t="shared" ref="W26" si="3">(U26+V26)/2</f>
        <v>11.05</v>
      </c>
      <c r="X26" t="s">
        <v>50</v>
      </c>
      <c r="Y26">
        <v>1</v>
      </c>
      <c r="Z26">
        <v>204</v>
      </c>
      <c r="AA26" s="1">
        <v>0.34910000000000002</v>
      </c>
      <c r="AC26">
        <f>BSCall(P21,S26,X25,S10,Z25)</f>
        <v>11.448425659629379</v>
      </c>
    </row>
    <row r="27" spans="2:30" x14ac:dyDescent="0.3">
      <c r="B27" s="3">
        <v>44049</v>
      </c>
      <c r="C27">
        <v>77.529999000000004</v>
      </c>
      <c r="D27">
        <v>77.760002</v>
      </c>
      <c r="E27">
        <v>76.5</v>
      </c>
      <c r="F27">
        <v>77.410004000000001</v>
      </c>
      <c r="G27">
        <v>77.410004000000001</v>
      </c>
      <c r="H27">
        <v>1353600</v>
      </c>
      <c r="I27">
        <f t="shared" si="0"/>
        <v>-9.0885685193841624E-3</v>
      </c>
      <c r="T27" t="s">
        <v>53</v>
      </c>
      <c r="W27" t="s">
        <v>65</v>
      </c>
      <c r="X27">
        <f>((1.73292-1.36804)/3+1.36804)/100</f>
        <v>1.4896666666666667E-2</v>
      </c>
      <c r="Y27" t="s">
        <v>66</v>
      </c>
      <c r="Z27">
        <f>7/12</f>
        <v>0.58333333333333337</v>
      </c>
    </row>
    <row r="28" spans="2:30" x14ac:dyDescent="0.3">
      <c r="B28" s="3">
        <v>44050</v>
      </c>
      <c r="C28">
        <v>77.269997000000004</v>
      </c>
      <c r="D28">
        <v>77.639999000000003</v>
      </c>
      <c r="E28">
        <v>76.160004000000001</v>
      </c>
      <c r="F28">
        <v>76.940002000000007</v>
      </c>
      <c r="G28">
        <v>76.940002000000007</v>
      </c>
      <c r="H28">
        <v>2221300</v>
      </c>
      <c r="I28">
        <f t="shared" si="0"/>
        <v>-6.0715925037285075E-3</v>
      </c>
      <c r="S28">
        <v>120</v>
      </c>
      <c r="T28">
        <v>13.1</v>
      </c>
      <c r="U28">
        <v>13.4</v>
      </c>
      <c r="V28">
        <v>14.7</v>
      </c>
      <c r="W28">
        <f t="shared" ref="W28" si="4">(U28+V28)/2</f>
        <v>14.05</v>
      </c>
      <c r="X28" t="s">
        <v>50</v>
      </c>
      <c r="Y28">
        <v>1</v>
      </c>
      <c r="Z28">
        <v>6</v>
      </c>
      <c r="AA28" s="1">
        <v>0.36009999999999998</v>
      </c>
      <c r="AC28">
        <f>BSCall(P21,S28,X27,S11,Z27)</f>
        <v>13.343586698526991</v>
      </c>
    </row>
    <row r="29" spans="2:30" x14ac:dyDescent="0.3">
      <c r="B29" s="3">
        <v>44053</v>
      </c>
      <c r="C29">
        <v>76.819999999999993</v>
      </c>
      <c r="D29">
        <v>77.129997000000003</v>
      </c>
      <c r="E29">
        <v>75.489998</v>
      </c>
      <c r="F29">
        <v>75.779999000000004</v>
      </c>
      <c r="G29">
        <v>75.779999000000004</v>
      </c>
      <c r="H29">
        <v>1902100</v>
      </c>
      <c r="I29">
        <f t="shared" si="0"/>
        <v>-1.5076721729224847E-2</v>
      </c>
      <c r="T29" t="s">
        <v>72</v>
      </c>
      <c r="W29" t="s">
        <v>65</v>
      </c>
      <c r="X29">
        <f>((2.01817-1.73292)/3+1.73292)/100</f>
        <v>1.8280033333333334E-2</v>
      </c>
      <c r="Y29" t="s">
        <v>66</v>
      </c>
      <c r="Z29">
        <f>10/12</f>
        <v>0.83333333333333337</v>
      </c>
    </row>
    <row r="30" spans="2:30" x14ac:dyDescent="0.3">
      <c r="B30" s="3">
        <v>44054</v>
      </c>
      <c r="C30">
        <v>76.470000999999996</v>
      </c>
      <c r="D30">
        <v>77.599997999999999</v>
      </c>
      <c r="E30">
        <v>75.550003000000004</v>
      </c>
      <c r="F30">
        <v>76.660004000000001</v>
      </c>
      <c r="G30">
        <v>76.660004000000001</v>
      </c>
      <c r="H30">
        <v>2189800</v>
      </c>
      <c r="I30">
        <f t="shared" si="0"/>
        <v>1.1612628815157374E-2</v>
      </c>
      <c r="S30">
        <v>120</v>
      </c>
      <c r="T30">
        <v>15.86</v>
      </c>
      <c r="U30">
        <v>15.1</v>
      </c>
      <c r="V30">
        <v>16.3</v>
      </c>
      <c r="W30">
        <f t="shared" ref="W30" si="5">(U30+V30)/2</f>
        <v>15.7</v>
      </c>
      <c r="X30" s="1">
        <v>5.0299999999999997E-2</v>
      </c>
      <c r="Y30">
        <v>20</v>
      </c>
      <c r="Z30">
        <v>222</v>
      </c>
      <c r="AA30" s="1">
        <v>0.3574</v>
      </c>
      <c r="AC30">
        <f>BSCall(P21,S30,X29,S12,Z29)</f>
        <v>15.060731729992405</v>
      </c>
    </row>
    <row r="31" spans="2:30" x14ac:dyDescent="0.3">
      <c r="B31" s="3">
        <v>44055</v>
      </c>
      <c r="C31">
        <v>77</v>
      </c>
      <c r="D31">
        <v>78.839995999999999</v>
      </c>
      <c r="E31">
        <v>76.959998999999996</v>
      </c>
      <c r="F31">
        <v>78.580001999999993</v>
      </c>
      <c r="G31">
        <v>78.580001999999993</v>
      </c>
      <c r="H31">
        <v>2050000</v>
      </c>
      <c r="I31">
        <f t="shared" si="0"/>
        <v>2.5045628747945182E-2</v>
      </c>
      <c r="T31" t="s">
        <v>73</v>
      </c>
      <c r="W31" t="s">
        <v>65</v>
      </c>
      <c r="X31">
        <f>0.026</f>
        <v>2.5999999999999999E-2</v>
      </c>
      <c r="Y31" t="s">
        <v>66</v>
      </c>
      <c r="Z31">
        <f>22/12</f>
        <v>1.8333333333333333</v>
      </c>
    </row>
    <row r="32" spans="2:30" x14ac:dyDescent="0.3">
      <c r="B32" s="3">
        <v>44056</v>
      </c>
      <c r="C32">
        <v>78.239998</v>
      </c>
      <c r="D32">
        <v>79.839995999999999</v>
      </c>
      <c r="E32">
        <v>77.980002999999996</v>
      </c>
      <c r="F32">
        <v>79.400002000000001</v>
      </c>
      <c r="G32">
        <v>79.400002000000001</v>
      </c>
      <c r="H32">
        <v>2332900</v>
      </c>
      <c r="I32">
        <f t="shared" si="0"/>
        <v>1.0435224982559907E-2</v>
      </c>
      <c r="S32">
        <v>120</v>
      </c>
      <c r="T32">
        <v>19.8</v>
      </c>
      <c r="U32">
        <v>22.6</v>
      </c>
      <c r="V32">
        <v>24.4</v>
      </c>
      <c r="W32">
        <f t="shared" ref="W32" si="6">(U32+V32)/2</f>
        <v>23.5</v>
      </c>
      <c r="X32" t="s">
        <v>50</v>
      </c>
      <c r="Y32">
        <v>1</v>
      </c>
      <c r="Z32">
        <v>247</v>
      </c>
      <c r="AA32" s="1">
        <v>0.36609999999999998</v>
      </c>
      <c r="AC32">
        <f>BSCall(P21,S32,X31,S13,Z31)</f>
        <v>22.145341812624388</v>
      </c>
    </row>
    <row r="33" spans="2:14" x14ac:dyDescent="0.3">
      <c r="B33" s="3">
        <v>44057</v>
      </c>
      <c r="C33">
        <v>78.690002000000007</v>
      </c>
      <c r="D33">
        <v>79.139999000000003</v>
      </c>
      <c r="E33">
        <v>77.669998000000007</v>
      </c>
      <c r="F33">
        <v>78.069999999999993</v>
      </c>
      <c r="G33">
        <v>78.069999999999993</v>
      </c>
      <c r="H33">
        <v>1317600</v>
      </c>
      <c r="I33">
        <f t="shared" si="0"/>
        <v>-1.6750654489908041E-2</v>
      </c>
      <c r="N33" t="s">
        <v>55</v>
      </c>
    </row>
    <row r="34" spans="2:14" x14ac:dyDescent="0.3">
      <c r="B34" s="3">
        <v>44060</v>
      </c>
      <c r="C34">
        <v>78.150002000000001</v>
      </c>
      <c r="D34">
        <v>79.059997999999993</v>
      </c>
      <c r="E34">
        <v>78.069999999999993</v>
      </c>
      <c r="F34">
        <v>78.440002000000007</v>
      </c>
      <c r="G34">
        <v>78.440002000000007</v>
      </c>
      <c r="H34">
        <v>1672300</v>
      </c>
      <c r="I34">
        <f t="shared" si="0"/>
        <v>4.7393621109262677E-3</v>
      </c>
      <c r="N34" t="s">
        <v>56</v>
      </c>
    </row>
    <row r="35" spans="2:14" x14ac:dyDescent="0.3">
      <c r="B35" s="3">
        <v>44061</v>
      </c>
      <c r="C35">
        <v>78.459998999999996</v>
      </c>
      <c r="D35">
        <v>78.819999999999993</v>
      </c>
      <c r="E35">
        <v>77.919998000000007</v>
      </c>
      <c r="F35">
        <v>78.589995999999999</v>
      </c>
      <c r="G35">
        <v>78.589995999999999</v>
      </c>
      <c r="H35">
        <v>1397500</v>
      </c>
      <c r="I35">
        <f t="shared" si="0"/>
        <v>1.9122131077966111E-3</v>
      </c>
      <c r="N35" t="s">
        <v>57</v>
      </c>
    </row>
    <row r="36" spans="2:14" x14ac:dyDescent="0.3">
      <c r="B36" s="3">
        <v>44062</v>
      </c>
      <c r="C36">
        <v>78.870002999999997</v>
      </c>
      <c r="D36">
        <v>79.769997000000004</v>
      </c>
      <c r="E36">
        <v>78.309997999999993</v>
      </c>
      <c r="F36">
        <v>78.769997000000004</v>
      </c>
      <c r="G36">
        <v>78.769997000000004</v>
      </c>
      <c r="H36">
        <v>2566200</v>
      </c>
      <c r="I36">
        <f t="shared" si="0"/>
        <v>2.290380572102387E-3</v>
      </c>
      <c r="N36" t="s">
        <v>58</v>
      </c>
    </row>
    <row r="37" spans="2:14" x14ac:dyDescent="0.3">
      <c r="B37" s="3">
        <v>44063</v>
      </c>
      <c r="C37">
        <v>78.220000999999996</v>
      </c>
      <c r="D37">
        <v>79.139999000000003</v>
      </c>
      <c r="E37">
        <v>78.029999000000004</v>
      </c>
      <c r="F37">
        <v>79.099997999999999</v>
      </c>
      <c r="G37">
        <v>79.099997999999999</v>
      </c>
      <c r="H37">
        <v>1727100</v>
      </c>
      <c r="I37">
        <f t="shared" si="0"/>
        <v>4.1894250675164526E-3</v>
      </c>
      <c r="N37" t="s">
        <v>59</v>
      </c>
    </row>
    <row r="38" spans="2:14" x14ac:dyDescent="0.3">
      <c r="B38" s="3">
        <v>44064</v>
      </c>
      <c r="C38">
        <v>78.949996999999996</v>
      </c>
      <c r="D38">
        <v>78.949996999999996</v>
      </c>
      <c r="E38">
        <v>78.089995999999999</v>
      </c>
      <c r="F38">
        <v>78.709998999999996</v>
      </c>
      <c r="G38">
        <v>78.709998999999996</v>
      </c>
      <c r="H38">
        <v>1699800</v>
      </c>
      <c r="I38">
        <f t="shared" si="0"/>
        <v>-4.9304552447650262E-3</v>
      </c>
      <c r="N38" t="s">
        <v>60</v>
      </c>
    </row>
    <row r="39" spans="2:14" x14ac:dyDescent="0.3">
      <c r="B39" s="3">
        <v>44067</v>
      </c>
      <c r="C39">
        <v>79</v>
      </c>
      <c r="D39">
        <v>79.860000999999997</v>
      </c>
      <c r="E39">
        <v>78.150002000000001</v>
      </c>
      <c r="F39">
        <v>78.709998999999996</v>
      </c>
      <c r="G39">
        <v>78.709998999999996</v>
      </c>
      <c r="H39">
        <v>2271100</v>
      </c>
      <c r="I39">
        <f t="shared" si="0"/>
        <v>0</v>
      </c>
    </row>
    <row r="40" spans="2:14" x14ac:dyDescent="0.3">
      <c r="B40" s="3">
        <v>44068</v>
      </c>
      <c r="C40">
        <v>79.540001000000004</v>
      </c>
      <c r="D40">
        <v>80.989998</v>
      </c>
      <c r="E40">
        <v>79.209998999999996</v>
      </c>
      <c r="F40">
        <v>80.349997999999999</v>
      </c>
      <c r="G40">
        <v>80.349997999999999</v>
      </c>
      <c r="H40">
        <v>2027000</v>
      </c>
      <c r="I40">
        <f t="shared" si="0"/>
        <v>2.0835967740261349E-2</v>
      </c>
    </row>
    <row r="41" spans="2:14" x14ac:dyDescent="0.3">
      <c r="B41" s="3">
        <v>44069</v>
      </c>
      <c r="C41">
        <v>80.349997999999999</v>
      </c>
      <c r="D41">
        <v>81.709998999999996</v>
      </c>
      <c r="E41">
        <v>80.180000000000007</v>
      </c>
      <c r="F41">
        <v>81.519997000000004</v>
      </c>
      <c r="G41">
        <v>81.519997000000004</v>
      </c>
      <c r="H41">
        <v>2714000</v>
      </c>
      <c r="I41">
        <f t="shared" si="0"/>
        <v>1.4561282254170116E-2</v>
      </c>
    </row>
    <row r="42" spans="2:14" x14ac:dyDescent="0.3">
      <c r="B42" s="3">
        <v>44070</v>
      </c>
      <c r="C42">
        <v>81.519997000000004</v>
      </c>
      <c r="D42">
        <v>84.309997999999993</v>
      </c>
      <c r="E42">
        <v>81.190002000000007</v>
      </c>
      <c r="F42">
        <v>83.699996999999996</v>
      </c>
      <c r="G42">
        <v>83.699996999999996</v>
      </c>
      <c r="H42">
        <v>3596700</v>
      </c>
      <c r="I42">
        <f t="shared" si="0"/>
        <v>2.6741904811404649E-2</v>
      </c>
    </row>
    <row r="43" spans="2:14" x14ac:dyDescent="0.3">
      <c r="B43" s="3">
        <v>44071</v>
      </c>
      <c r="C43">
        <v>83.870002999999997</v>
      </c>
      <c r="D43">
        <v>84.599997999999999</v>
      </c>
      <c r="E43">
        <v>83.160004000000001</v>
      </c>
      <c r="F43">
        <v>84.330001999999993</v>
      </c>
      <c r="G43">
        <v>84.330001999999993</v>
      </c>
      <c r="H43">
        <v>2995400</v>
      </c>
      <c r="I43">
        <f t="shared" si="0"/>
        <v>7.5269417273694413E-3</v>
      </c>
    </row>
    <row r="44" spans="2:14" x14ac:dyDescent="0.3">
      <c r="B44" s="3">
        <v>44074</v>
      </c>
      <c r="C44">
        <v>84.379997000000003</v>
      </c>
      <c r="D44">
        <v>86.410004000000001</v>
      </c>
      <c r="E44">
        <v>83.959998999999996</v>
      </c>
      <c r="F44">
        <v>85.839995999999999</v>
      </c>
      <c r="G44">
        <v>85.839995999999999</v>
      </c>
      <c r="H44">
        <v>4171500</v>
      </c>
      <c r="I44">
        <f t="shared" si="0"/>
        <v>1.79057745071559E-2</v>
      </c>
    </row>
    <row r="45" spans="2:14" x14ac:dyDescent="0.3">
      <c r="B45" s="3">
        <v>44075</v>
      </c>
      <c r="C45">
        <v>85.089995999999999</v>
      </c>
      <c r="D45">
        <v>86.010002</v>
      </c>
      <c r="E45">
        <v>84.510002</v>
      </c>
      <c r="F45">
        <v>85.910004000000001</v>
      </c>
      <c r="G45">
        <v>85.910004000000001</v>
      </c>
      <c r="H45">
        <v>3611800</v>
      </c>
      <c r="I45">
        <f t="shared" si="0"/>
        <v>8.1556387770569561E-4</v>
      </c>
    </row>
    <row r="46" spans="2:14" x14ac:dyDescent="0.3">
      <c r="B46" s="3">
        <v>44076</v>
      </c>
      <c r="C46">
        <v>86.25</v>
      </c>
      <c r="D46">
        <v>87.790001000000004</v>
      </c>
      <c r="E46">
        <v>85.959998999999996</v>
      </c>
      <c r="F46">
        <v>87.440002000000007</v>
      </c>
      <c r="G46">
        <v>87.440002000000007</v>
      </c>
      <c r="H46">
        <v>3037800</v>
      </c>
      <c r="I46">
        <f t="shared" si="0"/>
        <v>1.7809311241563975E-2</v>
      </c>
    </row>
    <row r="47" spans="2:14" x14ac:dyDescent="0.3">
      <c r="B47" s="3">
        <v>44077</v>
      </c>
      <c r="C47">
        <v>87.529999000000004</v>
      </c>
      <c r="D47">
        <v>87.599997999999999</v>
      </c>
      <c r="E47">
        <v>84.949996999999996</v>
      </c>
      <c r="F47">
        <v>85.690002000000007</v>
      </c>
      <c r="G47">
        <v>85.690002000000007</v>
      </c>
      <c r="H47">
        <v>4146100</v>
      </c>
      <c r="I47">
        <f t="shared" si="0"/>
        <v>-2.0013723238478425E-2</v>
      </c>
    </row>
    <row r="48" spans="2:14" x14ac:dyDescent="0.3">
      <c r="B48" s="3">
        <v>44078</v>
      </c>
      <c r="C48">
        <v>85.769997000000004</v>
      </c>
      <c r="D48">
        <v>86.080001999999993</v>
      </c>
      <c r="E48">
        <v>82.650002000000001</v>
      </c>
      <c r="F48">
        <v>83.709998999999996</v>
      </c>
      <c r="G48">
        <v>83.709998999999996</v>
      </c>
      <c r="H48">
        <v>2786900</v>
      </c>
      <c r="I48">
        <f t="shared" si="0"/>
        <v>-2.3106581325555466E-2</v>
      </c>
    </row>
    <row r="49" spans="2:9" x14ac:dyDescent="0.3">
      <c r="B49" s="3">
        <v>44082</v>
      </c>
      <c r="C49">
        <v>82.75</v>
      </c>
      <c r="D49">
        <v>83.540001000000004</v>
      </c>
      <c r="E49">
        <v>82.029999000000004</v>
      </c>
      <c r="F49">
        <v>82.160004000000001</v>
      </c>
      <c r="G49">
        <v>82.160004000000001</v>
      </c>
      <c r="H49">
        <v>2892800</v>
      </c>
      <c r="I49">
        <f t="shared" si="0"/>
        <v>-1.851624678671894E-2</v>
      </c>
    </row>
    <row r="50" spans="2:9" x14ac:dyDescent="0.3">
      <c r="B50" s="3">
        <v>44083</v>
      </c>
      <c r="C50">
        <v>83.309997999999993</v>
      </c>
      <c r="D50">
        <v>85.709998999999996</v>
      </c>
      <c r="E50">
        <v>83.07</v>
      </c>
      <c r="F50">
        <v>84.839995999999999</v>
      </c>
      <c r="G50">
        <v>84.839995999999999</v>
      </c>
      <c r="H50">
        <v>2160900</v>
      </c>
      <c r="I50">
        <f t="shared" si="0"/>
        <v>3.2619180495658186E-2</v>
      </c>
    </row>
    <row r="51" spans="2:9" x14ac:dyDescent="0.3">
      <c r="B51" s="3">
        <v>44084</v>
      </c>
      <c r="C51">
        <v>85.139999000000003</v>
      </c>
      <c r="D51">
        <v>85.139999000000003</v>
      </c>
      <c r="E51">
        <v>82.43</v>
      </c>
      <c r="F51">
        <v>82.639999000000003</v>
      </c>
      <c r="G51">
        <v>82.639999000000003</v>
      </c>
      <c r="H51">
        <v>2276500</v>
      </c>
      <c r="I51">
        <f t="shared" si="0"/>
        <v>-2.5931130406936797E-2</v>
      </c>
    </row>
    <row r="52" spans="2:9" x14ac:dyDescent="0.3">
      <c r="B52" s="3">
        <v>44085</v>
      </c>
      <c r="C52">
        <v>83</v>
      </c>
      <c r="D52">
        <v>83.050003000000004</v>
      </c>
      <c r="E52">
        <v>80.980002999999996</v>
      </c>
      <c r="F52">
        <v>81.779999000000004</v>
      </c>
      <c r="G52">
        <v>81.779999000000004</v>
      </c>
      <c r="H52">
        <v>1721600</v>
      </c>
      <c r="I52">
        <f t="shared" si="0"/>
        <v>-1.0406582894561742E-2</v>
      </c>
    </row>
    <row r="53" spans="2:9" x14ac:dyDescent="0.3">
      <c r="B53" s="3">
        <v>44088</v>
      </c>
      <c r="C53">
        <v>82.080001999999993</v>
      </c>
      <c r="D53">
        <v>83.5</v>
      </c>
      <c r="E53">
        <v>81.93</v>
      </c>
      <c r="F53">
        <v>82.949996999999996</v>
      </c>
      <c r="G53">
        <v>82.949996999999996</v>
      </c>
      <c r="H53">
        <v>1702400</v>
      </c>
      <c r="I53">
        <f t="shared" si="0"/>
        <v>1.4306652168092989E-2</v>
      </c>
    </row>
    <row r="54" spans="2:9" x14ac:dyDescent="0.3">
      <c r="B54" s="3">
        <v>44089</v>
      </c>
      <c r="C54">
        <v>83.480002999999996</v>
      </c>
      <c r="D54">
        <v>84.279999000000004</v>
      </c>
      <c r="E54">
        <v>82.940002000000007</v>
      </c>
      <c r="F54">
        <v>83.300003000000004</v>
      </c>
      <c r="G54">
        <v>83.300003000000004</v>
      </c>
      <c r="H54">
        <v>2378700</v>
      </c>
      <c r="I54">
        <f t="shared" si="0"/>
        <v>4.2194817680343928E-3</v>
      </c>
    </row>
    <row r="55" spans="2:9" x14ac:dyDescent="0.3">
      <c r="B55" s="3">
        <v>44090</v>
      </c>
      <c r="C55">
        <v>83.699996999999996</v>
      </c>
      <c r="D55">
        <v>84.690002000000007</v>
      </c>
      <c r="E55">
        <v>83.540001000000004</v>
      </c>
      <c r="F55">
        <v>83.870002999999997</v>
      </c>
      <c r="G55">
        <v>83.870002999999997</v>
      </c>
      <c r="H55">
        <v>1992500</v>
      </c>
      <c r="I55">
        <f t="shared" si="0"/>
        <v>6.8427368484007519E-3</v>
      </c>
    </row>
    <row r="56" spans="2:9" x14ac:dyDescent="0.3">
      <c r="B56" s="3">
        <v>44091</v>
      </c>
      <c r="C56">
        <v>83.059997999999993</v>
      </c>
      <c r="D56">
        <v>83.93</v>
      </c>
      <c r="E56">
        <v>82.440002000000007</v>
      </c>
      <c r="F56">
        <v>83.690002000000007</v>
      </c>
      <c r="G56">
        <v>83.690002000000007</v>
      </c>
      <c r="H56">
        <v>2463400</v>
      </c>
      <c r="I56">
        <f t="shared" si="0"/>
        <v>-2.1461904561991024E-3</v>
      </c>
    </row>
    <row r="57" spans="2:9" x14ac:dyDescent="0.3">
      <c r="B57" s="3">
        <v>44092</v>
      </c>
      <c r="C57">
        <v>83.580001999999993</v>
      </c>
      <c r="D57">
        <v>84.860000999999997</v>
      </c>
      <c r="E57">
        <v>82.309997999999993</v>
      </c>
      <c r="F57">
        <v>83.199996999999996</v>
      </c>
      <c r="G57">
        <v>83.199996999999996</v>
      </c>
      <c r="H57">
        <v>3592900</v>
      </c>
      <c r="I57">
        <f t="shared" si="0"/>
        <v>-5.8550004575219231E-3</v>
      </c>
    </row>
    <row r="58" spans="2:9" x14ac:dyDescent="0.3">
      <c r="B58" s="3">
        <v>44095</v>
      </c>
      <c r="C58">
        <v>81.610000999999997</v>
      </c>
      <c r="D58">
        <v>82.199996999999996</v>
      </c>
      <c r="E58">
        <v>79.699996999999996</v>
      </c>
      <c r="F58">
        <v>81.449996999999996</v>
      </c>
      <c r="G58">
        <v>81.449996999999996</v>
      </c>
      <c r="H58">
        <v>2164300</v>
      </c>
      <c r="I58">
        <f t="shared" si="0"/>
        <v>-2.1033654604578893E-2</v>
      </c>
    </row>
    <row r="59" spans="2:9" x14ac:dyDescent="0.3">
      <c r="B59" s="3">
        <v>44096</v>
      </c>
      <c r="C59">
        <v>81.25</v>
      </c>
      <c r="D59">
        <v>81.449996999999996</v>
      </c>
      <c r="E59">
        <v>77.650002000000001</v>
      </c>
      <c r="F59">
        <v>78.680000000000007</v>
      </c>
      <c r="G59">
        <v>78.680000000000007</v>
      </c>
      <c r="H59">
        <v>4062000</v>
      </c>
      <c r="I59">
        <f t="shared" si="0"/>
        <v>-3.4008558649793318E-2</v>
      </c>
    </row>
    <row r="60" spans="2:9" x14ac:dyDescent="0.3">
      <c r="B60" s="3">
        <v>44097</v>
      </c>
      <c r="C60">
        <v>78.75</v>
      </c>
      <c r="D60">
        <v>78.760002</v>
      </c>
      <c r="E60">
        <v>75.669998000000007</v>
      </c>
      <c r="F60">
        <v>76.050003000000004</v>
      </c>
      <c r="G60">
        <v>76.050003000000004</v>
      </c>
      <c r="H60">
        <v>4253800</v>
      </c>
      <c r="I60">
        <f t="shared" si="0"/>
        <v>-3.3426499745805832E-2</v>
      </c>
    </row>
    <row r="61" spans="2:9" x14ac:dyDescent="0.3">
      <c r="B61" s="3">
        <v>44098</v>
      </c>
      <c r="C61">
        <v>75.739998</v>
      </c>
      <c r="D61">
        <v>76.080001999999993</v>
      </c>
      <c r="E61">
        <v>74.25</v>
      </c>
      <c r="F61">
        <v>74.669998000000007</v>
      </c>
      <c r="G61">
        <v>74.669998000000007</v>
      </c>
      <c r="H61">
        <v>2575700</v>
      </c>
      <c r="I61">
        <f t="shared" si="0"/>
        <v>-1.8146021637895228E-2</v>
      </c>
    </row>
    <row r="62" spans="2:9" x14ac:dyDescent="0.3">
      <c r="B62" s="3">
        <v>44099</v>
      </c>
      <c r="C62">
        <v>74.180000000000007</v>
      </c>
      <c r="D62">
        <v>77.489998</v>
      </c>
      <c r="E62">
        <v>74.069999999999993</v>
      </c>
      <c r="F62">
        <v>77.449996999999996</v>
      </c>
      <c r="G62">
        <v>77.449996999999996</v>
      </c>
      <c r="H62">
        <v>2869000</v>
      </c>
      <c r="I62">
        <f t="shared" si="0"/>
        <v>3.7230468387048694E-2</v>
      </c>
    </row>
    <row r="63" spans="2:9" x14ac:dyDescent="0.3">
      <c r="B63" s="3">
        <v>44102</v>
      </c>
      <c r="C63">
        <v>78.349997999999999</v>
      </c>
      <c r="D63">
        <v>78.720000999999996</v>
      </c>
      <c r="E63">
        <v>77.489998</v>
      </c>
      <c r="F63">
        <v>77.709998999999996</v>
      </c>
      <c r="G63">
        <v>77.709998999999996</v>
      </c>
      <c r="H63">
        <v>2805500</v>
      </c>
      <c r="I63">
        <f t="shared" si="0"/>
        <v>3.3570304721896901E-3</v>
      </c>
    </row>
    <row r="64" spans="2:9" x14ac:dyDescent="0.3">
      <c r="B64" s="3">
        <v>44103</v>
      </c>
      <c r="C64">
        <v>78.339995999999999</v>
      </c>
      <c r="D64">
        <v>80.029999000000004</v>
      </c>
      <c r="E64">
        <v>77.970000999999996</v>
      </c>
      <c r="F64">
        <v>78.309997999999993</v>
      </c>
      <c r="G64">
        <v>78.309997999999993</v>
      </c>
      <c r="H64">
        <v>2640600</v>
      </c>
      <c r="I64">
        <f t="shared" si="0"/>
        <v>7.7210012575086619E-3</v>
      </c>
    </row>
    <row r="65" spans="2:9" x14ac:dyDescent="0.3">
      <c r="B65" s="3">
        <v>44104</v>
      </c>
      <c r="C65">
        <v>78.330001999999993</v>
      </c>
      <c r="D65">
        <v>80.989998</v>
      </c>
      <c r="E65">
        <v>78.319999999999993</v>
      </c>
      <c r="F65">
        <v>79.819999999999993</v>
      </c>
      <c r="G65">
        <v>79.819999999999993</v>
      </c>
      <c r="H65">
        <v>3248400</v>
      </c>
      <c r="I65">
        <f t="shared" si="0"/>
        <v>1.928236545223766E-2</v>
      </c>
    </row>
    <row r="66" spans="2:9" x14ac:dyDescent="0.3">
      <c r="B66" s="3">
        <v>44105</v>
      </c>
      <c r="C66">
        <v>80.379997000000003</v>
      </c>
      <c r="D66">
        <v>80.739998</v>
      </c>
      <c r="E66">
        <v>78.440002000000007</v>
      </c>
      <c r="F66">
        <v>78.980002999999996</v>
      </c>
      <c r="G66">
        <v>78.980002999999996</v>
      </c>
      <c r="H66">
        <v>1994100</v>
      </c>
      <c r="I66">
        <f t="shared" si="0"/>
        <v>-1.0523640691555961E-2</v>
      </c>
    </row>
    <row r="67" spans="2:9" x14ac:dyDescent="0.3">
      <c r="B67" s="3">
        <v>44106</v>
      </c>
      <c r="C67">
        <v>77.949996999999996</v>
      </c>
      <c r="D67">
        <v>79.919998000000007</v>
      </c>
      <c r="E67">
        <v>77.669998000000007</v>
      </c>
      <c r="F67">
        <v>78.809997999999993</v>
      </c>
      <c r="G67">
        <v>78.809997999999993</v>
      </c>
      <c r="H67">
        <v>1541600</v>
      </c>
      <c r="I67">
        <f t="shared" si="0"/>
        <v>-2.1525068820268758E-3</v>
      </c>
    </row>
    <row r="68" spans="2:9" x14ac:dyDescent="0.3">
      <c r="B68" s="3">
        <v>44109</v>
      </c>
      <c r="C68">
        <v>79.120002999999997</v>
      </c>
      <c r="D68">
        <v>80.5</v>
      </c>
      <c r="E68">
        <v>79.040001000000004</v>
      </c>
      <c r="F68">
        <v>80.150002000000001</v>
      </c>
      <c r="G68">
        <v>80.150002000000001</v>
      </c>
      <c r="H68">
        <v>1662200</v>
      </c>
      <c r="I68">
        <f t="shared" si="0"/>
        <v>1.7002969597842237E-2</v>
      </c>
    </row>
    <row r="69" spans="2:9" x14ac:dyDescent="0.3">
      <c r="B69" s="3">
        <v>44110</v>
      </c>
      <c r="C69">
        <v>80.279999000000004</v>
      </c>
      <c r="D69">
        <v>80.430000000000007</v>
      </c>
      <c r="E69">
        <v>78.470000999999996</v>
      </c>
      <c r="F69">
        <v>78.589995999999999</v>
      </c>
      <c r="G69">
        <v>78.589995999999999</v>
      </c>
      <c r="H69">
        <v>1488300</v>
      </c>
      <c r="I69">
        <f t="shared" si="0"/>
        <v>-1.9463580300347359E-2</v>
      </c>
    </row>
    <row r="70" spans="2:9" x14ac:dyDescent="0.3">
      <c r="B70" s="3">
        <v>44111</v>
      </c>
      <c r="C70">
        <v>79.580001999999993</v>
      </c>
      <c r="D70">
        <v>81.720000999999996</v>
      </c>
      <c r="E70">
        <v>79.449996999999996</v>
      </c>
      <c r="F70">
        <v>81.5</v>
      </c>
      <c r="G70">
        <v>81.5</v>
      </c>
      <c r="H70">
        <v>1971200</v>
      </c>
      <c r="I70">
        <f t="shared" si="0"/>
        <v>3.7027664437086889E-2</v>
      </c>
    </row>
    <row r="71" spans="2:9" x14ac:dyDescent="0.3">
      <c r="B71" s="3">
        <v>44112</v>
      </c>
      <c r="C71">
        <v>82</v>
      </c>
      <c r="D71">
        <v>82.25</v>
      </c>
      <c r="E71">
        <v>80.930000000000007</v>
      </c>
      <c r="F71">
        <v>81.650002000000001</v>
      </c>
      <c r="G71">
        <v>81.650002000000001</v>
      </c>
      <c r="H71">
        <v>1805000</v>
      </c>
      <c r="I71">
        <f t="shared" ref="I71:I134" si="7">(G71-G70)/G70</f>
        <v>1.8405153374233207E-3</v>
      </c>
    </row>
    <row r="72" spans="2:9" x14ac:dyDescent="0.3">
      <c r="B72" s="3">
        <v>44113</v>
      </c>
      <c r="C72">
        <v>82.599997999999999</v>
      </c>
      <c r="D72">
        <v>83.949996999999996</v>
      </c>
      <c r="E72">
        <v>81.809997999999993</v>
      </c>
      <c r="F72">
        <v>83.900002000000001</v>
      </c>
      <c r="G72">
        <v>83.900002000000001</v>
      </c>
      <c r="H72">
        <v>2229700</v>
      </c>
      <c r="I72">
        <f t="shared" si="7"/>
        <v>2.7556643538110385E-2</v>
      </c>
    </row>
    <row r="73" spans="2:9" x14ac:dyDescent="0.3">
      <c r="B73" s="3">
        <v>44116</v>
      </c>
      <c r="C73">
        <v>84.440002000000007</v>
      </c>
      <c r="D73">
        <v>85.470000999999996</v>
      </c>
      <c r="E73">
        <v>83.18</v>
      </c>
      <c r="F73">
        <v>85.019997000000004</v>
      </c>
      <c r="G73">
        <v>85.019997000000004</v>
      </c>
      <c r="H73">
        <v>2090300</v>
      </c>
      <c r="I73">
        <f t="shared" si="7"/>
        <v>1.3349165355204674E-2</v>
      </c>
    </row>
    <row r="74" spans="2:9" x14ac:dyDescent="0.3">
      <c r="B74" s="3">
        <v>44117</v>
      </c>
      <c r="C74">
        <v>84.040001000000004</v>
      </c>
      <c r="D74">
        <v>85.010002</v>
      </c>
      <c r="E74">
        <v>83.199996999999996</v>
      </c>
      <c r="F74">
        <v>83.940002000000007</v>
      </c>
      <c r="G74">
        <v>83.940002000000007</v>
      </c>
      <c r="H74">
        <v>1830900</v>
      </c>
      <c r="I74">
        <f t="shared" si="7"/>
        <v>-1.2702835075376404E-2</v>
      </c>
    </row>
    <row r="75" spans="2:9" x14ac:dyDescent="0.3">
      <c r="B75" s="3">
        <v>44118</v>
      </c>
      <c r="C75">
        <v>83.919998000000007</v>
      </c>
      <c r="D75">
        <v>86.25</v>
      </c>
      <c r="E75">
        <v>83.769997000000004</v>
      </c>
      <c r="F75">
        <v>85.169998000000007</v>
      </c>
      <c r="G75">
        <v>85.169998000000007</v>
      </c>
      <c r="H75">
        <v>1805200</v>
      </c>
      <c r="I75">
        <f t="shared" si="7"/>
        <v>1.4653275800493783E-2</v>
      </c>
    </row>
    <row r="76" spans="2:9" x14ac:dyDescent="0.3">
      <c r="B76" s="3">
        <v>44119</v>
      </c>
      <c r="C76">
        <v>83.830001999999993</v>
      </c>
      <c r="D76">
        <v>85.870002999999997</v>
      </c>
      <c r="E76">
        <v>83.489998</v>
      </c>
      <c r="F76">
        <v>85.32</v>
      </c>
      <c r="G76">
        <v>85.32</v>
      </c>
      <c r="H76">
        <v>2006300</v>
      </c>
      <c r="I76">
        <f t="shared" si="7"/>
        <v>1.7612070391264587E-3</v>
      </c>
    </row>
    <row r="77" spans="2:9" x14ac:dyDescent="0.3">
      <c r="B77" s="3">
        <v>44120</v>
      </c>
      <c r="C77">
        <v>85.870002999999997</v>
      </c>
      <c r="D77">
        <v>86.980002999999996</v>
      </c>
      <c r="E77">
        <v>85.199996999999996</v>
      </c>
      <c r="F77">
        <v>85.330001999999993</v>
      </c>
      <c r="G77">
        <v>85.330001999999993</v>
      </c>
      <c r="H77">
        <v>1831100</v>
      </c>
      <c r="I77">
        <f t="shared" si="7"/>
        <v>1.1722925457102751E-4</v>
      </c>
    </row>
    <row r="78" spans="2:9" x14ac:dyDescent="0.3">
      <c r="B78" s="3">
        <v>44123</v>
      </c>
      <c r="C78">
        <v>85.5</v>
      </c>
      <c r="D78">
        <v>86.730002999999996</v>
      </c>
      <c r="E78">
        <v>83.230002999999996</v>
      </c>
      <c r="F78">
        <v>84</v>
      </c>
      <c r="G78">
        <v>84</v>
      </c>
      <c r="H78">
        <v>1832900</v>
      </c>
      <c r="I78">
        <f t="shared" si="7"/>
        <v>-1.558656942255777E-2</v>
      </c>
    </row>
    <row r="79" spans="2:9" x14ac:dyDescent="0.3">
      <c r="B79" s="3">
        <v>44124</v>
      </c>
      <c r="C79">
        <v>84.489998</v>
      </c>
      <c r="D79">
        <v>85.660004000000001</v>
      </c>
      <c r="E79">
        <v>83.690002000000007</v>
      </c>
      <c r="F79">
        <v>84.43</v>
      </c>
      <c r="G79">
        <v>84.43</v>
      </c>
      <c r="H79">
        <v>1415700</v>
      </c>
      <c r="I79">
        <f t="shared" si="7"/>
        <v>5.1190476190477001E-3</v>
      </c>
    </row>
    <row r="80" spans="2:9" x14ac:dyDescent="0.3">
      <c r="B80" s="3">
        <v>44125</v>
      </c>
      <c r="C80">
        <v>84.440002000000007</v>
      </c>
      <c r="D80">
        <v>84.839995999999999</v>
      </c>
      <c r="E80">
        <v>82.580001999999993</v>
      </c>
      <c r="F80">
        <v>83.610000999999997</v>
      </c>
      <c r="G80">
        <v>83.610000999999997</v>
      </c>
      <c r="H80">
        <v>2149800</v>
      </c>
      <c r="I80">
        <f t="shared" si="7"/>
        <v>-9.7121757669076138E-3</v>
      </c>
    </row>
    <row r="81" spans="2:9" x14ac:dyDescent="0.3">
      <c r="B81" s="3">
        <v>44126</v>
      </c>
      <c r="C81">
        <v>79.739998</v>
      </c>
      <c r="D81">
        <v>81</v>
      </c>
      <c r="E81">
        <v>78.019997000000004</v>
      </c>
      <c r="F81">
        <v>79.379997000000003</v>
      </c>
      <c r="G81">
        <v>79.379997000000003</v>
      </c>
      <c r="H81">
        <v>6110100</v>
      </c>
      <c r="I81">
        <f t="shared" si="7"/>
        <v>-5.0592081681711663E-2</v>
      </c>
    </row>
    <row r="82" spans="2:9" x14ac:dyDescent="0.3">
      <c r="B82" s="3">
        <v>44127</v>
      </c>
      <c r="C82">
        <v>79.860000999999997</v>
      </c>
      <c r="D82">
        <v>80.519997000000004</v>
      </c>
      <c r="E82">
        <v>79.069999999999993</v>
      </c>
      <c r="F82">
        <v>80.410004000000001</v>
      </c>
      <c r="G82">
        <v>80.410004000000001</v>
      </c>
      <c r="H82">
        <v>2500400</v>
      </c>
      <c r="I82">
        <f t="shared" si="7"/>
        <v>1.297564926841705E-2</v>
      </c>
    </row>
    <row r="83" spans="2:9" x14ac:dyDescent="0.3">
      <c r="B83" s="3">
        <v>44130</v>
      </c>
      <c r="C83">
        <v>79.230002999999996</v>
      </c>
      <c r="D83">
        <v>79.519997000000004</v>
      </c>
      <c r="E83">
        <v>77.319999999999993</v>
      </c>
      <c r="F83">
        <v>78.080001999999993</v>
      </c>
      <c r="G83">
        <v>78.080001999999993</v>
      </c>
      <c r="H83">
        <v>2396900</v>
      </c>
      <c r="I83">
        <f t="shared" si="7"/>
        <v>-2.89765188918534E-2</v>
      </c>
    </row>
    <row r="84" spans="2:9" x14ac:dyDescent="0.3">
      <c r="B84" s="3">
        <v>44131</v>
      </c>
      <c r="C84">
        <v>78.349997999999999</v>
      </c>
      <c r="D84">
        <v>78.650002000000001</v>
      </c>
      <c r="E84">
        <v>76.389999000000003</v>
      </c>
      <c r="F84">
        <v>76.5</v>
      </c>
      <c r="G84">
        <v>76.5</v>
      </c>
      <c r="H84">
        <v>2661800</v>
      </c>
      <c r="I84">
        <f t="shared" si="7"/>
        <v>-2.0235680834126944E-2</v>
      </c>
    </row>
    <row r="85" spans="2:9" x14ac:dyDescent="0.3">
      <c r="B85" s="3">
        <v>44132</v>
      </c>
      <c r="C85">
        <v>75.010002</v>
      </c>
      <c r="D85">
        <v>75.449996999999996</v>
      </c>
      <c r="E85">
        <v>73.180000000000007</v>
      </c>
      <c r="F85">
        <v>73.260002</v>
      </c>
      <c r="G85">
        <v>73.260002</v>
      </c>
      <c r="H85">
        <v>3192300</v>
      </c>
      <c r="I85">
        <f t="shared" si="7"/>
        <v>-4.2352915032679739E-2</v>
      </c>
    </row>
    <row r="86" spans="2:9" x14ac:dyDescent="0.3">
      <c r="B86" s="3">
        <v>44133</v>
      </c>
      <c r="C86">
        <v>73.419998000000007</v>
      </c>
      <c r="D86">
        <v>73.989998</v>
      </c>
      <c r="E86">
        <v>72.099997999999999</v>
      </c>
      <c r="F86">
        <v>72.910004000000001</v>
      </c>
      <c r="G86">
        <v>72.910004000000001</v>
      </c>
      <c r="H86">
        <v>2253700</v>
      </c>
      <c r="I86">
        <f t="shared" si="7"/>
        <v>-4.7774773470522069E-3</v>
      </c>
    </row>
    <row r="87" spans="2:9" x14ac:dyDescent="0.3">
      <c r="B87" s="3">
        <v>44134</v>
      </c>
      <c r="C87">
        <v>72.480002999999996</v>
      </c>
      <c r="D87">
        <v>72.809997999999993</v>
      </c>
      <c r="E87">
        <v>70.919998000000007</v>
      </c>
      <c r="F87">
        <v>71.690002000000007</v>
      </c>
      <c r="G87">
        <v>71.690002000000007</v>
      </c>
      <c r="H87">
        <v>3131100</v>
      </c>
      <c r="I87">
        <f t="shared" si="7"/>
        <v>-1.6732984954986339E-2</v>
      </c>
    </row>
    <row r="88" spans="2:9" x14ac:dyDescent="0.3">
      <c r="B88" s="3">
        <v>44137</v>
      </c>
      <c r="C88">
        <v>73.110000999999997</v>
      </c>
      <c r="D88">
        <v>73.839995999999999</v>
      </c>
      <c r="E88">
        <v>72.139999000000003</v>
      </c>
      <c r="F88">
        <v>72.599997999999999</v>
      </c>
      <c r="G88">
        <v>72.599997999999999</v>
      </c>
      <c r="H88">
        <v>2614800</v>
      </c>
      <c r="I88">
        <f t="shared" si="7"/>
        <v>1.2693485487697328E-2</v>
      </c>
    </row>
    <row r="89" spans="2:9" x14ac:dyDescent="0.3">
      <c r="B89" s="3">
        <v>44138</v>
      </c>
      <c r="C89">
        <v>73.5</v>
      </c>
      <c r="D89">
        <v>74.800003000000004</v>
      </c>
      <c r="E89">
        <v>73.099997999999999</v>
      </c>
      <c r="F89">
        <v>74.209998999999996</v>
      </c>
      <c r="G89">
        <v>74.209998999999996</v>
      </c>
      <c r="H89">
        <v>2518500</v>
      </c>
      <c r="I89">
        <f t="shared" si="7"/>
        <v>2.2176322924967531E-2</v>
      </c>
    </row>
    <row r="90" spans="2:9" x14ac:dyDescent="0.3">
      <c r="B90" s="3">
        <v>44139</v>
      </c>
      <c r="C90">
        <v>76.239998</v>
      </c>
      <c r="D90">
        <v>77.489998</v>
      </c>
      <c r="E90">
        <v>75.129997000000003</v>
      </c>
      <c r="F90">
        <v>75.970000999999996</v>
      </c>
      <c r="G90">
        <v>75.970000999999996</v>
      </c>
      <c r="H90">
        <v>3241400</v>
      </c>
      <c r="I90">
        <f t="shared" si="7"/>
        <v>2.37165075288574E-2</v>
      </c>
    </row>
    <row r="91" spans="2:9" x14ac:dyDescent="0.3">
      <c r="B91" s="3">
        <v>44140</v>
      </c>
      <c r="C91">
        <v>76.959998999999996</v>
      </c>
      <c r="D91">
        <v>78.440002000000007</v>
      </c>
      <c r="E91">
        <v>76.139999000000003</v>
      </c>
      <c r="F91">
        <v>77.550003000000004</v>
      </c>
      <c r="G91">
        <v>77.550003000000004</v>
      </c>
      <c r="H91">
        <v>2721500</v>
      </c>
      <c r="I91">
        <f t="shared" si="7"/>
        <v>2.0797709348457261E-2</v>
      </c>
    </row>
    <row r="92" spans="2:9" x14ac:dyDescent="0.3">
      <c r="B92" s="3">
        <v>44141</v>
      </c>
      <c r="C92">
        <v>77.690002000000007</v>
      </c>
      <c r="D92">
        <v>78.510002</v>
      </c>
      <c r="E92">
        <v>77.160004000000001</v>
      </c>
      <c r="F92">
        <v>78.029999000000004</v>
      </c>
      <c r="G92">
        <v>78.029999000000004</v>
      </c>
      <c r="H92">
        <v>2585500</v>
      </c>
      <c r="I92">
        <f t="shared" si="7"/>
        <v>6.1895033066600895E-3</v>
      </c>
    </row>
    <row r="93" spans="2:9" x14ac:dyDescent="0.3">
      <c r="B93" s="3">
        <v>44144</v>
      </c>
      <c r="C93">
        <v>82</v>
      </c>
      <c r="D93">
        <v>85.830001999999993</v>
      </c>
      <c r="E93">
        <v>81.599997999999999</v>
      </c>
      <c r="F93">
        <v>84</v>
      </c>
      <c r="G93">
        <v>84</v>
      </c>
      <c r="H93">
        <v>4185300</v>
      </c>
      <c r="I93">
        <f t="shared" si="7"/>
        <v>7.6509048782635453E-2</v>
      </c>
    </row>
    <row r="94" spans="2:9" x14ac:dyDescent="0.3">
      <c r="B94" s="3">
        <v>44145</v>
      </c>
      <c r="C94">
        <v>83.699996999999996</v>
      </c>
      <c r="D94">
        <v>83.959998999999996</v>
      </c>
      <c r="E94">
        <v>81</v>
      </c>
      <c r="F94">
        <v>81.209998999999996</v>
      </c>
      <c r="G94">
        <v>81.209998999999996</v>
      </c>
      <c r="H94">
        <v>3365200</v>
      </c>
      <c r="I94">
        <f t="shared" si="7"/>
        <v>-3.3214297619047664E-2</v>
      </c>
    </row>
    <row r="95" spans="2:9" x14ac:dyDescent="0.3">
      <c r="B95" s="3">
        <v>44146</v>
      </c>
      <c r="C95">
        <v>81.760002</v>
      </c>
      <c r="D95">
        <v>81.760002</v>
      </c>
      <c r="E95">
        <v>79.209998999999996</v>
      </c>
      <c r="F95">
        <v>80.029999000000004</v>
      </c>
      <c r="G95">
        <v>80.029999000000004</v>
      </c>
      <c r="H95">
        <v>2468300</v>
      </c>
      <c r="I95">
        <f t="shared" si="7"/>
        <v>-1.4530230446130072E-2</v>
      </c>
    </row>
    <row r="96" spans="2:9" x14ac:dyDescent="0.3">
      <c r="B96" s="3">
        <v>44147</v>
      </c>
      <c r="C96">
        <v>79.379997000000003</v>
      </c>
      <c r="D96">
        <v>80.599997999999999</v>
      </c>
      <c r="E96">
        <v>78.339995999999999</v>
      </c>
      <c r="F96">
        <v>80.349997999999999</v>
      </c>
      <c r="G96">
        <v>80.349997999999999</v>
      </c>
      <c r="H96">
        <v>2437600</v>
      </c>
      <c r="I96">
        <f t="shared" si="7"/>
        <v>3.9984881169371957E-3</v>
      </c>
    </row>
    <row r="97" spans="2:9" x14ac:dyDescent="0.3">
      <c r="B97" s="3">
        <v>44148</v>
      </c>
      <c r="C97">
        <v>80.339995999999999</v>
      </c>
      <c r="D97">
        <v>82.279999000000004</v>
      </c>
      <c r="E97">
        <v>79.889999000000003</v>
      </c>
      <c r="F97">
        <v>81.779999000000004</v>
      </c>
      <c r="G97">
        <v>81.779999000000004</v>
      </c>
      <c r="H97">
        <v>2342100</v>
      </c>
      <c r="I97">
        <f t="shared" si="7"/>
        <v>1.7797150411876853E-2</v>
      </c>
    </row>
    <row r="98" spans="2:9" x14ac:dyDescent="0.3">
      <c r="B98" s="3">
        <v>44151</v>
      </c>
      <c r="C98">
        <v>82.900002000000001</v>
      </c>
      <c r="D98">
        <v>83.199996999999996</v>
      </c>
      <c r="E98">
        <v>81.129997000000003</v>
      </c>
      <c r="F98">
        <v>82.169998000000007</v>
      </c>
      <c r="G98">
        <v>82.169998000000007</v>
      </c>
      <c r="H98">
        <v>1841000</v>
      </c>
      <c r="I98">
        <f t="shared" si="7"/>
        <v>4.7688799800548187E-3</v>
      </c>
    </row>
    <row r="99" spans="2:9" x14ac:dyDescent="0.3">
      <c r="B99" s="3">
        <v>44152</v>
      </c>
      <c r="C99">
        <v>85.25</v>
      </c>
      <c r="D99">
        <v>88</v>
      </c>
      <c r="E99">
        <v>83.889999000000003</v>
      </c>
      <c r="F99">
        <v>85.18</v>
      </c>
      <c r="G99">
        <v>85.18</v>
      </c>
      <c r="H99">
        <v>4972500</v>
      </c>
      <c r="I99">
        <f t="shared" si="7"/>
        <v>3.6631399212155268E-2</v>
      </c>
    </row>
    <row r="100" spans="2:9" x14ac:dyDescent="0.3">
      <c r="B100" s="3">
        <v>44153</v>
      </c>
      <c r="C100">
        <v>84.849997999999999</v>
      </c>
      <c r="D100">
        <v>87.239998</v>
      </c>
      <c r="E100">
        <v>84.599997999999999</v>
      </c>
      <c r="F100">
        <v>85.239998</v>
      </c>
      <c r="G100">
        <v>85.239998</v>
      </c>
      <c r="H100">
        <v>5012700</v>
      </c>
      <c r="I100">
        <f t="shared" si="7"/>
        <v>7.0436722235258406E-4</v>
      </c>
    </row>
    <row r="101" spans="2:9" x14ac:dyDescent="0.3">
      <c r="B101" s="3">
        <v>44154</v>
      </c>
      <c r="C101">
        <v>84.449996999999996</v>
      </c>
      <c r="D101">
        <v>85.540001000000004</v>
      </c>
      <c r="E101">
        <v>84.07</v>
      </c>
      <c r="F101">
        <v>85.239998</v>
      </c>
      <c r="G101">
        <v>85.239998</v>
      </c>
      <c r="H101">
        <v>2178700</v>
      </c>
      <c r="I101">
        <f t="shared" si="7"/>
        <v>0</v>
      </c>
    </row>
    <row r="102" spans="2:9" x14ac:dyDescent="0.3">
      <c r="B102" s="3">
        <v>44155</v>
      </c>
      <c r="C102">
        <v>85.029999000000004</v>
      </c>
      <c r="D102">
        <v>85.389999000000003</v>
      </c>
      <c r="E102">
        <v>84.360000999999997</v>
      </c>
      <c r="F102">
        <v>84.529999000000004</v>
      </c>
      <c r="G102">
        <v>84.529999000000004</v>
      </c>
      <c r="H102">
        <v>2794800</v>
      </c>
      <c r="I102">
        <f t="shared" si="7"/>
        <v>-8.3294112700471462E-3</v>
      </c>
    </row>
    <row r="103" spans="2:9" x14ac:dyDescent="0.3">
      <c r="B103" s="3">
        <v>44158</v>
      </c>
      <c r="C103">
        <v>84.949996999999996</v>
      </c>
      <c r="D103">
        <v>85.809997999999993</v>
      </c>
      <c r="E103">
        <v>83.860000999999997</v>
      </c>
      <c r="F103">
        <v>84.699996999999996</v>
      </c>
      <c r="G103">
        <v>84.699996999999996</v>
      </c>
      <c r="H103">
        <v>1596500</v>
      </c>
      <c r="I103">
        <f t="shared" si="7"/>
        <v>2.0110966758676119E-3</v>
      </c>
    </row>
    <row r="104" spans="2:9" x14ac:dyDescent="0.3">
      <c r="B104" s="3">
        <v>44159</v>
      </c>
      <c r="C104">
        <v>85.5</v>
      </c>
      <c r="D104">
        <v>86.150002000000001</v>
      </c>
      <c r="E104">
        <v>85.010002</v>
      </c>
      <c r="F104">
        <v>85.610000999999997</v>
      </c>
      <c r="G104">
        <v>85.610000999999997</v>
      </c>
      <c r="H104">
        <v>1903200</v>
      </c>
      <c r="I104">
        <f t="shared" si="7"/>
        <v>1.0743849258932096E-2</v>
      </c>
    </row>
    <row r="105" spans="2:9" x14ac:dyDescent="0.3">
      <c r="B105" s="3">
        <v>44160</v>
      </c>
      <c r="C105">
        <v>85.269997000000004</v>
      </c>
      <c r="D105">
        <v>85.540001000000004</v>
      </c>
      <c r="E105">
        <v>83.830001999999993</v>
      </c>
      <c r="F105">
        <v>84.209998999999996</v>
      </c>
      <c r="G105">
        <v>84.209998999999996</v>
      </c>
      <c r="H105">
        <v>1712100</v>
      </c>
      <c r="I105">
        <f t="shared" si="7"/>
        <v>-1.6353252933614622E-2</v>
      </c>
    </row>
    <row r="106" spans="2:9" x14ac:dyDescent="0.3">
      <c r="B106" s="3">
        <v>44162</v>
      </c>
      <c r="C106">
        <v>84.870002999999997</v>
      </c>
      <c r="D106">
        <v>85.360000999999997</v>
      </c>
      <c r="E106">
        <v>83.830001999999993</v>
      </c>
      <c r="F106">
        <v>85.260002</v>
      </c>
      <c r="G106">
        <v>85.260002</v>
      </c>
      <c r="H106">
        <v>919800</v>
      </c>
      <c r="I106">
        <f t="shared" si="7"/>
        <v>1.2468863703465949E-2</v>
      </c>
    </row>
    <row r="107" spans="2:9" x14ac:dyDescent="0.3">
      <c r="B107" s="3">
        <v>44165</v>
      </c>
      <c r="C107">
        <v>84.980002999999996</v>
      </c>
      <c r="D107">
        <v>84.980002999999996</v>
      </c>
      <c r="E107">
        <v>83.120002999999997</v>
      </c>
      <c r="F107">
        <v>83.889999000000003</v>
      </c>
      <c r="G107">
        <v>83.889999000000003</v>
      </c>
      <c r="H107">
        <v>3948000</v>
      </c>
      <c r="I107">
        <f t="shared" si="7"/>
        <v>-1.6068531173621097E-2</v>
      </c>
    </row>
    <row r="108" spans="2:9" x14ac:dyDescent="0.3">
      <c r="B108" s="3">
        <v>44166</v>
      </c>
      <c r="C108">
        <v>84.559997999999993</v>
      </c>
      <c r="D108">
        <v>84.93</v>
      </c>
      <c r="E108">
        <v>83.57</v>
      </c>
      <c r="F108">
        <v>83.879997000000003</v>
      </c>
      <c r="G108">
        <v>83.879997000000003</v>
      </c>
      <c r="H108">
        <v>2529100</v>
      </c>
      <c r="I108">
        <f t="shared" si="7"/>
        <v>-1.1922756132110654E-4</v>
      </c>
    </row>
    <row r="109" spans="2:9" x14ac:dyDescent="0.3">
      <c r="B109" s="3">
        <v>44167</v>
      </c>
      <c r="C109">
        <v>83.669998000000007</v>
      </c>
      <c r="D109">
        <v>84.809997999999993</v>
      </c>
      <c r="E109">
        <v>83.169998000000007</v>
      </c>
      <c r="F109">
        <v>84.470000999999996</v>
      </c>
      <c r="G109">
        <v>84.470000999999996</v>
      </c>
      <c r="H109">
        <v>1500500</v>
      </c>
      <c r="I109">
        <f t="shared" si="7"/>
        <v>7.0339058309693706E-3</v>
      </c>
    </row>
    <row r="110" spans="2:9" x14ac:dyDescent="0.3">
      <c r="B110" s="3">
        <v>44168</v>
      </c>
      <c r="C110">
        <v>83.900002000000001</v>
      </c>
      <c r="D110">
        <v>84.779999000000004</v>
      </c>
      <c r="E110">
        <v>83.379997000000003</v>
      </c>
      <c r="F110">
        <v>83.650002000000001</v>
      </c>
      <c r="G110">
        <v>83.650002000000001</v>
      </c>
      <c r="H110">
        <v>1697300</v>
      </c>
      <c r="I110">
        <f t="shared" si="7"/>
        <v>-9.7075765395101127E-3</v>
      </c>
    </row>
    <row r="111" spans="2:9" x14ac:dyDescent="0.3">
      <c r="B111" s="3">
        <v>44169</v>
      </c>
      <c r="C111">
        <v>84.230002999999996</v>
      </c>
      <c r="D111">
        <v>85.959998999999996</v>
      </c>
      <c r="E111">
        <v>83.709998999999996</v>
      </c>
      <c r="F111">
        <v>85.760002</v>
      </c>
      <c r="G111">
        <v>85.760002</v>
      </c>
      <c r="H111">
        <v>2413200</v>
      </c>
      <c r="I111">
        <f t="shared" si="7"/>
        <v>2.522414763361272E-2</v>
      </c>
    </row>
    <row r="112" spans="2:9" x14ac:dyDescent="0.3">
      <c r="B112" s="3">
        <v>44172</v>
      </c>
      <c r="C112">
        <v>85.699996999999996</v>
      </c>
      <c r="D112">
        <v>86.540001000000004</v>
      </c>
      <c r="E112">
        <v>85.139999000000003</v>
      </c>
      <c r="F112">
        <v>86.059997999999993</v>
      </c>
      <c r="G112">
        <v>86.059997999999993</v>
      </c>
      <c r="H112">
        <v>2775100</v>
      </c>
      <c r="I112">
        <f t="shared" si="7"/>
        <v>3.4980876049885475E-3</v>
      </c>
    </row>
    <row r="113" spans="2:9" x14ac:dyDescent="0.3">
      <c r="B113" s="3">
        <v>44173</v>
      </c>
      <c r="C113">
        <v>85.980002999999996</v>
      </c>
      <c r="D113">
        <v>86.07</v>
      </c>
      <c r="E113">
        <v>84.32</v>
      </c>
      <c r="F113">
        <v>85.400002000000001</v>
      </c>
      <c r="G113">
        <v>85.400002000000001</v>
      </c>
      <c r="H113">
        <v>1995400</v>
      </c>
      <c r="I113">
        <f t="shared" si="7"/>
        <v>-7.6690217910531733E-3</v>
      </c>
    </row>
    <row r="114" spans="2:9" x14ac:dyDescent="0.3">
      <c r="B114" s="3">
        <v>44174</v>
      </c>
      <c r="C114">
        <v>85.5</v>
      </c>
      <c r="D114">
        <v>86</v>
      </c>
      <c r="E114">
        <v>83.900002000000001</v>
      </c>
      <c r="F114">
        <v>85.029999000000004</v>
      </c>
      <c r="G114">
        <v>85.029999000000004</v>
      </c>
      <c r="H114">
        <v>2898700</v>
      </c>
      <c r="I114">
        <f t="shared" si="7"/>
        <v>-4.3325877205482614E-3</v>
      </c>
    </row>
    <row r="115" spans="2:9" x14ac:dyDescent="0.3">
      <c r="B115" s="3">
        <v>44175</v>
      </c>
      <c r="C115">
        <v>85.029999000000004</v>
      </c>
      <c r="D115">
        <v>87.769997000000004</v>
      </c>
      <c r="E115">
        <v>84.82</v>
      </c>
      <c r="F115">
        <v>86.739998</v>
      </c>
      <c r="G115">
        <v>86.739998</v>
      </c>
      <c r="H115">
        <v>2631500</v>
      </c>
      <c r="I115">
        <f t="shared" si="7"/>
        <v>2.0110537693879028E-2</v>
      </c>
    </row>
    <row r="116" spans="2:9" x14ac:dyDescent="0.3">
      <c r="B116" s="3">
        <v>44176</v>
      </c>
      <c r="C116">
        <v>86.199996999999996</v>
      </c>
      <c r="D116">
        <v>86.269997000000004</v>
      </c>
      <c r="E116">
        <v>83.650002000000001</v>
      </c>
      <c r="F116">
        <v>84.18</v>
      </c>
      <c r="G116">
        <v>84.18</v>
      </c>
      <c r="H116">
        <v>2202300</v>
      </c>
      <c r="I116">
        <f t="shared" si="7"/>
        <v>-2.9513466209671727E-2</v>
      </c>
    </row>
    <row r="117" spans="2:9" x14ac:dyDescent="0.3">
      <c r="B117" s="3">
        <v>44179</v>
      </c>
      <c r="C117">
        <v>84.529999000000004</v>
      </c>
      <c r="D117">
        <v>85.800003000000004</v>
      </c>
      <c r="E117">
        <v>83.510002</v>
      </c>
      <c r="F117">
        <v>83.57</v>
      </c>
      <c r="G117">
        <v>83.57</v>
      </c>
      <c r="H117">
        <v>2408500</v>
      </c>
      <c r="I117">
        <f t="shared" si="7"/>
        <v>-7.2463768115943643E-3</v>
      </c>
    </row>
    <row r="118" spans="2:9" x14ac:dyDescent="0.3">
      <c r="B118" s="3">
        <v>44180</v>
      </c>
      <c r="C118">
        <v>84.769997000000004</v>
      </c>
      <c r="D118">
        <v>85.480002999999996</v>
      </c>
      <c r="E118">
        <v>83.690002000000007</v>
      </c>
      <c r="F118">
        <v>85.150002000000001</v>
      </c>
      <c r="G118">
        <v>85.150002000000001</v>
      </c>
      <c r="H118">
        <v>2739700</v>
      </c>
      <c r="I118">
        <f t="shared" si="7"/>
        <v>1.8906330022735521E-2</v>
      </c>
    </row>
    <row r="119" spans="2:9" x14ac:dyDescent="0.3">
      <c r="B119" s="3">
        <v>44181</v>
      </c>
      <c r="C119">
        <v>83.879997000000003</v>
      </c>
      <c r="D119">
        <v>86.080001999999993</v>
      </c>
      <c r="E119">
        <v>83.720000999999996</v>
      </c>
      <c r="F119">
        <v>85.089995999999999</v>
      </c>
      <c r="G119">
        <v>85.089995999999999</v>
      </c>
      <c r="H119">
        <v>1816500</v>
      </c>
      <c r="I119">
        <f t="shared" si="7"/>
        <v>-7.0470931991289129E-4</v>
      </c>
    </row>
    <row r="120" spans="2:9" x14ac:dyDescent="0.3">
      <c r="B120" s="3">
        <v>44182</v>
      </c>
      <c r="C120">
        <v>85</v>
      </c>
      <c r="D120">
        <v>86.589995999999999</v>
      </c>
      <c r="E120">
        <v>84.660004000000001</v>
      </c>
      <c r="F120">
        <v>86.519997000000004</v>
      </c>
      <c r="G120">
        <v>86.519997000000004</v>
      </c>
      <c r="H120">
        <v>1689000</v>
      </c>
      <c r="I120">
        <f t="shared" si="7"/>
        <v>1.6805747646292103E-2</v>
      </c>
    </row>
    <row r="121" spans="2:9" x14ac:dyDescent="0.3">
      <c r="B121" s="3">
        <v>44183</v>
      </c>
      <c r="C121">
        <v>86.440002000000007</v>
      </c>
      <c r="D121">
        <v>87.199996999999996</v>
      </c>
      <c r="E121">
        <v>85.769997000000004</v>
      </c>
      <c r="F121">
        <v>86.82</v>
      </c>
      <c r="G121">
        <v>86.82</v>
      </c>
      <c r="H121">
        <v>6067600</v>
      </c>
      <c r="I121">
        <f t="shared" si="7"/>
        <v>3.4674411743216955E-3</v>
      </c>
    </row>
    <row r="122" spans="2:9" x14ac:dyDescent="0.3">
      <c r="B122" s="3">
        <v>44186</v>
      </c>
      <c r="C122">
        <v>85.190002000000007</v>
      </c>
      <c r="D122">
        <v>85.75</v>
      </c>
      <c r="E122">
        <v>83.220000999999996</v>
      </c>
      <c r="F122">
        <v>85.639999000000003</v>
      </c>
      <c r="G122">
        <v>85.639999000000003</v>
      </c>
      <c r="H122">
        <v>2327400</v>
      </c>
      <c r="I122">
        <f t="shared" si="7"/>
        <v>-1.3591349919373302E-2</v>
      </c>
    </row>
    <row r="123" spans="2:9" x14ac:dyDescent="0.3">
      <c r="B123" s="3">
        <v>44187</v>
      </c>
      <c r="C123">
        <v>85.790001000000004</v>
      </c>
      <c r="D123">
        <v>88.440002000000007</v>
      </c>
      <c r="E123">
        <v>85.279999000000004</v>
      </c>
      <c r="F123">
        <v>88</v>
      </c>
      <c r="G123">
        <v>88</v>
      </c>
      <c r="H123">
        <v>2183600</v>
      </c>
      <c r="I123">
        <f t="shared" si="7"/>
        <v>2.7557228252653259E-2</v>
      </c>
    </row>
    <row r="124" spans="2:9" x14ac:dyDescent="0.3">
      <c r="B124" s="3">
        <v>44188</v>
      </c>
      <c r="C124">
        <v>88.5</v>
      </c>
      <c r="D124">
        <v>90.059997999999993</v>
      </c>
      <c r="E124">
        <v>88.269997000000004</v>
      </c>
      <c r="F124">
        <v>88.279999000000004</v>
      </c>
      <c r="G124">
        <v>88.279999000000004</v>
      </c>
      <c r="H124">
        <v>1598300</v>
      </c>
      <c r="I124">
        <f t="shared" si="7"/>
        <v>3.1818068181818596E-3</v>
      </c>
    </row>
    <row r="125" spans="2:9" x14ac:dyDescent="0.3">
      <c r="B125" s="3">
        <v>44189</v>
      </c>
      <c r="C125">
        <v>88.519997000000004</v>
      </c>
      <c r="D125">
        <v>88.989998</v>
      </c>
      <c r="E125">
        <v>88.150002000000001</v>
      </c>
      <c r="F125">
        <v>88.629997000000003</v>
      </c>
      <c r="G125">
        <v>88.629997000000003</v>
      </c>
      <c r="H125">
        <v>441500</v>
      </c>
      <c r="I125">
        <f t="shared" si="7"/>
        <v>3.964635296382359E-3</v>
      </c>
    </row>
    <row r="126" spans="2:9" x14ac:dyDescent="0.3">
      <c r="B126" s="3">
        <v>44193</v>
      </c>
      <c r="C126">
        <v>88.889999000000003</v>
      </c>
      <c r="D126">
        <v>90.779999000000004</v>
      </c>
      <c r="E126">
        <v>88.889999000000003</v>
      </c>
      <c r="F126">
        <v>90.580001999999993</v>
      </c>
      <c r="G126">
        <v>90.580001999999993</v>
      </c>
      <c r="H126">
        <v>1451400</v>
      </c>
      <c r="I126">
        <f t="shared" si="7"/>
        <v>2.2001636759617516E-2</v>
      </c>
    </row>
    <row r="127" spans="2:9" x14ac:dyDescent="0.3">
      <c r="B127" s="3">
        <v>44194</v>
      </c>
      <c r="C127">
        <v>91.389999000000003</v>
      </c>
      <c r="D127">
        <v>92.080001999999993</v>
      </c>
      <c r="E127">
        <v>89.93</v>
      </c>
      <c r="F127">
        <v>90</v>
      </c>
      <c r="G127">
        <v>90</v>
      </c>
      <c r="H127">
        <v>1476500</v>
      </c>
      <c r="I127">
        <f t="shared" si="7"/>
        <v>-6.4032014483726028E-3</v>
      </c>
    </row>
    <row r="128" spans="2:9" x14ac:dyDescent="0.3">
      <c r="B128" s="3">
        <v>44195</v>
      </c>
      <c r="C128">
        <v>90.5</v>
      </c>
      <c r="D128">
        <v>90.760002</v>
      </c>
      <c r="E128">
        <v>89.290001000000004</v>
      </c>
      <c r="F128">
        <v>89.639999000000003</v>
      </c>
      <c r="G128">
        <v>89.639999000000003</v>
      </c>
      <c r="H128">
        <v>1115800</v>
      </c>
      <c r="I128">
        <f t="shared" si="7"/>
        <v>-4.0000111111110764E-3</v>
      </c>
    </row>
    <row r="129" spans="2:9" x14ac:dyDescent="0.3">
      <c r="B129" s="3">
        <v>44196</v>
      </c>
      <c r="C129">
        <v>89.760002</v>
      </c>
      <c r="D129">
        <v>91.330001999999993</v>
      </c>
      <c r="E129">
        <v>89.370002999999997</v>
      </c>
      <c r="F129">
        <v>91.230002999999996</v>
      </c>
      <c r="G129">
        <v>91.230002999999996</v>
      </c>
      <c r="H129">
        <v>1100300</v>
      </c>
      <c r="I129">
        <f t="shared" si="7"/>
        <v>1.7737661956020251E-2</v>
      </c>
    </row>
    <row r="130" spans="2:9" x14ac:dyDescent="0.3">
      <c r="B130" s="3">
        <v>44200</v>
      </c>
      <c r="C130">
        <v>91.5</v>
      </c>
      <c r="D130">
        <v>91.730002999999996</v>
      </c>
      <c r="E130">
        <v>87.879997000000003</v>
      </c>
      <c r="F130">
        <v>88.919998000000007</v>
      </c>
      <c r="G130">
        <v>88.919998000000007</v>
      </c>
      <c r="H130">
        <v>2368200</v>
      </c>
      <c r="I130">
        <f t="shared" si="7"/>
        <v>-2.5320672191581423E-2</v>
      </c>
    </row>
    <row r="131" spans="2:9" x14ac:dyDescent="0.3">
      <c r="B131" s="3">
        <v>44201</v>
      </c>
      <c r="C131">
        <v>88.849997999999999</v>
      </c>
      <c r="D131">
        <v>89.419998000000007</v>
      </c>
      <c r="E131">
        <v>88.010002</v>
      </c>
      <c r="F131">
        <v>88.440002000000007</v>
      </c>
      <c r="G131">
        <v>88.440002000000007</v>
      </c>
      <c r="H131">
        <v>2720500</v>
      </c>
      <c r="I131">
        <f t="shared" si="7"/>
        <v>-5.398065798427029E-3</v>
      </c>
    </row>
    <row r="132" spans="2:9" x14ac:dyDescent="0.3">
      <c r="B132" s="3">
        <v>44202</v>
      </c>
      <c r="C132">
        <v>87.68</v>
      </c>
      <c r="D132">
        <v>88.449996999999996</v>
      </c>
      <c r="E132">
        <v>86.599997999999999</v>
      </c>
      <c r="F132">
        <v>87.199996999999996</v>
      </c>
      <c r="G132">
        <v>87.199996999999996</v>
      </c>
      <c r="H132">
        <v>3185800</v>
      </c>
      <c r="I132">
        <f t="shared" si="7"/>
        <v>-1.4020861284015015E-2</v>
      </c>
    </row>
    <row r="133" spans="2:9" x14ac:dyDescent="0.3">
      <c r="B133" s="3">
        <v>44203</v>
      </c>
      <c r="C133">
        <v>87.529999000000004</v>
      </c>
      <c r="D133">
        <v>89.599997999999999</v>
      </c>
      <c r="E133">
        <v>86.790001000000004</v>
      </c>
      <c r="F133">
        <v>89.440002000000007</v>
      </c>
      <c r="G133">
        <v>89.440002000000007</v>
      </c>
      <c r="H133">
        <v>2494000</v>
      </c>
      <c r="I133">
        <f t="shared" si="7"/>
        <v>2.5688131617711073E-2</v>
      </c>
    </row>
    <row r="134" spans="2:9" x14ac:dyDescent="0.3">
      <c r="B134" s="3">
        <v>44204</v>
      </c>
      <c r="C134">
        <v>90.040001000000004</v>
      </c>
      <c r="D134">
        <v>91.370002999999997</v>
      </c>
      <c r="E134">
        <v>89.620002999999997</v>
      </c>
      <c r="F134">
        <v>90.669998000000007</v>
      </c>
      <c r="G134">
        <v>90.669998000000007</v>
      </c>
      <c r="H134">
        <v>1997700</v>
      </c>
      <c r="I134">
        <f t="shared" si="7"/>
        <v>1.3752191105720232E-2</v>
      </c>
    </row>
    <row r="135" spans="2:9" x14ac:dyDescent="0.3">
      <c r="B135" s="3">
        <v>44207</v>
      </c>
      <c r="C135">
        <v>90.209998999999996</v>
      </c>
      <c r="D135">
        <v>90.330001999999993</v>
      </c>
      <c r="E135">
        <v>89.139999000000003</v>
      </c>
      <c r="F135">
        <v>89.370002999999997</v>
      </c>
      <c r="G135">
        <v>89.370002999999997</v>
      </c>
      <c r="H135">
        <v>2107100</v>
      </c>
      <c r="I135">
        <f t="shared" ref="I135:I198" si="8">(G135-G134)/G134</f>
        <v>-1.4337653343722469E-2</v>
      </c>
    </row>
    <row r="136" spans="2:9" x14ac:dyDescent="0.3">
      <c r="B136" s="3">
        <v>44208</v>
      </c>
      <c r="C136">
        <v>89.279999000000004</v>
      </c>
      <c r="D136">
        <v>89.660004000000001</v>
      </c>
      <c r="E136">
        <v>87.599997999999999</v>
      </c>
      <c r="F136">
        <v>87.849997999999999</v>
      </c>
      <c r="G136">
        <v>87.849997999999999</v>
      </c>
      <c r="H136">
        <v>2193700</v>
      </c>
      <c r="I136">
        <f t="shared" si="8"/>
        <v>-1.7007999876647622E-2</v>
      </c>
    </row>
    <row r="137" spans="2:9" x14ac:dyDescent="0.3">
      <c r="B137" s="3">
        <v>44209</v>
      </c>
      <c r="C137">
        <v>87.550003000000004</v>
      </c>
      <c r="D137">
        <v>89.519997000000004</v>
      </c>
      <c r="E137">
        <v>87.349997999999999</v>
      </c>
      <c r="F137">
        <v>89.260002</v>
      </c>
      <c r="G137">
        <v>89.260002</v>
      </c>
      <c r="H137">
        <v>1809600</v>
      </c>
      <c r="I137">
        <f t="shared" si="8"/>
        <v>1.6050131270350178E-2</v>
      </c>
    </row>
    <row r="138" spans="2:9" x14ac:dyDescent="0.3">
      <c r="B138" s="3">
        <v>44210</v>
      </c>
      <c r="C138">
        <v>89.309997999999993</v>
      </c>
      <c r="D138">
        <v>89.650002000000001</v>
      </c>
      <c r="E138">
        <v>87.300003000000004</v>
      </c>
      <c r="F138">
        <v>87.489998</v>
      </c>
      <c r="G138">
        <v>87.489998</v>
      </c>
      <c r="H138">
        <v>2881200</v>
      </c>
      <c r="I138">
        <f t="shared" si="8"/>
        <v>-1.9829755325347181E-2</v>
      </c>
    </row>
    <row r="139" spans="2:9" x14ac:dyDescent="0.3">
      <c r="B139" s="3">
        <v>44211</v>
      </c>
      <c r="C139">
        <v>87.269997000000004</v>
      </c>
      <c r="D139">
        <v>88.150002000000001</v>
      </c>
      <c r="E139">
        <v>86.839995999999999</v>
      </c>
      <c r="F139">
        <v>87.870002999999997</v>
      </c>
      <c r="G139">
        <v>87.870002999999997</v>
      </c>
      <c r="H139">
        <v>3128600</v>
      </c>
      <c r="I139">
        <f t="shared" si="8"/>
        <v>4.3434107747950465E-3</v>
      </c>
    </row>
    <row r="140" spans="2:9" x14ac:dyDescent="0.3">
      <c r="B140" s="3">
        <v>44215</v>
      </c>
      <c r="C140">
        <v>88.669998000000007</v>
      </c>
      <c r="D140">
        <v>89.43</v>
      </c>
      <c r="E140">
        <v>87.800003000000004</v>
      </c>
      <c r="F140">
        <v>87.910004000000001</v>
      </c>
      <c r="G140">
        <v>87.910004000000001</v>
      </c>
      <c r="H140">
        <v>1976600</v>
      </c>
      <c r="I140">
        <f t="shared" si="8"/>
        <v>4.5522930049295352E-4</v>
      </c>
    </row>
    <row r="141" spans="2:9" x14ac:dyDescent="0.3">
      <c r="B141" s="3">
        <v>44216</v>
      </c>
      <c r="C141">
        <v>88.32</v>
      </c>
      <c r="D141">
        <v>88.639999000000003</v>
      </c>
      <c r="E141">
        <v>87.370002999999997</v>
      </c>
      <c r="F141">
        <v>88.099997999999999</v>
      </c>
      <c r="G141">
        <v>88.099997999999999</v>
      </c>
      <c r="H141">
        <v>3561800</v>
      </c>
      <c r="I141">
        <f t="shared" si="8"/>
        <v>2.1612329809471815E-3</v>
      </c>
    </row>
    <row r="142" spans="2:9" x14ac:dyDescent="0.3">
      <c r="B142" s="3">
        <v>44217</v>
      </c>
      <c r="C142">
        <v>88.169998000000007</v>
      </c>
      <c r="D142">
        <v>88.889999000000003</v>
      </c>
      <c r="E142">
        <v>86.550003000000004</v>
      </c>
      <c r="F142">
        <v>87.230002999999996</v>
      </c>
      <c r="G142">
        <v>87.230002999999996</v>
      </c>
      <c r="H142">
        <v>1796200</v>
      </c>
      <c r="I142">
        <f t="shared" si="8"/>
        <v>-9.8750853547125272E-3</v>
      </c>
    </row>
    <row r="143" spans="2:9" x14ac:dyDescent="0.3">
      <c r="B143" s="3">
        <v>44218</v>
      </c>
      <c r="C143">
        <v>86.980002999999996</v>
      </c>
      <c r="D143">
        <v>87.379997000000003</v>
      </c>
      <c r="E143">
        <v>85.209998999999996</v>
      </c>
      <c r="F143">
        <v>85.519997000000004</v>
      </c>
      <c r="G143">
        <v>85.519997000000004</v>
      </c>
      <c r="H143">
        <v>3278900</v>
      </c>
      <c r="I143">
        <f t="shared" si="8"/>
        <v>-1.9603415581677705E-2</v>
      </c>
    </row>
    <row r="144" spans="2:9" x14ac:dyDescent="0.3">
      <c r="B144" s="3">
        <v>44221</v>
      </c>
      <c r="C144">
        <v>85.389999000000003</v>
      </c>
      <c r="D144">
        <v>86.309997999999993</v>
      </c>
      <c r="E144">
        <v>84.599997999999999</v>
      </c>
      <c r="F144">
        <v>85.889999000000003</v>
      </c>
      <c r="G144">
        <v>85.889999000000003</v>
      </c>
      <c r="H144">
        <v>3297700</v>
      </c>
      <c r="I144">
        <f t="shared" si="8"/>
        <v>4.3264968776834676E-3</v>
      </c>
    </row>
    <row r="145" spans="2:9" x14ac:dyDescent="0.3">
      <c r="B145" s="3">
        <v>44222</v>
      </c>
      <c r="C145">
        <v>84.599997999999999</v>
      </c>
      <c r="D145">
        <v>87.839995999999999</v>
      </c>
      <c r="E145">
        <v>84.029999000000004</v>
      </c>
      <c r="F145">
        <v>86.540001000000004</v>
      </c>
      <c r="G145">
        <v>86.540001000000004</v>
      </c>
      <c r="H145">
        <v>2186600</v>
      </c>
      <c r="I145">
        <f t="shared" si="8"/>
        <v>7.5678426774693592E-3</v>
      </c>
    </row>
    <row r="146" spans="2:9" x14ac:dyDescent="0.3">
      <c r="B146" s="3">
        <v>44223</v>
      </c>
      <c r="C146">
        <v>85.800003000000004</v>
      </c>
      <c r="D146">
        <v>85.989998</v>
      </c>
      <c r="E146">
        <v>84.230002999999996</v>
      </c>
      <c r="F146">
        <v>84.839995999999999</v>
      </c>
      <c r="G146">
        <v>84.839995999999999</v>
      </c>
      <c r="H146">
        <v>3290000</v>
      </c>
      <c r="I146">
        <f t="shared" si="8"/>
        <v>-1.964415276584067E-2</v>
      </c>
    </row>
    <row r="147" spans="2:9" x14ac:dyDescent="0.3">
      <c r="B147" s="3">
        <v>44224</v>
      </c>
      <c r="C147">
        <v>82.059997999999993</v>
      </c>
      <c r="D147">
        <v>85.599997999999999</v>
      </c>
      <c r="E147">
        <v>82.010002</v>
      </c>
      <c r="F147">
        <v>83.379997000000003</v>
      </c>
      <c r="G147">
        <v>83.379997000000003</v>
      </c>
      <c r="H147">
        <v>5277400</v>
      </c>
      <c r="I147">
        <f t="shared" si="8"/>
        <v>-1.7208852767979812E-2</v>
      </c>
    </row>
    <row r="148" spans="2:9" x14ac:dyDescent="0.3">
      <c r="B148" s="3">
        <v>44225</v>
      </c>
      <c r="C148">
        <v>83.010002</v>
      </c>
      <c r="D148">
        <v>83.5</v>
      </c>
      <c r="E148">
        <v>81.620002999999997</v>
      </c>
      <c r="F148">
        <v>82.580001999999993</v>
      </c>
      <c r="G148">
        <v>82.580001999999993</v>
      </c>
      <c r="H148">
        <v>4292000</v>
      </c>
      <c r="I148">
        <f t="shared" si="8"/>
        <v>-9.5945673876674485E-3</v>
      </c>
    </row>
    <row r="149" spans="2:9" x14ac:dyDescent="0.3">
      <c r="B149" s="3">
        <v>44228</v>
      </c>
      <c r="C149">
        <v>83.540001000000004</v>
      </c>
      <c r="D149">
        <v>83.870002999999997</v>
      </c>
      <c r="E149">
        <v>81.849997999999999</v>
      </c>
      <c r="F149">
        <v>81.919998000000007</v>
      </c>
      <c r="G149">
        <v>81.919998000000007</v>
      </c>
      <c r="H149">
        <v>2126100</v>
      </c>
      <c r="I149">
        <f t="shared" si="8"/>
        <v>-7.9922981837659262E-3</v>
      </c>
    </row>
    <row r="150" spans="2:9" x14ac:dyDescent="0.3">
      <c r="B150" s="3">
        <v>44229</v>
      </c>
      <c r="C150">
        <v>82.220000999999996</v>
      </c>
      <c r="D150">
        <v>84.720000999999996</v>
      </c>
      <c r="E150">
        <v>82.010002</v>
      </c>
      <c r="F150">
        <v>83.970000999999996</v>
      </c>
      <c r="G150">
        <v>83.970000999999996</v>
      </c>
      <c r="H150">
        <v>2515000</v>
      </c>
      <c r="I150">
        <f t="shared" si="8"/>
        <v>2.502445129454214E-2</v>
      </c>
    </row>
    <row r="151" spans="2:9" x14ac:dyDescent="0.3">
      <c r="B151" s="3">
        <v>44230</v>
      </c>
      <c r="C151">
        <v>83.510002</v>
      </c>
      <c r="D151">
        <v>84.120002999999997</v>
      </c>
      <c r="E151">
        <v>82.449996999999996</v>
      </c>
      <c r="F151">
        <v>83.860000999999997</v>
      </c>
      <c r="G151">
        <v>83.860000999999997</v>
      </c>
      <c r="H151">
        <v>2174600</v>
      </c>
      <c r="I151">
        <f t="shared" si="8"/>
        <v>-1.3099916480886959E-3</v>
      </c>
    </row>
    <row r="152" spans="2:9" x14ac:dyDescent="0.3">
      <c r="B152" s="3">
        <v>44231</v>
      </c>
      <c r="C152">
        <v>84.540001000000004</v>
      </c>
      <c r="D152">
        <v>86.160004000000001</v>
      </c>
      <c r="E152">
        <v>84.019997000000004</v>
      </c>
      <c r="F152">
        <v>85.43</v>
      </c>
      <c r="G152">
        <v>85.43</v>
      </c>
      <c r="H152">
        <v>2441700</v>
      </c>
      <c r="I152">
        <f t="shared" si="8"/>
        <v>1.8721666840905593E-2</v>
      </c>
    </row>
    <row r="153" spans="2:9" x14ac:dyDescent="0.3">
      <c r="B153" s="3">
        <v>44232</v>
      </c>
      <c r="C153">
        <v>85.959998999999996</v>
      </c>
      <c r="D153">
        <v>86.190002000000007</v>
      </c>
      <c r="E153">
        <v>85.019997000000004</v>
      </c>
      <c r="F153">
        <v>85.099997999999999</v>
      </c>
      <c r="G153">
        <v>85.099997999999999</v>
      </c>
      <c r="H153">
        <v>1969500</v>
      </c>
      <c r="I153">
        <f t="shared" si="8"/>
        <v>-3.8628350696477518E-3</v>
      </c>
    </row>
    <row r="154" spans="2:9" x14ac:dyDescent="0.3">
      <c r="B154" s="3">
        <v>44235</v>
      </c>
      <c r="C154">
        <v>85.150002000000001</v>
      </c>
      <c r="D154">
        <v>86.32</v>
      </c>
      <c r="E154">
        <v>84.610000999999997</v>
      </c>
      <c r="F154">
        <v>86.080001999999993</v>
      </c>
      <c r="G154">
        <v>86.080001999999993</v>
      </c>
      <c r="H154">
        <v>2167800</v>
      </c>
      <c r="I154">
        <f t="shared" si="8"/>
        <v>1.1515910963946132E-2</v>
      </c>
    </row>
    <row r="155" spans="2:9" x14ac:dyDescent="0.3">
      <c r="B155" s="3">
        <v>44236</v>
      </c>
      <c r="C155">
        <v>86.300003000000004</v>
      </c>
      <c r="D155">
        <v>86.93</v>
      </c>
      <c r="E155">
        <v>85.370002999999997</v>
      </c>
      <c r="F155">
        <v>85.800003000000004</v>
      </c>
      <c r="G155">
        <v>85.800003000000004</v>
      </c>
      <c r="H155">
        <v>1486200</v>
      </c>
      <c r="I155">
        <f t="shared" si="8"/>
        <v>-3.2527764114130653E-3</v>
      </c>
    </row>
    <row r="156" spans="2:9" x14ac:dyDescent="0.3">
      <c r="B156" s="3">
        <v>44237</v>
      </c>
      <c r="C156">
        <v>86.010002</v>
      </c>
      <c r="D156">
        <v>86.739998</v>
      </c>
      <c r="E156">
        <v>85.620002999999997</v>
      </c>
      <c r="F156">
        <v>86.389999000000003</v>
      </c>
      <c r="G156">
        <v>86.389999000000003</v>
      </c>
      <c r="H156">
        <v>2713600</v>
      </c>
      <c r="I156">
        <f t="shared" si="8"/>
        <v>6.8764100159763317E-3</v>
      </c>
    </row>
    <row r="157" spans="2:9" x14ac:dyDescent="0.3">
      <c r="B157" s="3">
        <v>44238</v>
      </c>
      <c r="C157">
        <v>86.809997999999993</v>
      </c>
      <c r="D157">
        <v>88.110000999999997</v>
      </c>
      <c r="E157">
        <v>86.220000999999996</v>
      </c>
      <c r="F157">
        <v>88.07</v>
      </c>
      <c r="G157">
        <v>88.07</v>
      </c>
      <c r="H157">
        <v>2220700</v>
      </c>
      <c r="I157">
        <f t="shared" si="8"/>
        <v>1.944670701987148E-2</v>
      </c>
    </row>
    <row r="158" spans="2:9" x14ac:dyDescent="0.3">
      <c r="B158" s="3">
        <v>44239</v>
      </c>
      <c r="C158">
        <v>87.269997000000004</v>
      </c>
      <c r="D158">
        <v>87.82</v>
      </c>
      <c r="E158">
        <v>86.68</v>
      </c>
      <c r="F158">
        <v>87.650002000000001</v>
      </c>
      <c r="G158">
        <v>87.650002000000001</v>
      </c>
      <c r="H158">
        <v>2094000</v>
      </c>
      <c r="I158">
        <f t="shared" si="8"/>
        <v>-4.7689110934483088E-3</v>
      </c>
    </row>
    <row r="159" spans="2:9" x14ac:dyDescent="0.3">
      <c r="B159" s="3">
        <v>44243</v>
      </c>
      <c r="C159">
        <v>88.199996999999996</v>
      </c>
      <c r="D159">
        <v>88.199996999999996</v>
      </c>
      <c r="E159">
        <v>86.129997000000003</v>
      </c>
      <c r="F159">
        <v>86.980002999999996</v>
      </c>
      <c r="G159">
        <v>86.980002999999996</v>
      </c>
      <c r="H159">
        <v>2274500</v>
      </c>
      <c r="I159">
        <f t="shared" si="8"/>
        <v>-7.644027207209924E-3</v>
      </c>
    </row>
    <row r="160" spans="2:9" x14ac:dyDescent="0.3">
      <c r="B160" s="3">
        <v>44244</v>
      </c>
      <c r="C160">
        <v>86.43</v>
      </c>
      <c r="D160">
        <v>86.849997999999999</v>
      </c>
      <c r="E160">
        <v>84.779999000000004</v>
      </c>
      <c r="F160">
        <v>85.07</v>
      </c>
      <c r="G160">
        <v>85.07</v>
      </c>
      <c r="H160">
        <v>2399400</v>
      </c>
      <c r="I160">
        <f t="shared" si="8"/>
        <v>-2.1959104784119211E-2</v>
      </c>
    </row>
    <row r="161" spans="2:9" x14ac:dyDescent="0.3">
      <c r="B161" s="3">
        <v>44245</v>
      </c>
      <c r="C161">
        <v>84.440002000000007</v>
      </c>
      <c r="D161">
        <v>86.099997999999999</v>
      </c>
      <c r="E161">
        <v>83.260002</v>
      </c>
      <c r="F161">
        <v>85.239998</v>
      </c>
      <c r="G161">
        <v>85.239998</v>
      </c>
      <c r="H161">
        <v>2293700</v>
      </c>
      <c r="I161">
        <f t="shared" si="8"/>
        <v>1.9983307864112703E-3</v>
      </c>
    </row>
    <row r="162" spans="2:9" x14ac:dyDescent="0.3">
      <c r="B162" s="3">
        <v>44246</v>
      </c>
      <c r="C162">
        <v>85.589995999999999</v>
      </c>
      <c r="D162">
        <v>85.82</v>
      </c>
      <c r="E162">
        <v>83.989998</v>
      </c>
      <c r="F162">
        <v>84.309997999999993</v>
      </c>
      <c r="G162">
        <v>84.309997999999993</v>
      </c>
      <c r="H162">
        <v>4797500</v>
      </c>
      <c r="I162">
        <f t="shared" si="8"/>
        <v>-1.0910370973964674E-2</v>
      </c>
    </row>
    <row r="163" spans="2:9" x14ac:dyDescent="0.3">
      <c r="B163" s="3">
        <v>44249</v>
      </c>
      <c r="C163">
        <v>83.809997999999993</v>
      </c>
      <c r="D163">
        <v>84</v>
      </c>
      <c r="E163">
        <v>82.760002</v>
      </c>
      <c r="F163">
        <v>83.339995999999999</v>
      </c>
      <c r="G163">
        <v>83.339995999999999</v>
      </c>
      <c r="H163">
        <v>3201100</v>
      </c>
      <c r="I163">
        <f t="shared" si="8"/>
        <v>-1.1505183525208884E-2</v>
      </c>
    </row>
    <row r="164" spans="2:9" x14ac:dyDescent="0.3">
      <c r="B164" s="3">
        <v>44250</v>
      </c>
      <c r="C164">
        <v>83.629997000000003</v>
      </c>
      <c r="D164">
        <v>85.629997000000003</v>
      </c>
      <c r="E164">
        <v>82.440002000000007</v>
      </c>
      <c r="F164">
        <v>85.220000999999996</v>
      </c>
      <c r="G164">
        <v>85.220000999999996</v>
      </c>
      <c r="H164">
        <v>4287500</v>
      </c>
      <c r="I164">
        <f t="shared" si="8"/>
        <v>2.2558256422282489E-2</v>
      </c>
    </row>
    <row r="165" spans="2:9" x14ac:dyDescent="0.3">
      <c r="B165" s="3">
        <v>44251</v>
      </c>
      <c r="C165">
        <v>85.279999000000004</v>
      </c>
      <c r="D165">
        <v>86.080001999999993</v>
      </c>
      <c r="E165">
        <v>84.440002000000007</v>
      </c>
      <c r="F165">
        <v>84.449996999999996</v>
      </c>
      <c r="G165">
        <v>84.449996999999996</v>
      </c>
      <c r="H165">
        <v>1931800</v>
      </c>
      <c r="I165">
        <f t="shared" si="8"/>
        <v>-9.0354845219961944E-3</v>
      </c>
    </row>
    <row r="166" spans="2:9" x14ac:dyDescent="0.3">
      <c r="B166" s="3">
        <v>44252</v>
      </c>
      <c r="C166">
        <v>84.150002000000001</v>
      </c>
      <c r="D166">
        <v>85.089995999999999</v>
      </c>
      <c r="E166">
        <v>82.919998000000007</v>
      </c>
      <c r="F166">
        <v>83.970000999999996</v>
      </c>
      <c r="G166">
        <v>83.970000999999996</v>
      </c>
      <c r="H166">
        <v>2107300</v>
      </c>
      <c r="I166">
        <f t="shared" si="8"/>
        <v>-5.6837894263039451E-3</v>
      </c>
    </row>
    <row r="167" spans="2:9" x14ac:dyDescent="0.3">
      <c r="B167" s="3">
        <v>44253</v>
      </c>
      <c r="C167">
        <v>84.349997999999999</v>
      </c>
      <c r="D167">
        <v>84.349997999999999</v>
      </c>
      <c r="E167">
        <v>82.709998999999996</v>
      </c>
      <c r="F167">
        <v>83.099997999999999</v>
      </c>
      <c r="G167">
        <v>83.099997999999999</v>
      </c>
      <c r="H167">
        <v>2641900</v>
      </c>
      <c r="I167">
        <f t="shared" si="8"/>
        <v>-1.0360878761928287E-2</v>
      </c>
    </row>
    <row r="168" spans="2:9" x14ac:dyDescent="0.3">
      <c r="B168" s="3">
        <v>44256</v>
      </c>
      <c r="C168">
        <v>83.989998</v>
      </c>
      <c r="D168">
        <v>85.790001000000004</v>
      </c>
      <c r="E168">
        <v>83.989998</v>
      </c>
      <c r="F168">
        <v>85.769997000000004</v>
      </c>
      <c r="G168">
        <v>85.769997000000004</v>
      </c>
      <c r="H168">
        <v>3181700</v>
      </c>
      <c r="I168">
        <f t="shared" si="8"/>
        <v>3.212995263850673E-2</v>
      </c>
    </row>
    <row r="169" spans="2:9" x14ac:dyDescent="0.3">
      <c r="B169" s="3">
        <v>44257</v>
      </c>
      <c r="C169">
        <v>86</v>
      </c>
      <c r="D169">
        <v>86.879997000000003</v>
      </c>
      <c r="E169">
        <v>85.480002999999996</v>
      </c>
      <c r="F169">
        <v>86.279999000000004</v>
      </c>
      <c r="G169">
        <v>86.279999000000004</v>
      </c>
      <c r="H169">
        <v>3315800</v>
      </c>
      <c r="I169">
        <f t="shared" si="8"/>
        <v>5.9461585383989235E-3</v>
      </c>
    </row>
    <row r="170" spans="2:9" x14ac:dyDescent="0.3">
      <c r="B170" s="3">
        <v>44258</v>
      </c>
      <c r="C170">
        <v>85.779999000000004</v>
      </c>
      <c r="D170">
        <v>86.410004000000001</v>
      </c>
      <c r="E170">
        <v>84.239998</v>
      </c>
      <c r="F170">
        <v>84.25</v>
      </c>
      <c r="G170">
        <v>84.25</v>
      </c>
      <c r="H170">
        <v>2514300</v>
      </c>
      <c r="I170">
        <f t="shared" si="8"/>
        <v>-2.3528036897636075E-2</v>
      </c>
    </row>
    <row r="171" spans="2:9" x14ac:dyDescent="0.3">
      <c r="B171" s="3">
        <v>44259</v>
      </c>
      <c r="C171">
        <v>84.25</v>
      </c>
      <c r="D171">
        <v>84.879997000000003</v>
      </c>
      <c r="E171">
        <v>81.230002999999996</v>
      </c>
      <c r="F171">
        <v>81.879997000000003</v>
      </c>
      <c r="G171">
        <v>81.879997000000003</v>
      </c>
      <c r="H171">
        <v>2764000</v>
      </c>
      <c r="I171">
        <f t="shared" si="8"/>
        <v>-2.8130599406528154E-2</v>
      </c>
    </row>
    <row r="172" spans="2:9" x14ac:dyDescent="0.3">
      <c r="B172" s="3">
        <v>44260</v>
      </c>
      <c r="C172">
        <v>82.290001000000004</v>
      </c>
      <c r="D172">
        <v>82.489998</v>
      </c>
      <c r="E172">
        <v>78.860000999999997</v>
      </c>
      <c r="F172">
        <v>81.720000999999996</v>
      </c>
      <c r="G172">
        <v>81.720000999999996</v>
      </c>
      <c r="H172">
        <v>2771500</v>
      </c>
      <c r="I172">
        <f t="shared" si="8"/>
        <v>-1.9540303598204415E-3</v>
      </c>
    </row>
    <row r="173" spans="2:9" x14ac:dyDescent="0.3">
      <c r="B173" s="3">
        <v>44263</v>
      </c>
      <c r="C173">
        <v>81.370002999999997</v>
      </c>
      <c r="D173">
        <v>82.379997000000003</v>
      </c>
      <c r="E173">
        <v>80.290001000000004</v>
      </c>
      <c r="F173">
        <v>80.319999999999993</v>
      </c>
      <c r="G173">
        <v>80.319999999999993</v>
      </c>
      <c r="H173">
        <v>2779900</v>
      </c>
      <c r="I173">
        <f t="shared" si="8"/>
        <v>-1.7131681141315736E-2</v>
      </c>
    </row>
    <row r="174" spans="2:9" x14ac:dyDescent="0.3">
      <c r="B174" s="3">
        <v>44264</v>
      </c>
      <c r="C174">
        <v>81.120002999999997</v>
      </c>
      <c r="D174">
        <v>83.419998000000007</v>
      </c>
      <c r="E174">
        <v>80.900002000000001</v>
      </c>
      <c r="F174">
        <v>82.019997000000004</v>
      </c>
      <c r="G174">
        <v>82.019997000000004</v>
      </c>
      <c r="H174">
        <v>2293800</v>
      </c>
      <c r="I174">
        <f t="shared" si="8"/>
        <v>2.1165301294820849E-2</v>
      </c>
    </row>
    <row r="175" spans="2:9" x14ac:dyDescent="0.3">
      <c r="B175" s="3">
        <v>44265</v>
      </c>
      <c r="C175">
        <v>82.580001999999993</v>
      </c>
      <c r="D175">
        <v>84.959998999999996</v>
      </c>
      <c r="E175">
        <v>82.25</v>
      </c>
      <c r="F175">
        <v>82.980002999999996</v>
      </c>
      <c r="G175">
        <v>82.980002999999996</v>
      </c>
      <c r="H175">
        <v>2771800</v>
      </c>
      <c r="I175">
        <f t="shared" si="8"/>
        <v>1.170453590726165E-2</v>
      </c>
    </row>
    <row r="176" spans="2:9" x14ac:dyDescent="0.3">
      <c r="B176" s="3">
        <v>44266</v>
      </c>
      <c r="C176">
        <v>83.639999000000003</v>
      </c>
      <c r="D176">
        <v>84.389999000000003</v>
      </c>
      <c r="E176">
        <v>82.589995999999999</v>
      </c>
      <c r="F176">
        <v>82.970000999999996</v>
      </c>
      <c r="G176">
        <v>82.970000999999996</v>
      </c>
      <c r="H176">
        <v>1996100</v>
      </c>
      <c r="I176">
        <f t="shared" si="8"/>
        <v>-1.2053506433351258E-4</v>
      </c>
    </row>
    <row r="177" spans="2:9" x14ac:dyDescent="0.3">
      <c r="B177" s="3">
        <v>44267</v>
      </c>
      <c r="C177">
        <v>83.07</v>
      </c>
      <c r="D177">
        <v>83.239998</v>
      </c>
      <c r="E177">
        <v>81.959998999999996</v>
      </c>
      <c r="F177">
        <v>82.07</v>
      </c>
      <c r="G177">
        <v>82.07</v>
      </c>
      <c r="H177">
        <v>1865500</v>
      </c>
      <c r="I177">
        <f t="shared" si="8"/>
        <v>-1.084730612453534E-2</v>
      </c>
    </row>
    <row r="178" spans="2:9" x14ac:dyDescent="0.3">
      <c r="B178" s="3">
        <v>44270</v>
      </c>
      <c r="C178">
        <v>81.660004000000001</v>
      </c>
      <c r="D178">
        <v>82.099997999999999</v>
      </c>
      <c r="E178">
        <v>80.790001000000004</v>
      </c>
      <c r="F178">
        <v>81.139999000000003</v>
      </c>
      <c r="G178">
        <v>81.139999000000003</v>
      </c>
      <c r="H178">
        <v>3764000</v>
      </c>
      <c r="I178">
        <f t="shared" si="8"/>
        <v>-1.1331802120141224E-2</v>
      </c>
    </row>
    <row r="179" spans="2:9" x14ac:dyDescent="0.3">
      <c r="B179" s="3">
        <v>44271</v>
      </c>
      <c r="C179">
        <v>81.309997999999993</v>
      </c>
      <c r="D179">
        <v>82.18</v>
      </c>
      <c r="E179">
        <v>80.620002999999997</v>
      </c>
      <c r="F179">
        <v>81.260002</v>
      </c>
      <c r="G179">
        <v>81.260002</v>
      </c>
      <c r="H179">
        <v>2494600</v>
      </c>
      <c r="I179">
        <f t="shared" si="8"/>
        <v>1.4789623056317386E-3</v>
      </c>
    </row>
    <row r="180" spans="2:9" x14ac:dyDescent="0.3">
      <c r="B180" s="3">
        <v>44272</v>
      </c>
      <c r="C180">
        <v>81.010002</v>
      </c>
      <c r="D180">
        <v>81.209998999999996</v>
      </c>
      <c r="E180">
        <v>79.720000999999996</v>
      </c>
      <c r="F180">
        <v>80.379997000000003</v>
      </c>
      <c r="G180">
        <v>80.379997000000003</v>
      </c>
      <c r="H180">
        <v>2303800</v>
      </c>
      <c r="I180">
        <f t="shared" si="8"/>
        <v>-1.0829497641410309E-2</v>
      </c>
    </row>
    <row r="181" spans="2:9" x14ac:dyDescent="0.3">
      <c r="B181" s="3">
        <v>44273</v>
      </c>
      <c r="C181">
        <v>80</v>
      </c>
      <c r="D181">
        <v>80.199996999999996</v>
      </c>
      <c r="E181">
        <v>78.580001999999993</v>
      </c>
      <c r="F181">
        <v>78.680000000000007</v>
      </c>
      <c r="G181">
        <v>78.680000000000007</v>
      </c>
      <c r="H181">
        <v>2363300</v>
      </c>
      <c r="I181">
        <f t="shared" si="8"/>
        <v>-2.1149503153128957E-2</v>
      </c>
    </row>
    <row r="182" spans="2:9" x14ac:dyDescent="0.3">
      <c r="B182" s="3">
        <v>44274</v>
      </c>
      <c r="C182">
        <v>78.669998000000007</v>
      </c>
      <c r="D182">
        <v>80.139999000000003</v>
      </c>
      <c r="E182">
        <v>78.440002000000007</v>
      </c>
      <c r="F182">
        <v>79.410004000000001</v>
      </c>
      <c r="G182">
        <v>79.410004000000001</v>
      </c>
      <c r="H182">
        <v>3507800</v>
      </c>
      <c r="I182">
        <f t="shared" si="8"/>
        <v>9.278139298423917E-3</v>
      </c>
    </row>
    <row r="183" spans="2:9" x14ac:dyDescent="0.3">
      <c r="B183" s="3">
        <v>44277</v>
      </c>
      <c r="C183">
        <v>78.989998</v>
      </c>
      <c r="D183">
        <v>80.419998000000007</v>
      </c>
      <c r="E183">
        <v>78.800003000000004</v>
      </c>
      <c r="F183">
        <v>79.660004000000001</v>
      </c>
      <c r="G183">
        <v>79.660004000000001</v>
      </c>
      <c r="H183">
        <v>2497100</v>
      </c>
      <c r="I183">
        <f t="shared" si="8"/>
        <v>3.1482179499701321E-3</v>
      </c>
    </row>
    <row r="184" spans="2:9" x14ac:dyDescent="0.3">
      <c r="B184" s="3">
        <v>44278</v>
      </c>
      <c r="C184">
        <v>79.690002000000007</v>
      </c>
      <c r="D184">
        <v>80.809997999999993</v>
      </c>
      <c r="E184">
        <v>79.309997999999993</v>
      </c>
      <c r="F184">
        <v>79.769997000000004</v>
      </c>
      <c r="G184">
        <v>79.769997000000004</v>
      </c>
      <c r="H184">
        <v>2390800</v>
      </c>
      <c r="I184">
        <f t="shared" si="8"/>
        <v>1.3807807491448645E-3</v>
      </c>
    </row>
    <row r="185" spans="2:9" x14ac:dyDescent="0.3">
      <c r="B185" s="3">
        <v>44279</v>
      </c>
      <c r="C185">
        <v>80</v>
      </c>
      <c r="D185">
        <v>80.930000000000007</v>
      </c>
      <c r="E185">
        <v>79.660004000000001</v>
      </c>
      <c r="F185">
        <v>80.209998999999996</v>
      </c>
      <c r="G185">
        <v>80.209998999999996</v>
      </c>
      <c r="H185">
        <v>2494500</v>
      </c>
      <c r="I185">
        <f t="shared" si="8"/>
        <v>5.5158833715387087E-3</v>
      </c>
    </row>
    <row r="186" spans="2:9" x14ac:dyDescent="0.3">
      <c r="B186" s="3">
        <v>44280</v>
      </c>
      <c r="C186">
        <v>80.330001999999993</v>
      </c>
      <c r="D186">
        <v>80.800003000000004</v>
      </c>
      <c r="E186">
        <v>79.300003000000004</v>
      </c>
      <c r="F186">
        <v>80.550003000000004</v>
      </c>
      <c r="G186">
        <v>80.550003000000004</v>
      </c>
      <c r="H186">
        <v>2758500</v>
      </c>
      <c r="I186">
        <f t="shared" si="8"/>
        <v>4.2389228804255129E-3</v>
      </c>
    </row>
    <row r="187" spans="2:9" x14ac:dyDescent="0.3">
      <c r="B187" s="3">
        <v>44281</v>
      </c>
      <c r="C187">
        <v>80.75</v>
      </c>
      <c r="D187">
        <v>82.410004000000001</v>
      </c>
      <c r="E187">
        <v>80.209998999999996</v>
      </c>
      <c r="F187">
        <v>82.300003000000004</v>
      </c>
      <c r="G187">
        <v>82.300003000000004</v>
      </c>
      <c r="H187">
        <v>2784700</v>
      </c>
      <c r="I187">
        <f t="shared" si="8"/>
        <v>2.1725635441627481E-2</v>
      </c>
    </row>
    <row r="188" spans="2:9" x14ac:dyDescent="0.3">
      <c r="B188" s="3">
        <v>44284</v>
      </c>
      <c r="C188">
        <v>82.139999000000003</v>
      </c>
      <c r="D188">
        <v>83.18</v>
      </c>
      <c r="E188">
        <v>81.199996999999996</v>
      </c>
      <c r="F188">
        <v>82.43</v>
      </c>
      <c r="G188">
        <v>82.43</v>
      </c>
      <c r="H188">
        <v>2376100</v>
      </c>
      <c r="I188">
        <f t="shared" si="8"/>
        <v>1.579550367695649E-3</v>
      </c>
    </row>
    <row r="189" spans="2:9" x14ac:dyDescent="0.3">
      <c r="B189" s="3">
        <v>44285</v>
      </c>
      <c r="C189">
        <v>82.089995999999999</v>
      </c>
      <c r="D189">
        <v>83.220000999999996</v>
      </c>
      <c r="E189">
        <v>81.970000999999996</v>
      </c>
      <c r="F189">
        <v>82.849997999999999</v>
      </c>
      <c r="G189">
        <v>82.849997999999999</v>
      </c>
      <c r="H189">
        <v>3001400</v>
      </c>
      <c r="I189">
        <f t="shared" si="8"/>
        <v>5.095208055319574E-3</v>
      </c>
    </row>
    <row r="190" spans="2:9" x14ac:dyDescent="0.3">
      <c r="B190" s="3">
        <v>44286</v>
      </c>
      <c r="C190">
        <v>83.349997999999999</v>
      </c>
      <c r="D190">
        <v>84.330001999999993</v>
      </c>
      <c r="E190">
        <v>83.169998000000007</v>
      </c>
      <c r="F190">
        <v>83.639999000000003</v>
      </c>
      <c r="G190">
        <v>83.639999000000003</v>
      </c>
      <c r="H190">
        <v>3567600</v>
      </c>
      <c r="I190">
        <f t="shared" si="8"/>
        <v>9.5353170678411335E-3</v>
      </c>
    </row>
    <row r="191" spans="2:9" x14ac:dyDescent="0.3">
      <c r="B191" s="3">
        <v>44287</v>
      </c>
      <c r="C191">
        <v>83.980002999999996</v>
      </c>
      <c r="D191">
        <v>84.440002000000007</v>
      </c>
      <c r="E191">
        <v>83.120002999999997</v>
      </c>
      <c r="F191">
        <v>83.839995999999999</v>
      </c>
      <c r="G191">
        <v>83.839995999999999</v>
      </c>
      <c r="H191">
        <v>2424100</v>
      </c>
      <c r="I191">
        <f t="shared" si="8"/>
        <v>2.3911645431750447E-3</v>
      </c>
    </row>
    <row r="192" spans="2:9" x14ac:dyDescent="0.3">
      <c r="B192" s="3">
        <v>44291</v>
      </c>
      <c r="C192">
        <v>84.910004000000001</v>
      </c>
      <c r="D192">
        <v>86.239998</v>
      </c>
      <c r="E192">
        <v>84.480002999999996</v>
      </c>
      <c r="F192">
        <v>85.739998</v>
      </c>
      <c r="G192">
        <v>85.739998</v>
      </c>
      <c r="H192">
        <v>2555400</v>
      </c>
      <c r="I192">
        <f t="shared" si="8"/>
        <v>2.2662238676633532E-2</v>
      </c>
    </row>
    <row r="193" spans="2:9" x14ac:dyDescent="0.3">
      <c r="B193" s="3">
        <v>44292</v>
      </c>
      <c r="C193">
        <v>85.199996999999996</v>
      </c>
      <c r="D193">
        <v>86.550003000000004</v>
      </c>
      <c r="E193">
        <v>85.190002000000007</v>
      </c>
      <c r="F193">
        <v>85.410004000000001</v>
      </c>
      <c r="G193">
        <v>85.410004000000001</v>
      </c>
      <c r="H193">
        <v>2324600</v>
      </c>
      <c r="I193">
        <f t="shared" si="8"/>
        <v>-3.8487754571676015E-3</v>
      </c>
    </row>
    <row r="194" spans="2:9" x14ac:dyDescent="0.3">
      <c r="B194" s="3">
        <v>44293</v>
      </c>
      <c r="C194">
        <v>85.440002000000007</v>
      </c>
      <c r="D194">
        <v>85.989998</v>
      </c>
      <c r="E194">
        <v>84.019997000000004</v>
      </c>
      <c r="F194">
        <v>84.120002999999997</v>
      </c>
      <c r="G194">
        <v>84.120002999999997</v>
      </c>
      <c r="H194">
        <v>2549100</v>
      </c>
      <c r="I194">
        <f t="shared" si="8"/>
        <v>-1.5103628844227706E-2</v>
      </c>
    </row>
    <row r="195" spans="2:9" x14ac:dyDescent="0.3">
      <c r="B195" s="3">
        <v>44294</v>
      </c>
      <c r="C195">
        <v>84.879997000000003</v>
      </c>
      <c r="D195">
        <v>85.139999000000003</v>
      </c>
      <c r="E195">
        <v>84.029999000000004</v>
      </c>
      <c r="F195">
        <v>84.160004000000001</v>
      </c>
      <c r="G195">
        <v>84.160004000000001</v>
      </c>
      <c r="H195">
        <v>2461200</v>
      </c>
      <c r="I195">
        <f t="shared" si="8"/>
        <v>4.7552304533326909E-4</v>
      </c>
    </row>
    <row r="196" spans="2:9" x14ac:dyDescent="0.3">
      <c r="B196" s="3">
        <v>44295</v>
      </c>
      <c r="C196">
        <v>84.510002</v>
      </c>
      <c r="D196">
        <v>86</v>
      </c>
      <c r="E196">
        <v>83.800003000000004</v>
      </c>
      <c r="F196">
        <v>85.989998</v>
      </c>
      <c r="G196">
        <v>85.989998</v>
      </c>
      <c r="H196">
        <v>2550800</v>
      </c>
      <c r="I196">
        <f t="shared" si="8"/>
        <v>2.1744224251700358E-2</v>
      </c>
    </row>
    <row r="197" spans="2:9" x14ac:dyDescent="0.3">
      <c r="B197" s="3">
        <v>44298</v>
      </c>
      <c r="C197">
        <v>85.75</v>
      </c>
      <c r="D197">
        <v>86.529999000000004</v>
      </c>
      <c r="E197">
        <v>85.43</v>
      </c>
      <c r="F197">
        <v>85.82</v>
      </c>
      <c r="G197">
        <v>85.82</v>
      </c>
      <c r="H197">
        <v>2600500</v>
      </c>
      <c r="I197">
        <f t="shared" si="8"/>
        <v>-1.9769508542145419E-3</v>
      </c>
    </row>
    <row r="198" spans="2:9" x14ac:dyDescent="0.3">
      <c r="B198" s="3">
        <v>44299</v>
      </c>
      <c r="C198">
        <v>85.540001000000004</v>
      </c>
      <c r="D198">
        <v>86.809997999999993</v>
      </c>
      <c r="E198">
        <v>85.389999000000003</v>
      </c>
      <c r="F198">
        <v>86.440002000000007</v>
      </c>
      <c r="G198">
        <v>86.440002000000007</v>
      </c>
      <c r="H198">
        <v>2042700</v>
      </c>
      <c r="I198">
        <f t="shared" si="8"/>
        <v>7.2244465159638054E-3</v>
      </c>
    </row>
    <row r="199" spans="2:9" x14ac:dyDescent="0.3">
      <c r="B199" s="3">
        <v>44300</v>
      </c>
      <c r="C199">
        <v>86.360000999999997</v>
      </c>
      <c r="D199">
        <v>87.660004000000001</v>
      </c>
      <c r="E199">
        <v>86.139999000000003</v>
      </c>
      <c r="F199">
        <v>86.25</v>
      </c>
      <c r="G199">
        <v>86.25</v>
      </c>
      <c r="H199">
        <v>1963300</v>
      </c>
      <c r="I199">
        <f t="shared" ref="I199:I262" si="9">(G199-G198)/G198</f>
        <v>-2.198079541923274E-3</v>
      </c>
    </row>
    <row r="200" spans="2:9" x14ac:dyDescent="0.3">
      <c r="B200" s="3">
        <v>44301</v>
      </c>
      <c r="C200">
        <v>86.449996999999996</v>
      </c>
      <c r="D200">
        <v>88.400002000000001</v>
      </c>
      <c r="E200">
        <v>86.449996999999996</v>
      </c>
      <c r="F200">
        <v>88</v>
      </c>
      <c r="G200">
        <v>88</v>
      </c>
      <c r="H200">
        <v>1860700</v>
      </c>
      <c r="I200">
        <f t="shared" si="9"/>
        <v>2.0289855072463767E-2</v>
      </c>
    </row>
    <row r="201" spans="2:9" x14ac:dyDescent="0.3">
      <c r="B201" s="3">
        <v>44302</v>
      </c>
      <c r="C201">
        <v>88.57</v>
      </c>
      <c r="D201">
        <v>89.129997000000003</v>
      </c>
      <c r="E201">
        <v>87.660004000000001</v>
      </c>
      <c r="F201">
        <v>89.019997000000004</v>
      </c>
      <c r="G201">
        <v>89.019997000000004</v>
      </c>
      <c r="H201">
        <v>6863400</v>
      </c>
      <c r="I201">
        <f t="shared" si="9"/>
        <v>1.159087500000004E-2</v>
      </c>
    </row>
    <row r="202" spans="2:9" x14ac:dyDescent="0.3">
      <c r="B202" s="3">
        <v>44305</v>
      </c>
      <c r="C202">
        <v>88.370002999999997</v>
      </c>
      <c r="D202">
        <v>89.029999000000004</v>
      </c>
      <c r="E202">
        <v>87.809997999999993</v>
      </c>
      <c r="F202">
        <v>88.559997999999993</v>
      </c>
      <c r="G202">
        <v>88.559997999999993</v>
      </c>
      <c r="H202">
        <v>2671600</v>
      </c>
      <c r="I202">
        <f t="shared" si="9"/>
        <v>-5.1673670579882236E-3</v>
      </c>
    </row>
    <row r="203" spans="2:9" x14ac:dyDescent="0.3">
      <c r="B203" s="3">
        <v>44306</v>
      </c>
      <c r="C203">
        <v>88.760002</v>
      </c>
      <c r="D203">
        <v>91.029999000000004</v>
      </c>
      <c r="E203">
        <v>88.730002999999996</v>
      </c>
      <c r="F203">
        <v>89.629997000000003</v>
      </c>
      <c r="G203">
        <v>89.629997000000003</v>
      </c>
      <c r="H203">
        <v>3943300</v>
      </c>
      <c r="I203">
        <f t="shared" si="9"/>
        <v>1.2082193136454339E-2</v>
      </c>
    </row>
    <row r="204" spans="2:9" x14ac:dyDescent="0.3">
      <c r="B204" s="3">
        <v>44307</v>
      </c>
      <c r="C204">
        <v>90.309997999999993</v>
      </c>
      <c r="D204">
        <v>95.959998999999996</v>
      </c>
      <c r="E204">
        <v>90.309997999999993</v>
      </c>
      <c r="F204">
        <v>95.239998</v>
      </c>
      <c r="G204">
        <v>95.239998</v>
      </c>
      <c r="H204">
        <v>7071200</v>
      </c>
      <c r="I204">
        <f t="shared" si="9"/>
        <v>6.2590663703804394E-2</v>
      </c>
    </row>
    <row r="205" spans="2:9" x14ac:dyDescent="0.3">
      <c r="B205" s="3">
        <v>44308</v>
      </c>
      <c r="C205">
        <v>94.400002000000001</v>
      </c>
      <c r="D205">
        <v>96.389999000000003</v>
      </c>
      <c r="E205">
        <v>93.760002</v>
      </c>
      <c r="F205">
        <v>96.150002000000001</v>
      </c>
      <c r="G205">
        <v>96.150002000000001</v>
      </c>
      <c r="H205">
        <v>4050400</v>
      </c>
      <c r="I205">
        <f t="shared" si="9"/>
        <v>9.5548511036298075E-3</v>
      </c>
    </row>
    <row r="206" spans="2:9" x14ac:dyDescent="0.3">
      <c r="B206" s="3">
        <v>44309</v>
      </c>
      <c r="C206">
        <v>96.269997000000004</v>
      </c>
      <c r="D206">
        <v>98.110000999999997</v>
      </c>
      <c r="E206">
        <v>96.050003000000004</v>
      </c>
      <c r="F206">
        <v>97.449996999999996</v>
      </c>
      <c r="G206">
        <v>97.449996999999996</v>
      </c>
      <c r="H206">
        <v>2422800</v>
      </c>
      <c r="I206">
        <f t="shared" si="9"/>
        <v>1.3520488538315325E-2</v>
      </c>
    </row>
    <row r="207" spans="2:9" x14ac:dyDescent="0.3">
      <c r="B207" s="3">
        <v>44312</v>
      </c>
      <c r="C207">
        <v>97.279999000000004</v>
      </c>
      <c r="D207">
        <v>97.550003000000004</v>
      </c>
      <c r="E207">
        <v>95.510002</v>
      </c>
      <c r="F207">
        <v>96.029999000000004</v>
      </c>
      <c r="G207">
        <v>96.029999000000004</v>
      </c>
      <c r="H207">
        <v>2954500</v>
      </c>
      <c r="I207">
        <f t="shared" si="9"/>
        <v>-1.4571555091992384E-2</v>
      </c>
    </row>
    <row r="208" spans="2:9" x14ac:dyDescent="0.3">
      <c r="B208" s="3">
        <v>44313</v>
      </c>
      <c r="C208">
        <v>95.93</v>
      </c>
      <c r="D208">
        <v>96.620002999999997</v>
      </c>
      <c r="E208">
        <v>95.660004000000001</v>
      </c>
      <c r="F208">
        <v>96.150002000000001</v>
      </c>
      <c r="G208">
        <v>96.150002000000001</v>
      </c>
      <c r="H208">
        <v>2094900</v>
      </c>
      <c r="I208">
        <f t="shared" si="9"/>
        <v>1.2496407502825962E-3</v>
      </c>
    </row>
    <row r="209" spans="2:9" x14ac:dyDescent="0.3">
      <c r="B209" s="3">
        <v>44314</v>
      </c>
      <c r="C209">
        <v>96.330001999999993</v>
      </c>
      <c r="D209">
        <v>97.010002</v>
      </c>
      <c r="E209">
        <v>95.860000999999997</v>
      </c>
      <c r="F209">
        <v>96.779999000000004</v>
      </c>
      <c r="G209">
        <v>96.779999000000004</v>
      </c>
      <c r="H209">
        <v>2405400</v>
      </c>
      <c r="I209">
        <f t="shared" si="9"/>
        <v>6.5522307529437499E-3</v>
      </c>
    </row>
    <row r="210" spans="2:9" x14ac:dyDescent="0.3">
      <c r="B210" s="3">
        <v>44315</v>
      </c>
      <c r="C210">
        <v>97.300003000000004</v>
      </c>
      <c r="D210">
        <v>97.389999000000003</v>
      </c>
      <c r="E210">
        <v>96.010002</v>
      </c>
      <c r="F210">
        <v>96.260002</v>
      </c>
      <c r="G210">
        <v>96.260002</v>
      </c>
      <c r="H210">
        <v>2347200</v>
      </c>
      <c r="I210">
        <f t="shared" si="9"/>
        <v>-5.3729800100535607E-3</v>
      </c>
    </row>
    <row r="211" spans="2:9" x14ac:dyDescent="0.3">
      <c r="B211" s="3">
        <v>44316</v>
      </c>
      <c r="C211">
        <v>95.919998000000007</v>
      </c>
      <c r="D211">
        <v>96.419998000000007</v>
      </c>
      <c r="E211">
        <v>94.849997999999999</v>
      </c>
      <c r="F211">
        <v>95.519997000000004</v>
      </c>
      <c r="G211">
        <v>95.519997000000004</v>
      </c>
      <c r="H211">
        <v>2252700</v>
      </c>
      <c r="I211">
        <f t="shared" si="9"/>
        <v>-7.6875647685940886E-3</v>
      </c>
    </row>
    <row r="212" spans="2:9" x14ac:dyDescent="0.3">
      <c r="B212" s="3">
        <v>44319</v>
      </c>
      <c r="C212">
        <v>95.849997999999999</v>
      </c>
      <c r="D212">
        <v>95.989998</v>
      </c>
      <c r="E212">
        <v>94.199996999999996</v>
      </c>
      <c r="F212">
        <v>94.629997000000003</v>
      </c>
      <c r="G212">
        <v>94.629997000000003</v>
      </c>
      <c r="H212">
        <v>2327200</v>
      </c>
      <c r="I212">
        <f t="shared" si="9"/>
        <v>-9.3174207281434534E-3</v>
      </c>
    </row>
    <row r="213" spans="2:9" x14ac:dyDescent="0.3">
      <c r="B213" s="3">
        <v>44320</v>
      </c>
      <c r="C213">
        <v>94.129997000000003</v>
      </c>
      <c r="D213">
        <v>94.129997000000003</v>
      </c>
      <c r="E213">
        <v>92.480002999999996</v>
      </c>
      <c r="F213">
        <v>93.309997999999993</v>
      </c>
      <c r="G213">
        <v>93.309997999999993</v>
      </c>
      <c r="H213">
        <v>2511400</v>
      </c>
      <c r="I213">
        <f t="shared" si="9"/>
        <v>-1.394905465335701E-2</v>
      </c>
    </row>
    <row r="214" spans="2:9" x14ac:dyDescent="0.3">
      <c r="B214" s="3">
        <v>44321</v>
      </c>
      <c r="C214">
        <v>93.610000999999997</v>
      </c>
      <c r="D214">
        <v>93.720000999999996</v>
      </c>
      <c r="E214">
        <v>90.239998</v>
      </c>
      <c r="F214">
        <v>91.769997000000004</v>
      </c>
      <c r="G214">
        <v>91.769997000000004</v>
      </c>
      <c r="H214">
        <v>2455900</v>
      </c>
      <c r="I214">
        <f t="shared" si="9"/>
        <v>-1.650413710222124E-2</v>
      </c>
    </row>
    <row r="215" spans="2:9" x14ac:dyDescent="0.3">
      <c r="B215" s="3">
        <v>44322</v>
      </c>
      <c r="C215">
        <v>91.480002999999996</v>
      </c>
      <c r="D215">
        <v>91.870002999999997</v>
      </c>
      <c r="E215">
        <v>90.360000999999997</v>
      </c>
      <c r="F215">
        <v>91.75</v>
      </c>
      <c r="G215">
        <v>91.75</v>
      </c>
      <c r="H215">
        <v>2402800</v>
      </c>
      <c r="I215">
        <f t="shared" si="9"/>
        <v>-2.1790346141128885E-4</v>
      </c>
    </row>
    <row r="216" spans="2:9" x14ac:dyDescent="0.3">
      <c r="B216" s="3">
        <v>44323</v>
      </c>
      <c r="C216">
        <v>91.870002999999997</v>
      </c>
      <c r="D216">
        <v>93.669998000000007</v>
      </c>
      <c r="E216">
        <v>91.800003000000004</v>
      </c>
      <c r="F216">
        <v>92.169998000000007</v>
      </c>
      <c r="G216">
        <v>92.169998000000007</v>
      </c>
      <c r="H216">
        <v>2255100</v>
      </c>
      <c r="I216">
        <f t="shared" si="9"/>
        <v>4.57763487738427E-3</v>
      </c>
    </row>
    <row r="217" spans="2:9" x14ac:dyDescent="0.3">
      <c r="B217" s="3">
        <v>44326</v>
      </c>
      <c r="C217">
        <v>92.220000999999996</v>
      </c>
      <c r="D217">
        <v>92.400002000000001</v>
      </c>
      <c r="E217">
        <v>90.25</v>
      </c>
      <c r="F217">
        <v>90.400002000000001</v>
      </c>
      <c r="G217">
        <v>90.400002000000001</v>
      </c>
      <c r="H217">
        <v>2356500</v>
      </c>
      <c r="I217">
        <f t="shared" si="9"/>
        <v>-1.9203602456408928E-2</v>
      </c>
    </row>
    <row r="218" spans="2:9" x14ac:dyDescent="0.3">
      <c r="B218" s="3">
        <v>44327</v>
      </c>
      <c r="C218">
        <v>89.410004000000001</v>
      </c>
      <c r="D218">
        <v>90.199996999999996</v>
      </c>
      <c r="E218">
        <v>88.660004000000001</v>
      </c>
      <c r="F218">
        <v>89.510002</v>
      </c>
      <c r="G218">
        <v>89.510002</v>
      </c>
      <c r="H218">
        <v>2175300</v>
      </c>
      <c r="I218">
        <f t="shared" si="9"/>
        <v>-9.8451325255501723E-3</v>
      </c>
    </row>
    <row r="219" spans="2:9" x14ac:dyDescent="0.3">
      <c r="B219" s="3">
        <v>44328</v>
      </c>
      <c r="C219">
        <v>88.559997999999993</v>
      </c>
      <c r="D219">
        <v>88.879997000000003</v>
      </c>
      <c r="E219">
        <v>87.32</v>
      </c>
      <c r="F219">
        <v>87.470000999999996</v>
      </c>
      <c r="G219">
        <v>87.470000999999996</v>
      </c>
      <c r="H219">
        <v>1905800</v>
      </c>
      <c r="I219">
        <f t="shared" si="9"/>
        <v>-2.2790760299614379E-2</v>
      </c>
    </row>
    <row r="220" spans="2:9" x14ac:dyDescent="0.3">
      <c r="B220" s="3">
        <v>44329</v>
      </c>
      <c r="C220">
        <v>88.080001999999993</v>
      </c>
      <c r="D220">
        <v>88.620002999999997</v>
      </c>
      <c r="E220">
        <v>87.360000999999997</v>
      </c>
      <c r="F220">
        <v>87.940002000000007</v>
      </c>
      <c r="G220">
        <v>87.940002000000007</v>
      </c>
      <c r="H220">
        <v>1094000</v>
      </c>
      <c r="I220">
        <f t="shared" si="9"/>
        <v>5.3732822067763617E-3</v>
      </c>
    </row>
    <row r="221" spans="2:9" x14ac:dyDescent="0.3">
      <c r="B221" s="3">
        <v>44330</v>
      </c>
      <c r="C221">
        <v>88.300003000000004</v>
      </c>
      <c r="D221">
        <v>89.940002000000007</v>
      </c>
      <c r="E221">
        <v>88.010002</v>
      </c>
      <c r="F221">
        <v>89.489998</v>
      </c>
      <c r="G221">
        <v>89.489998</v>
      </c>
      <c r="H221">
        <v>2074700</v>
      </c>
      <c r="I221">
        <f t="shared" si="9"/>
        <v>1.7625607968487344E-2</v>
      </c>
    </row>
    <row r="222" spans="2:9" x14ac:dyDescent="0.3">
      <c r="B222" s="3">
        <v>44333</v>
      </c>
      <c r="C222">
        <v>89.230002999999996</v>
      </c>
      <c r="D222">
        <v>90.209998999999996</v>
      </c>
      <c r="E222">
        <v>89.120002999999997</v>
      </c>
      <c r="F222">
        <v>89.849997999999999</v>
      </c>
      <c r="G222">
        <v>89.849997999999999</v>
      </c>
      <c r="H222">
        <v>3412800</v>
      </c>
      <c r="I222">
        <f t="shared" si="9"/>
        <v>4.0227959330158825E-3</v>
      </c>
    </row>
    <row r="223" spans="2:9" x14ac:dyDescent="0.3">
      <c r="B223" s="3">
        <v>44334</v>
      </c>
      <c r="C223">
        <v>90.25</v>
      </c>
      <c r="D223">
        <v>91.059997999999993</v>
      </c>
      <c r="E223">
        <v>89.610000999999997</v>
      </c>
      <c r="F223">
        <v>90.07</v>
      </c>
      <c r="G223">
        <v>90.07</v>
      </c>
      <c r="H223">
        <v>1552200</v>
      </c>
      <c r="I223">
        <f t="shared" si="9"/>
        <v>2.4485476338017708E-3</v>
      </c>
    </row>
    <row r="224" spans="2:9" x14ac:dyDescent="0.3">
      <c r="B224" s="3">
        <v>44335</v>
      </c>
      <c r="C224">
        <v>89.18</v>
      </c>
      <c r="D224">
        <v>90.699996999999996</v>
      </c>
      <c r="E224">
        <v>88.959998999999996</v>
      </c>
      <c r="F224">
        <v>90.68</v>
      </c>
      <c r="G224">
        <v>90.68</v>
      </c>
      <c r="H224">
        <v>1974200</v>
      </c>
      <c r="I224">
        <f t="shared" si="9"/>
        <v>6.7725102697903149E-3</v>
      </c>
    </row>
    <row r="225" spans="2:9" x14ac:dyDescent="0.3">
      <c r="B225" s="3">
        <v>44336</v>
      </c>
      <c r="C225">
        <v>91.019997000000004</v>
      </c>
      <c r="D225">
        <v>93.269997000000004</v>
      </c>
      <c r="E225">
        <v>91.019997000000004</v>
      </c>
      <c r="F225">
        <v>92.800003000000004</v>
      </c>
      <c r="G225">
        <v>92.800003000000004</v>
      </c>
      <c r="H225">
        <v>2203900</v>
      </c>
      <c r="I225">
        <f t="shared" si="9"/>
        <v>2.3378947948831018E-2</v>
      </c>
    </row>
    <row r="226" spans="2:9" x14ac:dyDescent="0.3">
      <c r="B226" s="3">
        <v>44337</v>
      </c>
      <c r="C226">
        <v>93.129997000000003</v>
      </c>
      <c r="D226">
        <v>94.629997000000003</v>
      </c>
      <c r="E226">
        <v>93.129997000000003</v>
      </c>
      <c r="F226">
        <v>94.199996999999996</v>
      </c>
      <c r="G226">
        <v>94.199996999999996</v>
      </c>
      <c r="H226">
        <v>3472800</v>
      </c>
      <c r="I226">
        <f t="shared" si="9"/>
        <v>1.5086141753680679E-2</v>
      </c>
    </row>
    <row r="227" spans="2:9" x14ac:dyDescent="0.3">
      <c r="B227" s="3">
        <v>44340</v>
      </c>
      <c r="C227">
        <v>95</v>
      </c>
      <c r="D227">
        <v>96.470000999999996</v>
      </c>
      <c r="E227">
        <v>94.919998000000007</v>
      </c>
      <c r="F227">
        <v>95.449996999999996</v>
      </c>
      <c r="G227">
        <v>95.449996999999996</v>
      </c>
      <c r="H227">
        <v>3147100</v>
      </c>
      <c r="I227">
        <f t="shared" si="9"/>
        <v>1.3269639488417395E-2</v>
      </c>
    </row>
    <row r="228" spans="2:9" x14ac:dyDescent="0.3">
      <c r="B228" s="3">
        <v>44341</v>
      </c>
      <c r="C228">
        <v>95.959998999999996</v>
      </c>
      <c r="D228">
        <v>96.760002</v>
      </c>
      <c r="E228">
        <v>95.809997999999993</v>
      </c>
      <c r="F228">
        <v>96.68</v>
      </c>
      <c r="G228">
        <v>96.68</v>
      </c>
      <c r="H228">
        <v>2230700</v>
      </c>
      <c r="I228">
        <f t="shared" si="9"/>
        <v>1.2886359755464536E-2</v>
      </c>
    </row>
    <row r="229" spans="2:9" x14ac:dyDescent="0.3">
      <c r="B229" s="3">
        <v>44342</v>
      </c>
      <c r="C229">
        <v>97.279999000000004</v>
      </c>
      <c r="D229">
        <v>97.279999000000004</v>
      </c>
      <c r="E229">
        <v>94.68</v>
      </c>
      <c r="F229">
        <v>96</v>
      </c>
      <c r="G229">
        <v>96</v>
      </c>
      <c r="H229">
        <v>2308400</v>
      </c>
      <c r="I229">
        <f t="shared" si="9"/>
        <v>-7.0335126189491805E-3</v>
      </c>
    </row>
    <row r="230" spans="2:9" x14ac:dyDescent="0.3">
      <c r="B230" s="3">
        <v>44343</v>
      </c>
      <c r="C230">
        <v>95.800003000000004</v>
      </c>
      <c r="D230">
        <v>95.82</v>
      </c>
      <c r="E230">
        <v>94.309997999999993</v>
      </c>
      <c r="F230">
        <v>94.349997999999999</v>
      </c>
      <c r="G230">
        <v>94.349997999999999</v>
      </c>
      <c r="H230">
        <v>3799600</v>
      </c>
      <c r="I230">
        <f t="shared" si="9"/>
        <v>-1.7187520833333341E-2</v>
      </c>
    </row>
    <row r="231" spans="2:9" x14ac:dyDescent="0.3">
      <c r="B231" s="3">
        <v>44344</v>
      </c>
      <c r="C231">
        <v>95.290001000000004</v>
      </c>
      <c r="D231">
        <v>96.440002000000007</v>
      </c>
      <c r="E231">
        <v>95.269997000000004</v>
      </c>
      <c r="F231">
        <v>95.900002000000001</v>
      </c>
      <c r="G231">
        <v>95.900002000000001</v>
      </c>
      <c r="H231">
        <v>2097800</v>
      </c>
      <c r="I231">
        <f t="shared" si="9"/>
        <v>1.6428235642357951E-2</v>
      </c>
    </row>
    <row r="232" spans="2:9" x14ac:dyDescent="0.3">
      <c r="B232" s="3">
        <v>44348</v>
      </c>
      <c r="C232">
        <v>96.690002000000007</v>
      </c>
      <c r="D232">
        <v>96.699996999999996</v>
      </c>
      <c r="E232">
        <v>94.75</v>
      </c>
      <c r="F232">
        <v>95.120002999999997</v>
      </c>
      <c r="G232">
        <v>95.120002999999997</v>
      </c>
      <c r="H232">
        <v>2010600</v>
      </c>
      <c r="I232">
        <f t="shared" si="9"/>
        <v>-8.1334617698965595E-3</v>
      </c>
    </row>
    <row r="233" spans="2:9" x14ac:dyDescent="0.3">
      <c r="B233" s="3">
        <v>44349</v>
      </c>
      <c r="C233">
        <v>94.889999000000003</v>
      </c>
      <c r="D233">
        <v>95.129997000000003</v>
      </c>
      <c r="E233">
        <v>93.080001999999993</v>
      </c>
      <c r="F233">
        <v>93.379997000000003</v>
      </c>
      <c r="G233">
        <v>93.379997000000003</v>
      </c>
      <c r="H233">
        <v>1791800</v>
      </c>
      <c r="I233">
        <f t="shared" si="9"/>
        <v>-1.8292745428109311E-2</v>
      </c>
    </row>
    <row r="234" spans="2:9" x14ac:dyDescent="0.3">
      <c r="B234" s="3">
        <v>44350</v>
      </c>
      <c r="C234">
        <v>92.800003000000004</v>
      </c>
      <c r="D234">
        <v>94.589995999999999</v>
      </c>
      <c r="E234">
        <v>92.589995999999999</v>
      </c>
      <c r="F234">
        <v>94.339995999999999</v>
      </c>
      <c r="G234">
        <v>94.339995999999999</v>
      </c>
      <c r="H234">
        <v>2212200</v>
      </c>
      <c r="I234">
        <f t="shared" si="9"/>
        <v>1.0280563620065186E-2</v>
      </c>
    </row>
    <row r="235" spans="2:9" x14ac:dyDescent="0.3">
      <c r="B235" s="3">
        <v>44351</v>
      </c>
      <c r="C235">
        <v>95.150002000000001</v>
      </c>
      <c r="D235">
        <v>96.349997999999999</v>
      </c>
      <c r="E235">
        <v>95.07</v>
      </c>
      <c r="F235">
        <v>95.870002999999997</v>
      </c>
      <c r="G235">
        <v>95.870002999999997</v>
      </c>
      <c r="H235">
        <v>2133000</v>
      </c>
      <c r="I235">
        <f t="shared" si="9"/>
        <v>1.6218010015603537E-2</v>
      </c>
    </row>
    <row r="236" spans="2:9" x14ac:dyDescent="0.3">
      <c r="B236" s="3">
        <v>44354</v>
      </c>
      <c r="C236">
        <v>95.839995999999999</v>
      </c>
      <c r="D236">
        <v>98.040001000000004</v>
      </c>
      <c r="E236">
        <v>95.760002</v>
      </c>
      <c r="F236">
        <v>96.339995999999999</v>
      </c>
      <c r="G236">
        <v>96.339995999999999</v>
      </c>
      <c r="H236">
        <v>1944600</v>
      </c>
      <c r="I236">
        <f t="shared" si="9"/>
        <v>4.9023989286826487E-3</v>
      </c>
    </row>
    <row r="237" spans="2:9" x14ac:dyDescent="0.3">
      <c r="B237" s="3">
        <v>44355</v>
      </c>
      <c r="C237">
        <v>96.980002999999996</v>
      </c>
      <c r="D237">
        <v>97.400002000000001</v>
      </c>
      <c r="E237">
        <v>95.879997000000003</v>
      </c>
      <c r="F237">
        <v>96.980002999999996</v>
      </c>
      <c r="G237">
        <v>96.980002999999996</v>
      </c>
      <c r="H237">
        <v>1898300</v>
      </c>
      <c r="I237">
        <f t="shared" si="9"/>
        <v>6.6432118182773968E-3</v>
      </c>
    </row>
    <row r="238" spans="2:9" x14ac:dyDescent="0.3">
      <c r="B238" s="3">
        <v>44356</v>
      </c>
      <c r="C238">
        <v>97.449996999999996</v>
      </c>
      <c r="D238">
        <v>97.830001999999993</v>
      </c>
      <c r="E238">
        <v>96.82</v>
      </c>
      <c r="F238">
        <v>97.080001999999993</v>
      </c>
      <c r="G238">
        <v>97.080001999999993</v>
      </c>
      <c r="H238">
        <v>1889500</v>
      </c>
      <c r="I238">
        <f t="shared" si="9"/>
        <v>1.0311300980264647E-3</v>
      </c>
    </row>
    <row r="239" spans="2:9" x14ac:dyDescent="0.3">
      <c r="B239" s="3">
        <v>44357</v>
      </c>
      <c r="C239">
        <v>97.239998</v>
      </c>
      <c r="D239">
        <v>99.949996999999996</v>
      </c>
      <c r="E239">
        <v>97.160004000000001</v>
      </c>
      <c r="F239">
        <v>99.940002000000007</v>
      </c>
      <c r="G239">
        <v>99.940002000000007</v>
      </c>
      <c r="H239">
        <v>2938300</v>
      </c>
      <c r="I239">
        <f t="shared" si="9"/>
        <v>2.9460238371235445E-2</v>
      </c>
    </row>
    <row r="240" spans="2:9" x14ac:dyDescent="0.3">
      <c r="B240" s="3">
        <v>44358</v>
      </c>
      <c r="C240">
        <v>99.550003000000004</v>
      </c>
      <c r="D240">
        <v>100.099998</v>
      </c>
      <c r="E240">
        <v>99.059997999999993</v>
      </c>
      <c r="F240">
        <v>99.989998</v>
      </c>
      <c r="G240">
        <v>99.989998</v>
      </c>
      <c r="H240">
        <v>2843700</v>
      </c>
      <c r="I240">
        <f t="shared" si="9"/>
        <v>5.0026014608237697E-4</v>
      </c>
    </row>
    <row r="241" spans="2:9" x14ac:dyDescent="0.3">
      <c r="B241" s="3">
        <v>44361</v>
      </c>
      <c r="C241">
        <v>99.910004000000001</v>
      </c>
      <c r="D241">
        <v>101</v>
      </c>
      <c r="E241">
        <v>99.580001999999993</v>
      </c>
      <c r="F241">
        <v>100.959999</v>
      </c>
      <c r="G241">
        <v>100.959999</v>
      </c>
      <c r="H241">
        <v>2024300</v>
      </c>
      <c r="I241">
        <f t="shared" si="9"/>
        <v>9.7009802920487737E-3</v>
      </c>
    </row>
    <row r="242" spans="2:9" x14ac:dyDescent="0.3">
      <c r="B242" s="3">
        <v>44362</v>
      </c>
      <c r="C242">
        <v>101.16999800000001</v>
      </c>
      <c r="D242">
        <v>101.279999</v>
      </c>
      <c r="E242">
        <v>99.910004000000001</v>
      </c>
      <c r="F242">
        <v>100.279999</v>
      </c>
      <c r="G242">
        <v>100.279999</v>
      </c>
      <c r="H242">
        <v>1503100</v>
      </c>
      <c r="I242">
        <f t="shared" si="9"/>
        <v>-6.7353407957144755E-3</v>
      </c>
    </row>
    <row r="243" spans="2:9" x14ac:dyDescent="0.3">
      <c r="B243" s="3">
        <v>44363</v>
      </c>
      <c r="C243">
        <v>100.739998</v>
      </c>
      <c r="D243">
        <v>101.209999</v>
      </c>
      <c r="E243">
        <v>99.529999000000004</v>
      </c>
      <c r="F243">
        <v>100.139999</v>
      </c>
      <c r="G243">
        <v>100.139999</v>
      </c>
      <c r="H243">
        <v>2511000</v>
      </c>
      <c r="I243">
        <f t="shared" si="9"/>
        <v>-1.3960909592749453E-3</v>
      </c>
    </row>
    <row r="244" spans="2:9" x14ac:dyDescent="0.3">
      <c r="B244" s="3">
        <v>44364</v>
      </c>
      <c r="C244">
        <v>99.980002999999996</v>
      </c>
      <c r="D244">
        <v>101.209999</v>
      </c>
      <c r="E244">
        <v>99.760002</v>
      </c>
      <c r="F244">
        <v>100.989998</v>
      </c>
      <c r="G244">
        <v>100.989998</v>
      </c>
      <c r="H244">
        <v>2538700</v>
      </c>
      <c r="I244">
        <f t="shared" si="9"/>
        <v>8.4881067354514034E-3</v>
      </c>
    </row>
    <row r="245" spans="2:9" x14ac:dyDescent="0.3">
      <c r="B245" s="3">
        <v>44365</v>
      </c>
      <c r="C245">
        <v>100.120003</v>
      </c>
      <c r="D245">
        <v>101.529999</v>
      </c>
      <c r="E245">
        <v>100.07</v>
      </c>
      <c r="F245">
        <v>100.709999</v>
      </c>
      <c r="G245">
        <v>100.709999</v>
      </c>
      <c r="H245">
        <v>3222600</v>
      </c>
      <c r="I245">
        <f t="shared" si="9"/>
        <v>-2.7725418907326217E-3</v>
      </c>
    </row>
    <row r="246" spans="2:9" x14ac:dyDescent="0.3">
      <c r="B246" s="3">
        <v>44368</v>
      </c>
      <c r="C246">
        <v>101.459999</v>
      </c>
      <c r="D246">
        <v>103.279999</v>
      </c>
      <c r="E246">
        <v>100.43</v>
      </c>
      <c r="F246">
        <v>102.839996</v>
      </c>
      <c r="G246">
        <v>102.839996</v>
      </c>
      <c r="H246">
        <v>2059300</v>
      </c>
      <c r="I246">
        <f t="shared" si="9"/>
        <v>2.1149806584746397E-2</v>
      </c>
    </row>
    <row r="247" spans="2:9" x14ac:dyDescent="0.3">
      <c r="B247" s="3">
        <v>44369</v>
      </c>
      <c r="C247">
        <v>102.879997</v>
      </c>
      <c r="D247">
        <v>104.739998</v>
      </c>
      <c r="E247">
        <v>102.660004</v>
      </c>
      <c r="F247">
        <v>104.519997</v>
      </c>
      <c r="G247">
        <v>104.519997</v>
      </c>
      <c r="H247">
        <v>2542200</v>
      </c>
      <c r="I247">
        <f t="shared" si="9"/>
        <v>1.6336066368575163E-2</v>
      </c>
    </row>
    <row r="248" spans="2:9" x14ac:dyDescent="0.3">
      <c r="B248" s="3">
        <v>44370</v>
      </c>
      <c r="C248">
        <v>104.25</v>
      </c>
      <c r="D248">
        <v>105.099998</v>
      </c>
      <c r="E248">
        <v>104.25</v>
      </c>
      <c r="F248">
        <v>104.760002</v>
      </c>
      <c r="G248">
        <v>104.760002</v>
      </c>
      <c r="H248">
        <v>2068800</v>
      </c>
      <c r="I248">
        <f t="shared" si="9"/>
        <v>2.2962591550782043E-3</v>
      </c>
    </row>
    <row r="249" spans="2:9" x14ac:dyDescent="0.3">
      <c r="B249" s="3">
        <v>44371</v>
      </c>
      <c r="C249">
        <v>105.529999</v>
      </c>
      <c r="D249">
        <v>105.58000199999999</v>
      </c>
      <c r="E249">
        <v>103.720001</v>
      </c>
      <c r="F249">
        <v>103.800003</v>
      </c>
      <c r="G249">
        <v>103.800003</v>
      </c>
      <c r="H249">
        <v>1849100</v>
      </c>
      <c r="I249">
        <f t="shared" si="9"/>
        <v>-9.1637932576595048E-3</v>
      </c>
    </row>
    <row r="250" spans="2:9" x14ac:dyDescent="0.3">
      <c r="B250" s="3">
        <v>44372</v>
      </c>
      <c r="C250">
        <v>104.110001</v>
      </c>
      <c r="D250">
        <v>104.730003</v>
      </c>
      <c r="E250">
        <v>103.19000200000001</v>
      </c>
      <c r="F250">
        <v>103.57</v>
      </c>
      <c r="G250">
        <v>103.57</v>
      </c>
      <c r="H250">
        <v>2947600</v>
      </c>
      <c r="I250">
        <f t="shared" si="9"/>
        <v>-2.2158284523364669E-3</v>
      </c>
    </row>
    <row r="251" spans="2:9" x14ac:dyDescent="0.3">
      <c r="B251" s="3">
        <v>44375</v>
      </c>
      <c r="C251">
        <v>103.639999</v>
      </c>
      <c r="D251">
        <v>104</v>
      </c>
      <c r="E251">
        <v>101.739998</v>
      </c>
      <c r="F251">
        <v>102.58000199999999</v>
      </c>
      <c r="G251">
        <v>102.58000199999999</v>
      </c>
      <c r="H251">
        <v>4900500</v>
      </c>
      <c r="I251">
        <f t="shared" si="9"/>
        <v>-9.5587332239065372E-3</v>
      </c>
    </row>
    <row r="252" spans="2:9" x14ac:dyDescent="0.3">
      <c r="B252" s="3">
        <v>44376</v>
      </c>
      <c r="C252">
        <v>102.57</v>
      </c>
      <c r="D252">
        <v>103.790001</v>
      </c>
      <c r="E252">
        <v>102.19000200000001</v>
      </c>
      <c r="F252">
        <v>103.589996</v>
      </c>
      <c r="G252">
        <v>103.589996</v>
      </c>
      <c r="H252">
        <v>1989400</v>
      </c>
      <c r="I252">
        <f t="shared" si="9"/>
        <v>9.8459151911500856E-3</v>
      </c>
    </row>
    <row r="253" spans="2:9" x14ac:dyDescent="0.3">
      <c r="B253" s="3">
        <v>44377</v>
      </c>
      <c r="C253">
        <v>103.959999</v>
      </c>
      <c r="D253">
        <v>104.639999</v>
      </c>
      <c r="E253">
        <v>103.239998</v>
      </c>
      <c r="F253">
        <v>103.57</v>
      </c>
      <c r="G253">
        <v>103.57</v>
      </c>
      <c r="H253">
        <v>2517300</v>
      </c>
      <c r="I253">
        <f t="shared" si="9"/>
        <v>-1.9303022272542728E-4</v>
      </c>
    </row>
    <row r="254" spans="2:9" x14ac:dyDescent="0.3">
      <c r="B254" s="3">
        <v>44378</v>
      </c>
      <c r="C254">
        <v>103.599998</v>
      </c>
      <c r="D254">
        <v>105</v>
      </c>
      <c r="E254">
        <v>103.529999</v>
      </c>
      <c r="F254">
        <v>104.80999799999999</v>
      </c>
      <c r="G254">
        <v>104.80999799999999</v>
      </c>
      <c r="H254">
        <v>2661700</v>
      </c>
      <c r="I254">
        <f t="shared" si="9"/>
        <v>1.1972559621512021E-2</v>
      </c>
    </row>
    <row r="255" spans="2:9" x14ac:dyDescent="0.3">
      <c r="B255" s="3">
        <v>44379</v>
      </c>
      <c r="C255">
        <v>105.300003</v>
      </c>
      <c r="D255">
        <v>106.730003</v>
      </c>
      <c r="E255">
        <v>105.05999799999999</v>
      </c>
      <c r="F255">
        <v>106.589996</v>
      </c>
      <c r="G255">
        <v>106.589996</v>
      </c>
      <c r="H255">
        <v>1838100</v>
      </c>
      <c r="I255">
        <f t="shared" si="9"/>
        <v>1.6983093540370132E-2</v>
      </c>
    </row>
    <row r="256" spans="2:9" x14ac:dyDescent="0.3">
      <c r="B256" s="3">
        <v>44383</v>
      </c>
      <c r="C256">
        <v>106.58000199999999</v>
      </c>
      <c r="D256">
        <v>106.58000199999999</v>
      </c>
      <c r="E256">
        <v>105.07</v>
      </c>
      <c r="F256">
        <v>106.459999</v>
      </c>
      <c r="G256">
        <v>106.459999</v>
      </c>
      <c r="H256">
        <v>2205000</v>
      </c>
      <c r="I256">
        <f t="shared" si="9"/>
        <v>-1.219598507161995E-3</v>
      </c>
    </row>
    <row r="257" spans="2:9" x14ac:dyDescent="0.3">
      <c r="B257" s="3">
        <v>44384</v>
      </c>
      <c r="C257">
        <v>106.889999</v>
      </c>
      <c r="D257">
        <v>108.07</v>
      </c>
      <c r="E257">
        <v>105.970001</v>
      </c>
      <c r="F257">
        <v>107.879997</v>
      </c>
      <c r="G257">
        <v>107.879997</v>
      </c>
      <c r="H257">
        <v>2495500</v>
      </c>
      <c r="I257">
        <f t="shared" si="9"/>
        <v>1.3338324378530258E-2</v>
      </c>
    </row>
    <row r="258" spans="2:9" x14ac:dyDescent="0.3">
      <c r="B258" s="3">
        <v>44385</v>
      </c>
      <c r="C258">
        <v>106.720001</v>
      </c>
      <c r="D258">
        <v>108.290001</v>
      </c>
      <c r="E258">
        <v>106.110001</v>
      </c>
      <c r="F258">
        <v>108.19000200000001</v>
      </c>
      <c r="G258">
        <v>108.19000200000001</v>
      </c>
      <c r="H258">
        <v>1805500</v>
      </c>
      <c r="I258">
        <f t="shared" si="9"/>
        <v>2.8736096460959658E-3</v>
      </c>
    </row>
    <row r="259" spans="2:9" x14ac:dyDescent="0.3">
      <c r="B259" s="3">
        <v>44386</v>
      </c>
      <c r="C259">
        <v>108.410004</v>
      </c>
      <c r="D259">
        <v>109.010002</v>
      </c>
      <c r="E259">
        <v>107.099998</v>
      </c>
      <c r="F259">
        <v>107.510002</v>
      </c>
      <c r="G259">
        <v>107.510002</v>
      </c>
      <c r="H259">
        <v>1567300</v>
      </c>
      <c r="I259">
        <f t="shared" si="9"/>
        <v>-6.2852388153205397E-3</v>
      </c>
    </row>
    <row r="260" spans="2:9" x14ac:dyDescent="0.3">
      <c r="B260" s="3">
        <v>44389</v>
      </c>
      <c r="C260">
        <v>107.480003</v>
      </c>
      <c r="D260">
        <v>107.699997</v>
      </c>
      <c r="E260">
        <v>106.209999</v>
      </c>
      <c r="F260">
        <v>106.839996</v>
      </c>
      <c r="G260">
        <v>106.839996</v>
      </c>
      <c r="H260">
        <v>2420100</v>
      </c>
      <c r="I260">
        <f t="shared" si="9"/>
        <v>-6.2320341134399831E-3</v>
      </c>
    </row>
    <row r="261" spans="2:9" x14ac:dyDescent="0.3">
      <c r="B261" s="3">
        <v>44390</v>
      </c>
      <c r="C261">
        <v>107.010002</v>
      </c>
      <c r="D261">
        <v>107.040001</v>
      </c>
      <c r="E261">
        <v>105.889999</v>
      </c>
      <c r="F261">
        <v>106.739998</v>
      </c>
      <c r="G261">
        <v>106.739998</v>
      </c>
      <c r="H261">
        <v>1378800</v>
      </c>
      <c r="I261">
        <f t="shared" si="9"/>
        <v>-9.3596034953052009E-4</v>
      </c>
    </row>
    <row r="262" spans="2:9" x14ac:dyDescent="0.3">
      <c r="B262" s="3">
        <v>44391</v>
      </c>
      <c r="C262">
        <v>106.849998</v>
      </c>
      <c r="D262">
        <v>107.550003</v>
      </c>
      <c r="E262">
        <v>106.519997</v>
      </c>
      <c r="F262">
        <v>106.790001</v>
      </c>
      <c r="G262">
        <v>106.790001</v>
      </c>
      <c r="H262">
        <v>1755100</v>
      </c>
      <c r="I262">
        <f t="shared" si="9"/>
        <v>4.6845607023530012E-4</v>
      </c>
    </row>
    <row r="263" spans="2:9" x14ac:dyDescent="0.3">
      <c r="B263" s="3">
        <v>44392</v>
      </c>
      <c r="C263">
        <v>106.57</v>
      </c>
      <c r="D263">
        <v>106.83000199999999</v>
      </c>
      <c r="E263">
        <v>105.449997</v>
      </c>
      <c r="F263">
        <v>106.339996</v>
      </c>
      <c r="G263">
        <v>106.339996</v>
      </c>
      <c r="H263">
        <v>2540300</v>
      </c>
      <c r="I263">
        <f t="shared" ref="I263:I326" si="10">(G263-G262)/G262</f>
        <v>-4.2139244853083612E-3</v>
      </c>
    </row>
    <row r="264" spans="2:9" x14ac:dyDescent="0.3">
      <c r="B264" s="3">
        <v>44393</v>
      </c>
      <c r="C264">
        <v>106.93</v>
      </c>
      <c r="D264">
        <v>107.459999</v>
      </c>
      <c r="E264">
        <v>106.139999</v>
      </c>
      <c r="F264">
        <v>106.91999800000001</v>
      </c>
      <c r="G264">
        <v>106.91999800000001</v>
      </c>
      <c r="H264">
        <v>5378500</v>
      </c>
      <c r="I264">
        <f t="shared" si="10"/>
        <v>5.4542225109732697E-3</v>
      </c>
    </row>
    <row r="265" spans="2:9" x14ac:dyDescent="0.3">
      <c r="B265" s="3">
        <v>44396</v>
      </c>
      <c r="C265">
        <v>106.099998</v>
      </c>
      <c r="D265">
        <v>106.099998</v>
      </c>
      <c r="E265">
        <v>102.699997</v>
      </c>
      <c r="F265">
        <v>102.910004</v>
      </c>
      <c r="G265">
        <v>102.910004</v>
      </c>
      <c r="H265">
        <v>4677300</v>
      </c>
      <c r="I265">
        <f t="shared" si="10"/>
        <v>-3.7504620978388026E-2</v>
      </c>
    </row>
    <row r="266" spans="2:9" x14ac:dyDescent="0.3">
      <c r="B266" s="3">
        <v>44397</v>
      </c>
      <c r="C266">
        <v>103.360001</v>
      </c>
      <c r="D266">
        <v>107.08000199999999</v>
      </c>
      <c r="E266">
        <v>103.209999</v>
      </c>
      <c r="F266">
        <v>106.58000199999999</v>
      </c>
      <c r="G266">
        <v>106.58000199999999</v>
      </c>
      <c r="H266">
        <v>2783500</v>
      </c>
      <c r="I266">
        <f t="shared" si="10"/>
        <v>3.5662208311642789E-2</v>
      </c>
    </row>
    <row r="267" spans="2:9" x14ac:dyDescent="0.3">
      <c r="B267" s="3">
        <v>44398</v>
      </c>
      <c r="C267">
        <v>107.279999</v>
      </c>
      <c r="D267">
        <v>107.32</v>
      </c>
      <c r="E267">
        <v>105.300003</v>
      </c>
      <c r="F267">
        <v>106.050003</v>
      </c>
      <c r="G267">
        <v>106.050003</v>
      </c>
      <c r="H267">
        <v>2109700</v>
      </c>
      <c r="I267">
        <f t="shared" si="10"/>
        <v>-4.9727809162547166E-3</v>
      </c>
    </row>
    <row r="268" spans="2:9" x14ac:dyDescent="0.3">
      <c r="B268" s="3">
        <v>44399</v>
      </c>
      <c r="C268">
        <v>106.30999799999999</v>
      </c>
      <c r="D268">
        <v>107.099998</v>
      </c>
      <c r="E268">
        <v>105.589996</v>
      </c>
      <c r="F268">
        <v>107.05999799999999</v>
      </c>
      <c r="G268">
        <v>107.05999799999999</v>
      </c>
      <c r="H268">
        <v>1195100</v>
      </c>
      <c r="I268">
        <f t="shared" si="10"/>
        <v>9.5237621068241674E-3</v>
      </c>
    </row>
    <row r="269" spans="2:9" x14ac:dyDescent="0.3">
      <c r="B269" s="3">
        <v>44400</v>
      </c>
      <c r="C269">
        <v>108.08000199999999</v>
      </c>
      <c r="D269">
        <v>109.66999800000001</v>
      </c>
      <c r="E269">
        <v>107.44000200000001</v>
      </c>
      <c r="F269">
        <v>109.400002</v>
      </c>
      <c r="G269">
        <v>109.400002</v>
      </c>
      <c r="H269">
        <v>2527900</v>
      </c>
      <c r="I269">
        <f t="shared" si="10"/>
        <v>2.1856940441938057E-2</v>
      </c>
    </row>
    <row r="270" spans="2:9" x14ac:dyDescent="0.3">
      <c r="B270" s="3">
        <v>44403</v>
      </c>
      <c r="C270">
        <v>109.010002</v>
      </c>
      <c r="D270">
        <v>109.150002</v>
      </c>
      <c r="E270">
        <v>107.879997</v>
      </c>
      <c r="F270">
        <v>108.889999</v>
      </c>
      <c r="G270">
        <v>108.889999</v>
      </c>
      <c r="H270">
        <v>2576000</v>
      </c>
      <c r="I270">
        <f t="shared" si="10"/>
        <v>-4.6618189275718439E-3</v>
      </c>
    </row>
    <row r="271" spans="2:9" x14ac:dyDescent="0.3">
      <c r="B271" s="3">
        <v>44404</v>
      </c>
      <c r="C271">
        <v>109.010002</v>
      </c>
      <c r="D271">
        <v>110.139999</v>
      </c>
      <c r="E271">
        <v>108.800003</v>
      </c>
      <c r="F271">
        <v>109.900002</v>
      </c>
      <c r="G271">
        <v>109.900002</v>
      </c>
      <c r="H271">
        <v>1781700</v>
      </c>
      <c r="I271">
        <f t="shared" si="10"/>
        <v>9.2754431929051393E-3</v>
      </c>
    </row>
    <row r="272" spans="2:9" x14ac:dyDescent="0.3">
      <c r="B272" s="3">
        <v>44405</v>
      </c>
      <c r="C272">
        <v>110</v>
      </c>
      <c r="D272">
        <v>110.779999</v>
      </c>
      <c r="E272">
        <v>109.389999</v>
      </c>
      <c r="F272">
        <v>110.05999799999999</v>
      </c>
      <c r="G272">
        <v>110.05999799999999</v>
      </c>
      <c r="H272">
        <v>1592800</v>
      </c>
      <c r="I272">
        <f t="shared" si="10"/>
        <v>1.4558325485744075E-3</v>
      </c>
    </row>
    <row r="273" spans="2:9" x14ac:dyDescent="0.3">
      <c r="B273" s="3">
        <v>44406</v>
      </c>
      <c r="C273">
        <v>110.33000199999999</v>
      </c>
      <c r="D273">
        <v>111.959999</v>
      </c>
      <c r="E273">
        <v>109.959999</v>
      </c>
      <c r="F273">
        <v>111.620003</v>
      </c>
      <c r="G273">
        <v>111.620003</v>
      </c>
      <c r="H273">
        <v>3439000</v>
      </c>
      <c r="I273">
        <f t="shared" si="10"/>
        <v>1.417413254904842E-2</v>
      </c>
    </row>
    <row r="274" spans="2:9" x14ac:dyDescent="0.3">
      <c r="B274" s="3">
        <v>44407</v>
      </c>
      <c r="C274">
        <v>113.379997</v>
      </c>
      <c r="D274">
        <v>114.230003</v>
      </c>
      <c r="E274">
        <v>109.83000199999999</v>
      </c>
      <c r="F274">
        <v>112.269997</v>
      </c>
      <c r="G274">
        <v>112.269997</v>
      </c>
      <c r="H274">
        <v>3518100</v>
      </c>
      <c r="I274">
        <f t="shared" si="10"/>
        <v>5.8232752421625237E-3</v>
      </c>
    </row>
    <row r="275" spans="2:9" x14ac:dyDescent="0.3">
      <c r="B275" s="3">
        <v>44410</v>
      </c>
      <c r="C275">
        <v>112.41999800000001</v>
      </c>
      <c r="D275">
        <v>113.839996</v>
      </c>
      <c r="E275">
        <v>112.08000199999999</v>
      </c>
      <c r="F275">
        <v>113.279999</v>
      </c>
      <c r="G275">
        <v>113.279999</v>
      </c>
      <c r="H275">
        <v>2274800</v>
      </c>
      <c r="I275">
        <f t="shared" si="10"/>
        <v>8.9961880020358424E-3</v>
      </c>
    </row>
    <row r="276" spans="2:9" x14ac:dyDescent="0.3">
      <c r="B276" s="3">
        <v>44411</v>
      </c>
      <c r="C276">
        <v>113.32</v>
      </c>
      <c r="D276">
        <v>114.739998</v>
      </c>
      <c r="E276">
        <v>113.050003</v>
      </c>
      <c r="F276">
        <v>114.699997</v>
      </c>
      <c r="G276">
        <v>114.699997</v>
      </c>
      <c r="H276">
        <v>2088100</v>
      </c>
      <c r="I276">
        <f t="shared" si="10"/>
        <v>1.2535293189753582E-2</v>
      </c>
    </row>
    <row r="277" spans="2:9" x14ac:dyDescent="0.3">
      <c r="B277" s="3">
        <v>44412</v>
      </c>
      <c r="C277">
        <v>114.66999800000001</v>
      </c>
      <c r="D277">
        <v>114.989998</v>
      </c>
      <c r="E277">
        <v>113.540001</v>
      </c>
      <c r="F277">
        <v>114.459999</v>
      </c>
      <c r="G277">
        <v>114.459999</v>
      </c>
      <c r="H277">
        <v>2079300</v>
      </c>
      <c r="I277">
        <f t="shared" si="10"/>
        <v>-2.092397613576223E-3</v>
      </c>
    </row>
    <row r="278" spans="2:9" x14ac:dyDescent="0.3">
      <c r="B278" s="3">
        <v>44413</v>
      </c>
      <c r="C278">
        <v>115</v>
      </c>
      <c r="D278">
        <v>115.599998</v>
      </c>
      <c r="E278">
        <v>113.18</v>
      </c>
      <c r="F278">
        <v>114.779999</v>
      </c>
      <c r="G278">
        <v>114.779999</v>
      </c>
      <c r="H278">
        <v>1652600</v>
      </c>
      <c r="I278">
        <f t="shared" si="10"/>
        <v>2.7957365262602125E-3</v>
      </c>
    </row>
    <row r="279" spans="2:9" x14ac:dyDescent="0.3">
      <c r="B279" s="3">
        <v>44414</v>
      </c>
      <c r="C279">
        <v>114.5</v>
      </c>
      <c r="D279">
        <v>115.400002</v>
      </c>
      <c r="E279">
        <v>113.959999</v>
      </c>
      <c r="F279">
        <v>115.209999</v>
      </c>
      <c r="G279">
        <v>115.209999</v>
      </c>
      <c r="H279">
        <v>1594100</v>
      </c>
      <c r="I279">
        <f t="shared" si="10"/>
        <v>3.7462972969706386E-3</v>
      </c>
    </row>
    <row r="280" spans="2:9" x14ac:dyDescent="0.3">
      <c r="B280" s="3">
        <v>44417</v>
      </c>
      <c r="C280">
        <v>115.540001</v>
      </c>
      <c r="D280">
        <v>115.83000199999999</v>
      </c>
      <c r="E280">
        <v>113.800003</v>
      </c>
      <c r="F280">
        <v>114.33000199999999</v>
      </c>
      <c r="G280">
        <v>114.33000199999999</v>
      </c>
      <c r="H280">
        <v>1594900</v>
      </c>
      <c r="I280">
        <f t="shared" si="10"/>
        <v>-7.6381998753424435E-3</v>
      </c>
    </row>
    <row r="281" spans="2:9" x14ac:dyDescent="0.3">
      <c r="B281" s="3">
        <v>44418</v>
      </c>
      <c r="C281">
        <v>114.389999</v>
      </c>
      <c r="D281">
        <v>114.660004</v>
      </c>
      <c r="E281">
        <v>111.760002</v>
      </c>
      <c r="F281">
        <v>111.949997</v>
      </c>
      <c r="G281">
        <v>111.949997</v>
      </c>
      <c r="H281">
        <v>2390400</v>
      </c>
      <c r="I281">
        <f t="shared" si="10"/>
        <v>-2.0816976807190093E-2</v>
      </c>
    </row>
    <row r="282" spans="2:9" x14ac:dyDescent="0.3">
      <c r="B282" s="3">
        <v>44419</v>
      </c>
      <c r="C282">
        <v>112.110001</v>
      </c>
      <c r="D282">
        <v>112.279999</v>
      </c>
      <c r="E282">
        <v>110.82</v>
      </c>
      <c r="F282">
        <v>111.139999</v>
      </c>
      <c r="G282">
        <v>111.139999</v>
      </c>
      <c r="H282">
        <v>1805500</v>
      </c>
      <c r="I282">
        <f t="shared" si="10"/>
        <v>-7.2353552631179898E-3</v>
      </c>
    </row>
    <row r="283" spans="2:9" x14ac:dyDescent="0.3">
      <c r="B283" s="3">
        <v>44420</v>
      </c>
      <c r="C283">
        <v>111.209999</v>
      </c>
      <c r="D283">
        <v>112.25</v>
      </c>
      <c r="E283">
        <v>110.970001</v>
      </c>
      <c r="F283">
        <v>111.769997</v>
      </c>
      <c r="G283">
        <v>111.769997</v>
      </c>
      <c r="H283">
        <v>1313400</v>
      </c>
      <c r="I283">
        <f t="shared" si="10"/>
        <v>5.6685082388744715E-3</v>
      </c>
    </row>
    <row r="284" spans="2:9" x14ac:dyDescent="0.3">
      <c r="B284" s="3">
        <v>44421</v>
      </c>
      <c r="C284">
        <v>111.790001</v>
      </c>
      <c r="D284">
        <v>113.18</v>
      </c>
      <c r="E284">
        <v>111.30999799999999</v>
      </c>
      <c r="F284">
        <v>113.150002</v>
      </c>
      <c r="G284">
        <v>113.150002</v>
      </c>
      <c r="H284">
        <v>1958900</v>
      </c>
      <c r="I284">
        <f t="shared" si="10"/>
        <v>1.2346828639531921E-2</v>
      </c>
    </row>
    <row r="285" spans="2:9" x14ac:dyDescent="0.3">
      <c r="B285" s="3">
        <v>44424</v>
      </c>
      <c r="C285">
        <v>113.050003</v>
      </c>
      <c r="D285">
        <v>114.41999800000001</v>
      </c>
      <c r="E285">
        <v>112.730003</v>
      </c>
      <c r="F285">
        <v>114.360001</v>
      </c>
      <c r="G285">
        <v>114.360001</v>
      </c>
      <c r="H285">
        <v>1996000</v>
      </c>
      <c r="I285">
        <f t="shared" si="10"/>
        <v>1.0693760305899034E-2</v>
      </c>
    </row>
    <row r="286" spans="2:9" x14ac:dyDescent="0.3">
      <c r="B286" s="3">
        <v>44425</v>
      </c>
      <c r="C286">
        <v>113.900002</v>
      </c>
      <c r="D286">
        <v>117.410004</v>
      </c>
      <c r="E286">
        <v>113.75</v>
      </c>
      <c r="F286">
        <v>117.260002</v>
      </c>
      <c r="G286">
        <v>117.260002</v>
      </c>
      <c r="H286">
        <v>2689200</v>
      </c>
      <c r="I286">
        <f t="shared" si="10"/>
        <v>2.5358525486546674E-2</v>
      </c>
    </row>
    <row r="287" spans="2:9" x14ac:dyDescent="0.3">
      <c r="B287" s="3">
        <v>44426</v>
      </c>
      <c r="C287">
        <v>117.510002</v>
      </c>
      <c r="D287">
        <v>118.18</v>
      </c>
      <c r="E287">
        <v>116.18</v>
      </c>
      <c r="F287">
        <v>116.260002</v>
      </c>
      <c r="G287">
        <v>116.260002</v>
      </c>
      <c r="H287">
        <v>2000400</v>
      </c>
      <c r="I287">
        <f t="shared" si="10"/>
        <v>-8.5280571630895925E-3</v>
      </c>
    </row>
    <row r="288" spans="2:9" x14ac:dyDescent="0.3">
      <c r="B288" s="3">
        <v>44427</v>
      </c>
      <c r="C288">
        <v>115.519997</v>
      </c>
      <c r="D288">
        <v>118.30999799999999</v>
      </c>
      <c r="E288">
        <v>115.30999799999999</v>
      </c>
      <c r="F288">
        <v>117.949997</v>
      </c>
      <c r="G288">
        <v>117.949997</v>
      </c>
      <c r="H288">
        <v>1258800</v>
      </c>
      <c r="I288">
        <f t="shared" si="10"/>
        <v>1.4536340709851322E-2</v>
      </c>
    </row>
    <row r="289" spans="2:9" x14ac:dyDescent="0.3">
      <c r="B289" s="3">
        <v>44428</v>
      </c>
      <c r="C289">
        <v>118.019997</v>
      </c>
      <c r="D289">
        <v>119.33000199999999</v>
      </c>
      <c r="E289">
        <v>117.30999799999999</v>
      </c>
      <c r="F289">
        <v>118.949997</v>
      </c>
      <c r="G289">
        <v>118.949997</v>
      </c>
      <c r="H289">
        <v>1470400</v>
      </c>
      <c r="I289">
        <f t="shared" si="10"/>
        <v>8.4781689311954796E-3</v>
      </c>
    </row>
    <row r="290" spans="2:9" x14ac:dyDescent="0.3">
      <c r="B290" s="3">
        <v>44431</v>
      </c>
      <c r="C290">
        <v>119.540001</v>
      </c>
      <c r="D290">
        <v>119.94000200000001</v>
      </c>
      <c r="E290">
        <v>116.900002</v>
      </c>
      <c r="F290">
        <v>116.959999</v>
      </c>
      <c r="G290">
        <v>116.959999</v>
      </c>
      <c r="H290">
        <v>2315800</v>
      </c>
      <c r="I290">
        <f t="shared" si="10"/>
        <v>-1.6729701977209802E-2</v>
      </c>
    </row>
    <row r="291" spans="2:9" x14ac:dyDescent="0.3">
      <c r="B291" s="3">
        <v>44432</v>
      </c>
      <c r="C291">
        <v>116.449997</v>
      </c>
      <c r="D291">
        <v>118.709999</v>
      </c>
      <c r="E291">
        <v>115.66999800000001</v>
      </c>
      <c r="F291">
        <v>118.089996</v>
      </c>
      <c r="G291">
        <v>118.089996</v>
      </c>
      <c r="H291">
        <v>2086400</v>
      </c>
      <c r="I291">
        <f t="shared" si="10"/>
        <v>9.6613971414278403E-3</v>
      </c>
    </row>
    <row r="292" spans="2:9" x14ac:dyDescent="0.3">
      <c r="B292" s="3">
        <v>44433</v>
      </c>
      <c r="C292">
        <v>117.83000199999999</v>
      </c>
      <c r="D292">
        <v>118</v>
      </c>
      <c r="E292">
        <v>116.349998</v>
      </c>
      <c r="F292">
        <v>117.019997</v>
      </c>
      <c r="G292">
        <v>117.019997</v>
      </c>
      <c r="H292">
        <v>1958400</v>
      </c>
      <c r="I292">
        <f t="shared" si="10"/>
        <v>-9.0608776038911525E-3</v>
      </c>
    </row>
    <row r="293" spans="2:9" x14ac:dyDescent="0.3">
      <c r="B293" s="3">
        <v>44434</v>
      </c>
      <c r="C293">
        <v>116.790001</v>
      </c>
      <c r="D293">
        <v>117.110001</v>
      </c>
      <c r="E293">
        <v>116.089996</v>
      </c>
      <c r="F293">
        <v>116.959999</v>
      </c>
      <c r="G293">
        <v>116.959999</v>
      </c>
      <c r="H293">
        <v>1645300</v>
      </c>
      <c r="I293">
        <f t="shared" si="10"/>
        <v>-5.1271578822555705E-4</v>
      </c>
    </row>
    <row r="294" spans="2:9" x14ac:dyDescent="0.3">
      <c r="B294" s="3">
        <v>44435</v>
      </c>
      <c r="C294">
        <v>117.55999799999999</v>
      </c>
      <c r="D294">
        <v>117.709999</v>
      </c>
      <c r="E294">
        <v>116.089996</v>
      </c>
      <c r="F294">
        <v>116.389999</v>
      </c>
      <c r="G294">
        <v>116.389999</v>
      </c>
      <c r="H294">
        <v>1611300</v>
      </c>
      <c r="I294">
        <f t="shared" si="10"/>
        <v>-4.873461053979602E-3</v>
      </c>
    </row>
    <row r="295" spans="2:9" x14ac:dyDescent="0.3">
      <c r="B295" s="3">
        <v>44438</v>
      </c>
      <c r="C295">
        <v>116.870003</v>
      </c>
      <c r="D295">
        <v>118.480003</v>
      </c>
      <c r="E295">
        <v>116.540001</v>
      </c>
      <c r="F295">
        <v>118.040001</v>
      </c>
      <c r="G295">
        <v>118.040001</v>
      </c>
      <c r="H295">
        <v>1429900</v>
      </c>
      <c r="I295">
        <f t="shared" si="10"/>
        <v>1.4176492947645791E-2</v>
      </c>
    </row>
    <row r="296" spans="2:9" x14ac:dyDescent="0.3">
      <c r="B296" s="3">
        <v>44439</v>
      </c>
      <c r="C296">
        <v>118</v>
      </c>
      <c r="D296">
        <v>118.720001</v>
      </c>
      <c r="E296">
        <v>116.370003</v>
      </c>
      <c r="F296">
        <v>117.18</v>
      </c>
      <c r="G296">
        <v>117.18</v>
      </c>
      <c r="H296">
        <v>2322800</v>
      </c>
      <c r="I296">
        <f t="shared" si="10"/>
        <v>-7.285674285956647E-3</v>
      </c>
    </row>
    <row r="297" spans="2:9" x14ac:dyDescent="0.3">
      <c r="B297" s="3">
        <v>44440</v>
      </c>
      <c r="C297">
        <v>117.5</v>
      </c>
      <c r="D297">
        <v>119.589996</v>
      </c>
      <c r="E297">
        <v>116.839996</v>
      </c>
      <c r="F297">
        <v>119.43</v>
      </c>
      <c r="G297">
        <v>119.43</v>
      </c>
      <c r="H297">
        <v>1795000</v>
      </c>
      <c r="I297">
        <f t="shared" si="10"/>
        <v>1.9201228878648231E-2</v>
      </c>
    </row>
    <row r="298" spans="2:9" x14ac:dyDescent="0.3">
      <c r="B298" s="3">
        <v>44441</v>
      </c>
      <c r="C298">
        <v>120</v>
      </c>
      <c r="D298">
        <v>120.94000200000001</v>
      </c>
      <c r="E298">
        <v>119.699997</v>
      </c>
      <c r="F298">
        <v>120.610001</v>
      </c>
      <c r="G298">
        <v>120.610001</v>
      </c>
      <c r="H298">
        <v>1913000</v>
      </c>
      <c r="I298">
        <f t="shared" si="10"/>
        <v>9.8802729632419834E-3</v>
      </c>
    </row>
    <row r="299" spans="2:9" x14ac:dyDescent="0.3">
      <c r="B299" s="3">
        <v>44442</v>
      </c>
      <c r="C299">
        <v>120.260002</v>
      </c>
      <c r="D299">
        <v>121.370003</v>
      </c>
      <c r="E299">
        <v>119.94000200000001</v>
      </c>
      <c r="F299">
        <v>121.07</v>
      </c>
      <c r="G299">
        <v>121.07</v>
      </c>
      <c r="H299">
        <v>1280800</v>
      </c>
      <c r="I299">
        <f t="shared" si="10"/>
        <v>3.8139374528319281E-3</v>
      </c>
    </row>
    <row r="300" spans="2:9" x14ac:dyDescent="0.3">
      <c r="B300" s="3">
        <v>44446</v>
      </c>
      <c r="C300">
        <v>120.82</v>
      </c>
      <c r="D300">
        <v>122.120003</v>
      </c>
      <c r="E300">
        <v>119.699997</v>
      </c>
      <c r="F300">
        <v>121.989998</v>
      </c>
      <c r="G300">
        <v>121.989998</v>
      </c>
      <c r="H300">
        <v>1907200</v>
      </c>
      <c r="I300">
        <f t="shared" si="10"/>
        <v>7.5988932022797292E-3</v>
      </c>
    </row>
    <row r="301" spans="2:9" x14ac:dyDescent="0.3">
      <c r="B301" s="3">
        <v>44447</v>
      </c>
      <c r="C301">
        <v>121.260002</v>
      </c>
      <c r="D301">
        <v>123.269997</v>
      </c>
      <c r="E301">
        <v>120.910004</v>
      </c>
      <c r="F301">
        <v>122.75</v>
      </c>
      <c r="G301">
        <v>122.75</v>
      </c>
      <c r="H301">
        <v>1678000</v>
      </c>
      <c r="I301">
        <f t="shared" si="10"/>
        <v>6.230035350930984E-3</v>
      </c>
    </row>
    <row r="302" spans="2:9" x14ac:dyDescent="0.3">
      <c r="B302" s="3">
        <v>44448</v>
      </c>
      <c r="C302">
        <v>122.879997</v>
      </c>
      <c r="D302">
        <v>123</v>
      </c>
      <c r="E302">
        <v>121.860001</v>
      </c>
      <c r="F302">
        <v>122.08000199999999</v>
      </c>
      <c r="G302">
        <v>122.08000199999999</v>
      </c>
      <c r="H302">
        <v>1553900</v>
      </c>
      <c r="I302">
        <f t="shared" si="10"/>
        <v>-5.4582321792261239E-3</v>
      </c>
    </row>
    <row r="303" spans="2:9" x14ac:dyDescent="0.3">
      <c r="B303" s="3">
        <v>44449</v>
      </c>
      <c r="C303">
        <v>122.589996</v>
      </c>
      <c r="D303">
        <v>123</v>
      </c>
      <c r="E303">
        <v>120.58000199999999</v>
      </c>
      <c r="F303">
        <v>120.889999</v>
      </c>
      <c r="G303">
        <v>120.889999</v>
      </c>
      <c r="H303">
        <v>1869800</v>
      </c>
      <c r="I303">
        <f t="shared" si="10"/>
        <v>-9.7477308363739228E-3</v>
      </c>
    </row>
    <row r="304" spans="2:9" x14ac:dyDescent="0.3">
      <c r="B304" s="3">
        <v>44452</v>
      </c>
      <c r="C304">
        <v>121.58000199999999</v>
      </c>
      <c r="D304">
        <v>121.800003</v>
      </c>
      <c r="E304">
        <v>117.849998</v>
      </c>
      <c r="F304">
        <v>119.349998</v>
      </c>
      <c r="G304">
        <v>119.349998</v>
      </c>
      <c r="H304">
        <v>1537900</v>
      </c>
      <c r="I304">
        <f t="shared" si="10"/>
        <v>-1.2738861880543184E-2</v>
      </c>
    </row>
    <row r="305" spans="2:9" x14ac:dyDescent="0.3">
      <c r="B305" s="3">
        <v>44453</v>
      </c>
      <c r="C305">
        <v>120.449997</v>
      </c>
      <c r="D305">
        <v>121.339996</v>
      </c>
      <c r="E305">
        <v>119.410004</v>
      </c>
      <c r="F305">
        <v>120.94000200000001</v>
      </c>
      <c r="G305">
        <v>120.94000200000001</v>
      </c>
      <c r="H305">
        <v>1589700</v>
      </c>
      <c r="I305">
        <f t="shared" si="10"/>
        <v>1.332219544737661E-2</v>
      </c>
    </row>
    <row r="306" spans="2:9" x14ac:dyDescent="0.3">
      <c r="B306" s="3">
        <v>44454</v>
      </c>
      <c r="C306">
        <v>120.629997</v>
      </c>
      <c r="D306">
        <v>121.889999</v>
      </c>
      <c r="E306">
        <v>119.93</v>
      </c>
      <c r="F306">
        <v>121.019997</v>
      </c>
      <c r="G306">
        <v>121.019997</v>
      </c>
      <c r="H306">
        <v>1864600</v>
      </c>
      <c r="I306">
        <f t="shared" si="10"/>
        <v>6.614436801480845E-4</v>
      </c>
    </row>
    <row r="307" spans="2:9" x14ac:dyDescent="0.3">
      <c r="B307" s="3">
        <v>44455</v>
      </c>
      <c r="C307">
        <v>121.480003</v>
      </c>
      <c r="D307">
        <v>121.599998</v>
      </c>
      <c r="E307">
        <v>119.519997</v>
      </c>
      <c r="F307">
        <v>120.69000200000001</v>
      </c>
      <c r="G307">
        <v>120.69000200000001</v>
      </c>
      <c r="H307">
        <v>1906600</v>
      </c>
      <c r="I307">
        <f t="shared" si="10"/>
        <v>-2.726780765000322E-3</v>
      </c>
    </row>
    <row r="308" spans="2:9" x14ac:dyDescent="0.3">
      <c r="B308" s="3">
        <v>44456</v>
      </c>
      <c r="C308">
        <v>116.849998</v>
      </c>
      <c r="D308">
        <v>119.66999800000001</v>
      </c>
      <c r="E308">
        <v>116.849998</v>
      </c>
      <c r="F308">
        <v>119.41999800000001</v>
      </c>
      <c r="G308">
        <v>119.41999800000001</v>
      </c>
      <c r="H308">
        <v>3695300</v>
      </c>
      <c r="I308">
        <f t="shared" si="10"/>
        <v>-1.0522860046021045E-2</v>
      </c>
    </row>
    <row r="309" spans="2:9" x14ac:dyDescent="0.3">
      <c r="B309" s="3">
        <v>44459</v>
      </c>
      <c r="C309">
        <v>118.16999800000001</v>
      </c>
      <c r="D309">
        <v>118.93</v>
      </c>
      <c r="E309">
        <v>116.360001</v>
      </c>
      <c r="F309">
        <v>117.989998</v>
      </c>
      <c r="G309">
        <v>117.989998</v>
      </c>
      <c r="H309">
        <v>2448400</v>
      </c>
      <c r="I309">
        <f t="shared" si="10"/>
        <v>-1.1974543828078164E-2</v>
      </c>
    </row>
    <row r="310" spans="2:9" x14ac:dyDescent="0.3">
      <c r="B310" s="3">
        <v>44460</v>
      </c>
      <c r="C310">
        <v>118.949997</v>
      </c>
      <c r="D310">
        <v>120.150002</v>
      </c>
      <c r="E310">
        <v>118.41999800000001</v>
      </c>
      <c r="F310">
        <v>118.5</v>
      </c>
      <c r="G310">
        <v>118.5</v>
      </c>
      <c r="H310">
        <v>1360200</v>
      </c>
      <c r="I310">
        <f t="shared" si="10"/>
        <v>4.3224172272636197E-3</v>
      </c>
    </row>
    <row r="311" spans="2:9" x14ac:dyDescent="0.3">
      <c r="B311" s="3">
        <v>44461</v>
      </c>
      <c r="C311">
        <v>118.639999</v>
      </c>
      <c r="D311">
        <v>120.410004</v>
      </c>
      <c r="E311">
        <v>118.029999</v>
      </c>
      <c r="F311">
        <v>119.660004</v>
      </c>
      <c r="G311">
        <v>119.660004</v>
      </c>
      <c r="H311">
        <v>1579200</v>
      </c>
      <c r="I311">
        <f t="shared" si="10"/>
        <v>9.789063291139247E-3</v>
      </c>
    </row>
    <row r="312" spans="2:9" x14ac:dyDescent="0.3">
      <c r="B312" s="3">
        <v>44462</v>
      </c>
      <c r="C312">
        <v>120.360001</v>
      </c>
      <c r="D312">
        <v>121.790001</v>
      </c>
      <c r="E312">
        <v>119.650002</v>
      </c>
      <c r="F312">
        <v>121.019997</v>
      </c>
      <c r="G312">
        <v>121.019997</v>
      </c>
      <c r="H312">
        <v>1518400</v>
      </c>
      <c r="I312">
        <f t="shared" si="10"/>
        <v>1.1365476805432857E-2</v>
      </c>
    </row>
    <row r="313" spans="2:9" x14ac:dyDescent="0.3">
      <c r="B313" s="3">
        <v>44463</v>
      </c>
      <c r="C313">
        <v>120.459999</v>
      </c>
      <c r="D313">
        <v>120.900002</v>
      </c>
      <c r="E313">
        <v>119.099998</v>
      </c>
      <c r="F313">
        <v>120.07</v>
      </c>
      <c r="G313">
        <v>120.07</v>
      </c>
      <c r="H313">
        <v>1672500</v>
      </c>
      <c r="I313">
        <f t="shared" si="10"/>
        <v>-7.8499175636238885E-3</v>
      </c>
    </row>
    <row r="314" spans="2:9" x14ac:dyDescent="0.3">
      <c r="B314" s="3">
        <v>44466</v>
      </c>
      <c r="C314">
        <v>119.30999799999999</v>
      </c>
      <c r="D314">
        <v>119.83000199999999</v>
      </c>
      <c r="E314">
        <v>115.760002</v>
      </c>
      <c r="F314">
        <v>117.07</v>
      </c>
      <c r="G314">
        <v>117.07</v>
      </c>
      <c r="H314">
        <v>1804700</v>
      </c>
      <c r="I314">
        <f t="shared" si="10"/>
        <v>-2.4985425168651623E-2</v>
      </c>
    </row>
    <row r="315" spans="2:9" x14ac:dyDescent="0.3">
      <c r="B315" s="3">
        <v>44467</v>
      </c>
      <c r="C315">
        <v>115.709999</v>
      </c>
      <c r="D315">
        <v>115.790001</v>
      </c>
      <c r="E315">
        <v>112.959999</v>
      </c>
      <c r="F315">
        <v>113.860001</v>
      </c>
      <c r="G315">
        <v>113.860001</v>
      </c>
      <c r="H315">
        <v>2422900</v>
      </c>
      <c r="I315">
        <f t="shared" si="10"/>
        <v>-2.7419484069360182E-2</v>
      </c>
    </row>
    <row r="316" spans="2:9" x14ac:dyDescent="0.3">
      <c r="B316" s="3">
        <v>44468</v>
      </c>
      <c r="C316">
        <v>114.230003</v>
      </c>
      <c r="D316">
        <v>115.400002</v>
      </c>
      <c r="E316">
        <v>113.290001</v>
      </c>
      <c r="F316">
        <v>113.519997</v>
      </c>
      <c r="G316">
        <v>113.519997</v>
      </c>
      <c r="H316">
        <v>2934400</v>
      </c>
      <c r="I316">
        <f t="shared" si="10"/>
        <v>-2.9861584139630679E-3</v>
      </c>
    </row>
    <row r="317" spans="2:9" x14ac:dyDescent="0.3">
      <c r="B317" s="3">
        <v>44469</v>
      </c>
      <c r="C317">
        <v>114</v>
      </c>
      <c r="D317">
        <v>115.489998</v>
      </c>
      <c r="E317">
        <v>113.16999800000001</v>
      </c>
      <c r="F317">
        <v>113.209999</v>
      </c>
      <c r="G317">
        <v>113.209999</v>
      </c>
      <c r="H317">
        <v>2987300</v>
      </c>
      <c r="I317">
        <f t="shared" si="10"/>
        <v>-2.7307787895731474E-3</v>
      </c>
    </row>
    <row r="318" spans="2:9" x14ac:dyDescent="0.3">
      <c r="B318" s="3">
        <v>44470</v>
      </c>
      <c r="C318">
        <v>113.32</v>
      </c>
      <c r="D318">
        <v>113.58000199999999</v>
      </c>
      <c r="E318">
        <v>110.639999</v>
      </c>
      <c r="F318">
        <v>112.279999</v>
      </c>
      <c r="G318">
        <v>112.279999</v>
      </c>
      <c r="H318">
        <v>4396100</v>
      </c>
      <c r="I318">
        <f t="shared" si="10"/>
        <v>-8.2148220847523597E-3</v>
      </c>
    </row>
    <row r="319" spans="2:9" x14ac:dyDescent="0.3">
      <c r="B319" s="3">
        <v>44473</v>
      </c>
      <c r="C319">
        <v>111.720001</v>
      </c>
      <c r="D319">
        <v>111.959999</v>
      </c>
      <c r="E319">
        <v>105.660004</v>
      </c>
      <c r="F319">
        <v>106.370003</v>
      </c>
      <c r="G319">
        <v>106.370003</v>
      </c>
      <c r="H319">
        <v>5127900</v>
      </c>
      <c r="I319">
        <f t="shared" si="10"/>
        <v>-5.2636231320237245E-2</v>
      </c>
    </row>
    <row r="320" spans="2:9" x14ac:dyDescent="0.3">
      <c r="B320" s="3">
        <v>44474</v>
      </c>
      <c r="C320">
        <v>106.959999</v>
      </c>
      <c r="D320">
        <v>110.58000199999999</v>
      </c>
      <c r="E320">
        <v>106.83000199999999</v>
      </c>
      <c r="F320">
        <v>108.83000199999999</v>
      </c>
      <c r="G320">
        <v>108.83000199999999</v>
      </c>
      <c r="H320">
        <v>2851800</v>
      </c>
      <c r="I320">
        <f t="shared" si="10"/>
        <v>2.3126811418816978E-2</v>
      </c>
    </row>
    <row r="321" spans="2:9" x14ac:dyDescent="0.3">
      <c r="B321" s="3">
        <v>44475</v>
      </c>
      <c r="C321">
        <v>107.910004</v>
      </c>
      <c r="D321">
        <v>109.599998</v>
      </c>
      <c r="E321">
        <v>107.540001</v>
      </c>
      <c r="F321">
        <v>109.480003</v>
      </c>
      <c r="G321">
        <v>109.480003</v>
      </c>
      <c r="H321">
        <v>2250600</v>
      </c>
      <c r="I321">
        <f t="shared" si="10"/>
        <v>5.9726269232265863E-3</v>
      </c>
    </row>
    <row r="322" spans="2:9" x14ac:dyDescent="0.3">
      <c r="B322" s="3">
        <v>44476</v>
      </c>
      <c r="C322">
        <v>110.769997</v>
      </c>
      <c r="D322">
        <v>112.519997</v>
      </c>
      <c r="E322">
        <v>110.709999</v>
      </c>
      <c r="F322">
        <v>110.889999</v>
      </c>
      <c r="G322">
        <v>110.889999</v>
      </c>
      <c r="H322">
        <v>2289600</v>
      </c>
      <c r="I322">
        <f t="shared" si="10"/>
        <v>1.2879027780077854E-2</v>
      </c>
    </row>
    <row r="323" spans="2:9" x14ac:dyDescent="0.3">
      <c r="B323" s="3">
        <v>44477</v>
      </c>
      <c r="C323">
        <v>110.910004</v>
      </c>
      <c r="D323">
        <v>111.18</v>
      </c>
      <c r="E323">
        <v>108.620003</v>
      </c>
      <c r="F323">
        <v>108.730003</v>
      </c>
      <c r="G323">
        <v>108.730003</v>
      </c>
      <c r="H323">
        <v>1962400</v>
      </c>
      <c r="I323">
        <f t="shared" si="10"/>
        <v>-1.947872684172363E-2</v>
      </c>
    </row>
    <row r="324" spans="2:9" x14ac:dyDescent="0.3">
      <c r="B324" s="3">
        <v>44480</v>
      </c>
      <c r="C324">
        <v>108</v>
      </c>
      <c r="D324">
        <v>109.360001</v>
      </c>
      <c r="E324">
        <v>107.699997</v>
      </c>
      <c r="F324">
        <v>108.489998</v>
      </c>
      <c r="G324">
        <v>108.489998</v>
      </c>
      <c r="H324">
        <v>1762900</v>
      </c>
      <c r="I324">
        <f t="shared" si="10"/>
        <v>-2.2073484169773862E-3</v>
      </c>
    </row>
    <row r="325" spans="2:9" x14ac:dyDescent="0.3">
      <c r="B325" s="3">
        <v>44481</v>
      </c>
      <c r="C325">
        <v>109.33000199999999</v>
      </c>
      <c r="D325">
        <v>109.849998</v>
      </c>
      <c r="E325">
        <v>108.18</v>
      </c>
      <c r="F325">
        <v>108.80999799999999</v>
      </c>
      <c r="G325">
        <v>108.80999799999999</v>
      </c>
      <c r="H325">
        <v>1534100</v>
      </c>
      <c r="I325">
        <f t="shared" si="10"/>
        <v>2.9495806608826115E-3</v>
      </c>
    </row>
    <row r="326" spans="2:9" x14ac:dyDescent="0.3">
      <c r="B326" s="3">
        <v>44482</v>
      </c>
      <c r="C326">
        <v>109.32</v>
      </c>
      <c r="D326">
        <v>110.610001</v>
      </c>
      <c r="E326">
        <v>109.019997</v>
      </c>
      <c r="F326">
        <v>109.099998</v>
      </c>
      <c r="G326">
        <v>109.099998</v>
      </c>
      <c r="H326">
        <v>2151600</v>
      </c>
      <c r="I326">
        <f t="shared" si="10"/>
        <v>2.6651962625714436E-3</v>
      </c>
    </row>
    <row r="327" spans="2:9" x14ac:dyDescent="0.3">
      <c r="B327" s="3">
        <v>44483</v>
      </c>
      <c r="C327">
        <v>111.08000199999999</v>
      </c>
      <c r="D327">
        <v>113</v>
      </c>
      <c r="E327">
        <v>110.69000200000001</v>
      </c>
      <c r="F327">
        <v>111.57</v>
      </c>
      <c r="G327">
        <v>111.57</v>
      </c>
      <c r="H327">
        <v>1656000</v>
      </c>
      <c r="I327">
        <f t="shared" ref="I327:I390" si="11">(G327-G326)/G326</f>
        <v>2.2639798765165822E-2</v>
      </c>
    </row>
    <row r="328" spans="2:9" x14ac:dyDescent="0.3">
      <c r="B328" s="3">
        <v>44484</v>
      </c>
      <c r="C328">
        <v>111.959999</v>
      </c>
      <c r="D328">
        <v>112.489998</v>
      </c>
      <c r="E328">
        <v>111.540001</v>
      </c>
      <c r="F328">
        <v>112.160004</v>
      </c>
      <c r="G328">
        <v>112.160004</v>
      </c>
      <c r="H328">
        <v>1666900</v>
      </c>
      <c r="I328">
        <f t="shared" si="11"/>
        <v>5.2881957515461819E-3</v>
      </c>
    </row>
    <row r="329" spans="2:9" x14ac:dyDescent="0.3">
      <c r="B329" s="3">
        <v>44487</v>
      </c>
      <c r="C329">
        <v>110.910004</v>
      </c>
      <c r="D329">
        <v>111.529999</v>
      </c>
      <c r="E329">
        <v>109.639999</v>
      </c>
      <c r="F329">
        <v>111.089996</v>
      </c>
      <c r="G329">
        <v>111.089996</v>
      </c>
      <c r="H329">
        <v>1813900</v>
      </c>
      <c r="I329">
        <f t="shared" si="11"/>
        <v>-9.5400139251065053E-3</v>
      </c>
    </row>
    <row r="330" spans="2:9" x14ac:dyDescent="0.3">
      <c r="B330" s="3">
        <v>44488</v>
      </c>
      <c r="C330">
        <v>112.050003</v>
      </c>
      <c r="D330">
        <v>115.69000200000001</v>
      </c>
      <c r="E330">
        <v>111.94000200000001</v>
      </c>
      <c r="F330">
        <v>115</v>
      </c>
      <c r="G330">
        <v>115</v>
      </c>
      <c r="H330">
        <v>2154200</v>
      </c>
      <c r="I330">
        <f t="shared" si="11"/>
        <v>3.5196724644764601E-2</v>
      </c>
    </row>
    <row r="331" spans="2:9" x14ac:dyDescent="0.3">
      <c r="B331" s="3">
        <v>44489</v>
      </c>
      <c r="C331">
        <v>115.75</v>
      </c>
      <c r="D331">
        <v>116.260002</v>
      </c>
      <c r="E331">
        <v>114.339996</v>
      </c>
      <c r="F331">
        <v>115.599998</v>
      </c>
      <c r="G331">
        <v>115.599998</v>
      </c>
      <c r="H331">
        <v>2026600</v>
      </c>
      <c r="I331">
        <f t="shared" si="11"/>
        <v>5.2173739130434724E-3</v>
      </c>
    </row>
    <row r="332" spans="2:9" x14ac:dyDescent="0.3">
      <c r="B332" s="3">
        <v>44490</v>
      </c>
      <c r="C332">
        <v>115.540001</v>
      </c>
      <c r="D332">
        <v>116.08000199999999</v>
      </c>
      <c r="E332">
        <v>114.75</v>
      </c>
      <c r="F332">
        <v>115.739998</v>
      </c>
      <c r="G332">
        <v>115.739998</v>
      </c>
      <c r="H332">
        <v>1764600</v>
      </c>
      <c r="I332">
        <f t="shared" si="11"/>
        <v>1.2110726853126811E-3</v>
      </c>
    </row>
    <row r="333" spans="2:9" x14ac:dyDescent="0.3">
      <c r="B333" s="3">
        <v>44491</v>
      </c>
      <c r="C333">
        <v>115.93</v>
      </c>
      <c r="D333">
        <v>116.970001</v>
      </c>
      <c r="E333">
        <v>115.510002</v>
      </c>
      <c r="F333">
        <v>116.589996</v>
      </c>
      <c r="G333">
        <v>116.589996</v>
      </c>
      <c r="H333">
        <v>1963300</v>
      </c>
      <c r="I333">
        <f t="shared" si="11"/>
        <v>7.344029848695862E-3</v>
      </c>
    </row>
    <row r="334" spans="2:9" x14ac:dyDescent="0.3">
      <c r="B334" s="3">
        <v>44494</v>
      </c>
      <c r="C334">
        <v>116.93</v>
      </c>
      <c r="D334">
        <v>118.07</v>
      </c>
      <c r="E334">
        <v>115.589996</v>
      </c>
      <c r="F334">
        <v>117.300003</v>
      </c>
      <c r="G334">
        <v>117.300003</v>
      </c>
      <c r="H334">
        <v>1876900</v>
      </c>
      <c r="I334">
        <f t="shared" si="11"/>
        <v>6.0897763475350362E-3</v>
      </c>
    </row>
    <row r="335" spans="2:9" x14ac:dyDescent="0.3">
      <c r="B335" s="3">
        <v>44495</v>
      </c>
      <c r="C335">
        <v>117.699997</v>
      </c>
      <c r="D335">
        <v>117.839996</v>
      </c>
      <c r="E335">
        <v>116.360001</v>
      </c>
      <c r="F335">
        <v>116.989998</v>
      </c>
      <c r="G335">
        <v>116.989998</v>
      </c>
      <c r="H335">
        <v>1661700</v>
      </c>
      <c r="I335">
        <f t="shared" si="11"/>
        <v>-2.6428388070885542E-3</v>
      </c>
    </row>
    <row r="336" spans="2:9" x14ac:dyDescent="0.3">
      <c r="B336" s="3">
        <v>44496</v>
      </c>
      <c r="C336">
        <v>116.599998</v>
      </c>
      <c r="D336">
        <v>116.900002</v>
      </c>
      <c r="E336">
        <v>114.69000200000001</v>
      </c>
      <c r="F336">
        <v>116.07</v>
      </c>
      <c r="G336">
        <v>116.07</v>
      </c>
      <c r="H336">
        <v>1785600</v>
      </c>
      <c r="I336">
        <f t="shared" si="11"/>
        <v>-7.8639030321208045E-3</v>
      </c>
    </row>
    <row r="337" spans="2:9" x14ac:dyDescent="0.3">
      <c r="B337" s="3">
        <v>44497</v>
      </c>
      <c r="C337">
        <v>110</v>
      </c>
      <c r="D337">
        <v>116.839996</v>
      </c>
      <c r="E337">
        <v>110</v>
      </c>
      <c r="F337">
        <v>116.510002</v>
      </c>
      <c r="G337">
        <v>116.510002</v>
      </c>
      <c r="H337">
        <v>4373900</v>
      </c>
      <c r="I337">
        <f t="shared" si="11"/>
        <v>3.7908331179461268E-3</v>
      </c>
    </row>
    <row r="338" spans="2:9" x14ac:dyDescent="0.3">
      <c r="B338" s="3">
        <v>44498</v>
      </c>
      <c r="C338">
        <v>115.769997</v>
      </c>
      <c r="D338">
        <v>120.110001</v>
      </c>
      <c r="E338">
        <v>114.379997</v>
      </c>
      <c r="F338">
        <v>119.82</v>
      </c>
      <c r="G338">
        <v>119.82</v>
      </c>
      <c r="H338">
        <v>3340900</v>
      </c>
      <c r="I338">
        <f t="shared" si="11"/>
        <v>2.8409560923361696E-2</v>
      </c>
    </row>
    <row r="339" spans="2:9" x14ac:dyDescent="0.3">
      <c r="B339" s="3">
        <v>44501</v>
      </c>
      <c r="C339">
        <v>120.410004</v>
      </c>
      <c r="D339">
        <v>120.620003</v>
      </c>
      <c r="E339">
        <v>115.239998</v>
      </c>
      <c r="F339">
        <v>115.55999799999999</v>
      </c>
      <c r="G339">
        <v>115.55999799999999</v>
      </c>
      <c r="H339">
        <v>3219700</v>
      </c>
      <c r="I339">
        <f t="shared" si="11"/>
        <v>-3.5553346686696713E-2</v>
      </c>
    </row>
    <row r="340" spans="2:9" x14ac:dyDescent="0.3">
      <c r="B340" s="3">
        <v>44502</v>
      </c>
      <c r="C340">
        <v>115.889999</v>
      </c>
      <c r="D340">
        <v>117.25</v>
      </c>
      <c r="E340">
        <v>114.889999</v>
      </c>
      <c r="F340">
        <v>116.94000200000001</v>
      </c>
      <c r="G340">
        <v>116.94000200000001</v>
      </c>
      <c r="H340">
        <v>2822500</v>
      </c>
      <c r="I340">
        <f t="shared" si="11"/>
        <v>1.1941883211178438E-2</v>
      </c>
    </row>
    <row r="341" spans="2:9" x14ac:dyDescent="0.3">
      <c r="B341" s="3">
        <v>44503</v>
      </c>
      <c r="C341">
        <v>117.099998</v>
      </c>
      <c r="D341">
        <v>117.860001</v>
      </c>
      <c r="E341">
        <v>115.349998</v>
      </c>
      <c r="F341">
        <v>117.25</v>
      </c>
      <c r="G341">
        <v>117.25</v>
      </c>
      <c r="H341">
        <v>2166900</v>
      </c>
      <c r="I341">
        <f t="shared" si="11"/>
        <v>2.6509149538067656E-3</v>
      </c>
    </row>
    <row r="342" spans="2:9" x14ac:dyDescent="0.3">
      <c r="B342" s="3">
        <v>44504</v>
      </c>
      <c r="C342">
        <v>117.730003</v>
      </c>
      <c r="D342">
        <v>118.32</v>
      </c>
      <c r="E342">
        <v>116.529999</v>
      </c>
      <c r="F342">
        <v>117.370003</v>
      </c>
      <c r="G342">
        <v>117.370003</v>
      </c>
      <c r="H342">
        <v>1724200</v>
      </c>
      <c r="I342">
        <f t="shared" si="11"/>
        <v>1.0234797441364346E-3</v>
      </c>
    </row>
    <row r="343" spans="2:9" x14ac:dyDescent="0.3">
      <c r="B343" s="3">
        <v>44505</v>
      </c>
      <c r="C343">
        <v>116.629997</v>
      </c>
      <c r="D343">
        <v>119.089996</v>
      </c>
      <c r="E343">
        <v>116.400002</v>
      </c>
      <c r="F343">
        <v>118.650002</v>
      </c>
      <c r="G343">
        <v>118.650002</v>
      </c>
      <c r="H343">
        <v>2214500</v>
      </c>
      <c r="I343">
        <f t="shared" si="11"/>
        <v>1.0905674084374043E-2</v>
      </c>
    </row>
    <row r="344" spans="2:9" x14ac:dyDescent="0.3">
      <c r="B344" s="3">
        <v>44508</v>
      </c>
      <c r="C344">
        <v>119.400002</v>
      </c>
      <c r="D344">
        <v>119.800003</v>
      </c>
      <c r="E344">
        <v>118.540001</v>
      </c>
      <c r="F344">
        <v>119.540001</v>
      </c>
      <c r="G344">
        <v>119.540001</v>
      </c>
      <c r="H344">
        <v>1449800</v>
      </c>
      <c r="I344">
        <f t="shared" si="11"/>
        <v>7.501044964162774E-3</v>
      </c>
    </row>
    <row r="345" spans="2:9" x14ac:dyDescent="0.3">
      <c r="B345" s="3">
        <v>44509</v>
      </c>
      <c r="C345">
        <v>119.230003</v>
      </c>
      <c r="D345">
        <v>120.489998</v>
      </c>
      <c r="E345">
        <v>118.91999800000001</v>
      </c>
      <c r="F345">
        <v>120.040001</v>
      </c>
      <c r="G345">
        <v>120.040001</v>
      </c>
      <c r="H345">
        <v>1553400</v>
      </c>
      <c r="I345">
        <f t="shared" si="11"/>
        <v>4.1827003163568653E-3</v>
      </c>
    </row>
    <row r="346" spans="2:9" x14ac:dyDescent="0.3">
      <c r="B346" s="3">
        <v>44510</v>
      </c>
      <c r="C346">
        <v>119.790001</v>
      </c>
      <c r="D346">
        <v>120.790001</v>
      </c>
      <c r="E346">
        <v>118.379997</v>
      </c>
      <c r="F346">
        <v>118.769997</v>
      </c>
      <c r="G346">
        <v>118.769997</v>
      </c>
      <c r="H346">
        <v>1665300</v>
      </c>
      <c r="I346">
        <f t="shared" si="11"/>
        <v>-1.0579839965179609E-2</v>
      </c>
    </row>
    <row r="347" spans="2:9" x14ac:dyDescent="0.3">
      <c r="B347" s="3">
        <v>44511</v>
      </c>
      <c r="C347">
        <v>119</v>
      </c>
      <c r="D347">
        <v>119.160004</v>
      </c>
      <c r="E347">
        <v>114.040001</v>
      </c>
      <c r="F347">
        <v>114.30999799999999</v>
      </c>
      <c r="G347">
        <v>114.30999799999999</v>
      </c>
      <c r="H347">
        <v>2471200</v>
      </c>
      <c r="I347">
        <f t="shared" si="11"/>
        <v>-3.7551562790727445E-2</v>
      </c>
    </row>
    <row r="348" spans="2:9" x14ac:dyDescent="0.3">
      <c r="B348" s="3">
        <v>44512</v>
      </c>
      <c r="C348">
        <v>114.889999</v>
      </c>
      <c r="D348">
        <v>116.529999</v>
      </c>
      <c r="E348">
        <v>114.610001</v>
      </c>
      <c r="F348">
        <v>116</v>
      </c>
      <c r="G348">
        <v>116</v>
      </c>
      <c r="H348">
        <v>1772100</v>
      </c>
      <c r="I348">
        <f t="shared" si="11"/>
        <v>1.4784376078809896E-2</v>
      </c>
    </row>
    <row r="349" spans="2:9" x14ac:dyDescent="0.3">
      <c r="B349" s="3">
        <v>44515</v>
      </c>
      <c r="C349">
        <v>116.349998</v>
      </c>
      <c r="D349">
        <v>117.139999</v>
      </c>
      <c r="E349">
        <v>115.610001</v>
      </c>
      <c r="F349">
        <v>116.69000200000001</v>
      </c>
      <c r="G349">
        <v>116.69000200000001</v>
      </c>
      <c r="H349">
        <v>1704000</v>
      </c>
      <c r="I349">
        <f t="shared" si="11"/>
        <v>5.9482931034483353E-3</v>
      </c>
    </row>
    <row r="350" spans="2:9" x14ac:dyDescent="0.3">
      <c r="B350" s="3">
        <v>44516</v>
      </c>
      <c r="C350">
        <v>116.80999799999999</v>
      </c>
      <c r="D350">
        <v>119.540001</v>
      </c>
      <c r="E350">
        <v>116.129997</v>
      </c>
      <c r="F350">
        <v>119.040001</v>
      </c>
      <c r="G350">
        <v>119.040001</v>
      </c>
      <c r="H350">
        <v>2285700</v>
      </c>
      <c r="I350">
        <f t="shared" si="11"/>
        <v>2.0138820462099201E-2</v>
      </c>
    </row>
    <row r="351" spans="2:9" x14ac:dyDescent="0.3">
      <c r="B351" s="3">
        <v>44517</v>
      </c>
      <c r="C351">
        <v>119.08000199999999</v>
      </c>
      <c r="D351">
        <v>119.5</v>
      </c>
      <c r="E351">
        <v>117.239998</v>
      </c>
      <c r="F351">
        <v>118.349998</v>
      </c>
      <c r="G351">
        <v>118.349998</v>
      </c>
      <c r="H351">
        <v>2062300</v>
      </c>
      <c r="I351">
        <f t="shared" si="11"/>
        <v>-5.7963961206620312E-3</v>
      </c>
    </row>
    <row r="352" spans="2:9" x14ac:dyDescent="0.3">
      <c r="B352" s="3">
        <v>44518</v>
      </c>
      <c r="C352">
        <v>118.879997</v>
      </c>
      <c r="D352">
        <v>118.879997</v>
      </c>
      <c r="E352">
        <v>116.379997</v>
      </c>
      <c r="F352">
        <v>117.029999</v>
      </c>
      <c r="G352">
        <v>117.029999</v>
      </c>
      <c r="H352">
        <v>1741500</v>
      </c>
      <c r="I352">
        <f t="shared" si="11"/>
        <v>-1.1153350420842388E-2</v>
      </c>
    </row>
    <row r="353" spans="2:9" x14ac:dyDescent="0.3">
      <c r="B353" s="3">
        <v>44519</v>
      </c>
      <c r="C353">
        <v>117.620003</v>
      </c>
      <c r="D353">
        <v>117.82</v>
      </c>
      <c r="E353">
        <v>116.010002</v>
      </c>
      <c r="F353">
        <v>117.029999</v>
      </c>
      <c r="G353">
        <v>117.029999</v>
      </c>
      <c r="H353">
        <v>2438300</v>
      </c>
      <c r="I353">
        <f t="shared" si="11"/>
        <v>0</v>
      </c>
    </row>
    <row r="354" spans="2:9" x14ac:dyDescent="0.3">
      <c r="B354" s="3">
        <v>44522</v>
      </c>
      <c r="C354">
        <v>117.389999</v>
      </c>
      <c r="D354">
        <v>117.75</v>
      </c>
      <c r="E354">
        <v>114.790001</v>
      </c>
      <c r="F354">
        <v>114.839996</v>
      </c>
      <c r="G354">
        <v>114.839996</v>
      </c>
      <c r="H354">
        <v>1848300</v>
      </c>
      <c r="I354">
        <f t="shared" si="11"/>
        <v>-1.8713176268590793E-2</v>
      </c>
    </row>
    <row r="355" spans="2:9" x14ac:dyDescent="0.3">
      <c r="B355" s="3">
        <v>44523</v>
      </c>
      <c r="C355">
        <v>114.139999</v>
      </c>
      <c r="D355">
        <v>115</v>
      </c>
      <c r="E355">
        <v>111.300003</v>
      </c>
      <c r="F355">
        <v>112.629997</v>
      </c>
      <c r="G355">
        <v>112.629997</v>
      </c>
      <c r="H355">
        <v>2391800</v>
      </c>
      <c r="I355">
        <f t="shared" si="11"/>
        <v>-1.9244157758417167E-2</v>
      </c>
    </row>
    <row r="356" spans="2:9" x14ac:dyDescent="0.3">
      <c r="B356" s="3">
        <v>44524</v>
      </c>
      <c r="C356">
        <v>112.230003</v>
      </c>
      <c r="D356">
        <v>114.870003</v>
      </c>
      <c r="E356">
        <v>112.230003</v>
      </c>
      <c r="F356">
        <v>114.489998</v>
      </c>
      <c r="G356">
        <v>114.489998</v>
      </c>
      <c r="H356">
        <v>2147900</v>
      </c>
      <c r="I356">
        <f t="shared" si="11"/>
        <v>1.6514259518270225E-2</v>
      </c>
    </row>
    <row r="357" spans="2:9" x14ac:dyDescent="0.3">
      <c r="B357" s="3">
        <v>44526</v>
      </c>
      <c r="C357">
        <v>114.139999</v>
      </c>
      <c r="D357">
        <v>114.860001</v>
      </c>
      <c r="E357">
        <v>109.25</v>
      </c>
      <c r="F357">
        <v>109.519997</v>
      </c>
      <c r="G357">
        <v>109.519997</v>
      </c>
      <c r="H357">
        <v>2249400</v>
      </c>
      <c r="I357">
        <f t="shared" si="11"/>
        <v>-4.3409914287883877E-2</v>
      </c>
    </row>
    <row r="358" spans="2:9" x14ac:dyDescent="0.3">
      <c r="B358" s="3">
        <v>44529</v>
      </c>
      <c r="C358">
        <v>110.58000199999999</v>
      </c>
      <c r="D358">
        <v>112.879997</v>
      </c>
      <c r="E358">
        <v>110.199997</v>
      </c>
      <c r="F358">
        <v>110.709999</v>
      </c>
      <c r="G358">
        <v>110.709999</v>
      </c>
      <c r="H358">
        <v>3791100</v>
      </c>
      <c r="I358">
        <f t="shared" si="11"/>
        <v>1.0865613884193154E-2</v>
      </c>
    </row>
    <row r="359" spans="2:9" x14ac:dyDescent="0.3">
      <c r="B359" s="3">
        <v>44530</v>
      </c>
      <c r="C359">
        <v>110.05999799999999</v>
      </c>
      <c r="D359">
        <v>111.55999799999999</v>
      </c>
      <c r="E359">
        <v>107.120003</v>
      </c>
      <c r="F359">
        <v>107.30999799999999</v>
      </c>
      <c r="G359">
        <v>107.30999799999999</v>
      </c>
      <c r="H359">
        <v>6271400</v>
      </c>
      <c r="I359">
        <f t="shared" si="11"/>
        <v>-3.0710875537086794E-2</v>
      </c>
    </row>
    <row r="360" spans="2:9" x14ac:dyDescent="0.3">
      <c r="B360" s="3">
        <v>44531</v>
      </c>
      <c r="C360">
        <v>108.410004</v>
      </c>
      <c r="D360">
        <v>109.949997</v>
      </c>
      <c r="E360">
        <v>107.260002</v>
      </c>
      <c r="F360">
        <v>107.43</v>
      </c>
      <c r="G360">
        <v>107.43</v>
      </c>
      <c r="H360">
        <v>3497900</v>
      </c>
      <c r="I360">
        <f t="shared" si="11"/>
        <v>1.1182741798207256E-3</v>
      </c>
    </row>
    <row r="361" spans="2:9" x14ac:dyDescent="0.3">
      <c r="B361" s="3">
        <v>44532</v>
      </c>
      <c r="C361">
        <v>107.629997</v>
      </c>
      <c r="D361">
        <v>110.300003</v>
      </c>
      <c r="E361">
        <v>107.120003</v>
      </c>
      <c r="F361">
        <v>109.82</v>
      </c>
      <c r="G361">
        <v>109.82</v>
      </c>
      <c r="H361">
        <v>2527300</v>
      </c>
      <c r="I361">
        <f t="shared" si="11"/>
        <v>2.2247044587172915E-2</v>
      </c>
    </row>
    <row r="362" spans="2:9" x14ac:dyDescent="0.3">
      <c r="B362" s="3">
        <v>44533</v>
      </c>
      <c r="C362">
        <v>110.69000200000001</v>
      </c>
      <c r="D362">
        <v>111.44000200000001</v>
      </c>
      <c r="E362">
        <v>107.150002</v>
      </c>
      <c r="F362">
        <v>108.480003</v>
      </c>
      <c r="G362">
        <v>108.480003</v>
      </c>
      <c r="H362">
        <v>3146800</v>
      </c>
      <c r="I362">
        <f t="shared" si="11"/>
        <v>-1.220175742123472E-2</v>
      </c>
    </row>
    <row r="363" spans="2:9" x14ac:dyDescent="0.3">
      <c r="B363" s="3">
        <v>44536</v>
      </c>
      <c r="C363">
        <v>110.5</v>
      </c>
      <c r="D363">
        <v>113.099998</v>
      </c>
      <c r="E363">
        <v>108.790001</v>
      </c>
      <c r="F363">
        <v>111.959999</v>
      </c>
      <c r="G363">
        <v>111.959999</v>
      </c>
      <c r="H363">
        <v>2643600</v>
      </c>
      <c r="I363">
        <f t="shared" si="11"/>
        <v>3.2079608257385463E-2</v>
      </c>
    </row>
    <row r="364" spans="2:9" x14ac:dyDescent="0.3">
      <c r="B364" s="3">
        <v>44537</v>
      </c>
      <c r="C364">
        <v>113.769997</v>
      </c>
      <c r="D364">
        <v>116.43</v>
      </c>
      <c r="E364">
        <v>113.370003</v>
      </c>
      <c r="F364">
        <v>115.519997</v>
      </c>
      <c r="G364">
        <v>115.519997</v>
      </c>
      <c r="H364">
        <v>2727000</v>
      </c>
      <c r="I364">
        <f t="shared" si="11"/>
        <v>3.1797052802760455E-2</v>
      </c>
    </row>
    <row r="365" spans="2:9" x14ac:dyDescent="0.3">
      <c r="B365" s="3">
        <v>44538</v>
      </c>
      <c r="C365">
        <v>116.040001</v>
      </c>
      <c r="D365">
        <v>119.620003</v>
      </c>
      <c r="E365">
        <v>115.699997</v>
      </c>
      <c r="F365">
        <v>119.459999</v>
      </c>
      <c r="G365">
        <v>119.459999</v>
      </c>
      <c r="H365">
        <v>3381100</v>
      </c>
      <c r="I365">
        <f t="shared" si="11"/>
        <v>3.4106666398199377E-2</v>
      </c>
    </row>
    <row r="366" spans="2:9" x14ac:dyDescent="0.3">
      <c r="B366" s="3">
        <v>44539</v>
      </c>
      <c r="C366">
        <v>120</v>
      </c>
      <c r="D366">
        <v>121.91999800000001</v>
      </c>
      <c r="E366">
        <v>119.489998</v>
      </c>
      <c r="F366">
        <v>120.339996</v>
      </c>
      <c r="G366">
        <v>120.339996</v>
      </c>
      <c r="H366">
        <v>2841200</v>
      </c>
      <c r="I366">
        <f t="shared" si="11"/>
        <v>7.3664574532601749E-3</v>
      </c>
    </row>
    <row r="367" spans="2:9" x14ac:dyDescent="0.3">
      <c r="B367" s="3">
        <v>44540</v>
      </c>
      <c r="C367">
        <v>121.489998</v>
      </c>
      <c r="D367">
        <v>122.339996</v>
      </c>
      <c r="E367">
        <v>120.550003</v>
      </c>
      <c r="F367">
        <v>121.839996</v>
      </c>
      <c r="G367">
        <v>121.839996</v>
      </c>
      <c r="H367">
        <v>2227600</v>
      </c>
      <c r="I367">
        <f t="shared" si="11"/>
        <v>1.2464683811357281E-2</v>
      </c>
    </row>
    <row r="368" spans="2:9" x14ac:dyDescent="0.3">
      <c r="B368" s="3">
        <v>44543</v>
      </c>
      <c r="C368">
        <v>121.83000199999999</v>
      </c>
      <c r="D368">
        <v>122.029999</v>
      </c>
      <c r="E368">
        <v>120.269997</v>
      </c>
      <c r="F368">
        <v>120.739998</v>
      </c>
      <c r="G368">
        <v>120.739998</v>
      </c>
      <c r="H368">
        <v>1757900</v>
      </c>
      <c r="I368">
        <f t="shared" si="11"/>
        <v>-9.0282176306046447E-3</v>
      </c>
    </row>
    <row r="369" spans="2:9" x14ac:dyDescent="0.3">
      <c r="B369" s="3">
        <v>44544</v>
      </c>
      <c r="C369">
        <v>119.489998</v>
      </c>
      <c r="D369">
        <v>119.489998</v>
      </c>
      <c r="E369">
        <v>115.739998</v>
      </c>
      <c r="F369">
        <v>116.900002</v>
      </c>
      <c r="G369">
        <v>116.900002</v>
      </c>
      <c r="H369">
        <v>2275200</v>
      </c>
      <c r="I369">
        <f t="shared" si="11"/>
        <v>-3.1803843495177127E-2</v>
      </c>
    </row>
    <row r="370" spans="2:9" x14ac:dyDescent="0.3">
      <c r="B370" s="3">
        <v>44545</v>
      </c>
      <c r="C370">
        <v>118.779999</v>
      </c>
      <c r="D370">
        <v>120.389999</v>
      </c>
      <c r="E370">
        <v>117.05999799999999</v>
      </c>
      <c r="F370">
        <v>119.910004</v>
      </c>
      <c r="G370">
        <v>119.910004</v>
      </c>
      <c r="H370">
        <v>2531000</v>
      </c>
      <c r="I370">
        <f t="shared" si="11"/>
        <v>2.5748519662129689E-2</v>
      </c>
    </row>
    <row r="371" spans="2:9" x14ac:dyDescent="0.3">
      <c r="B371" s="3">
        <v>44546</v>
      </c>
      <c r="C371">
        <v>120.629997</v>
      </c>
      <c r="D371">
        <v>122.5</v>
      </c>
      <c r="E371">
        <v>118.879997</v>
      </c>
      <c r="F371">
        <v>119.57</v>
      </c>
      <c r="G371">
        <v>119.57</v>
      </c>
      <c r="H371">
        <v>2866600</v>
      </c>
      <c r="I371">
        <f t="shared" si="11"/>
        <v>-2.8354931920443228E-3</v>
      </c>
    </row>
    <row r="372" spans="2:9" x14ac:dyDescent="0.3">
      <c r="B372" s="3">
        <v>44547</v>
      </c>
      <c r="C372">
        <v>121.239998</v>
      </c>
      <c r="D372">
        <v>123.55999799999999</v>
      </c>
      <c r="E372">
        <v>120.41999800000001</v>
      </c>
      <c r="F372">
        <v>122.120003</v>
      </c>
      <c r="G372">
        <v>122.120003</v>
      </c>
      <c r="H372">
        <v>6488800</v>
      </c>
      <c r="I372">
        <f t="shared" si="11"/>
        <v>2.1326444760391434E-2</v>
      </c>
    </row>
    <row r="373" spans="2:9" x14ac:dyDescent="0.3">
      <c r="B373" s="3">
        <v>44550</v>
      </c>
      <c r="C373">
        <v>120.44000200000001</v>
      </c>
      <c r="D373">
        <v>120.959999</v>
      </c>
      <c r="E373">
        <v>117.879997</v>
      </c>
      <c r="F373">
        <v>120.029999</v>
      </c>
      <c r="G373">
        <v>120.029999</v>
      </c>
      <c r="H373">
        <v>3263500</v>
      </c>
      <c r="I373">
        <f t="shared" si="11"/>
        <v>-1.7114346123951484E-2</v>
      </c>
    </row>
    <row r="374" spans="2:9" x14ac:dyDescent="0.3">
      <c r="B374" s="3">
        <v>44551</v>
      </c>
      <c r="C374">
        <v>121.07</v>
      </c>
      <c r="D374">
        <v>124.55999799999999</v>
      </c>
      <c r="E374">
        <v>120.870003</v>
      </c>
      <c r="F374">
        <v>124.400002</v>
      </c>
      <c r="G374">
        <v>124.400002</v>
      </c>
      <c r="H374">
        <v>2223600</v>
      </c>
      <c r="I374">
        <f t="shared" si="11"/>
        <v>3.6407590072545085E-2</v>
      </c>
    </row>
    <row r="375" spans="2:9" x14ac:dyDescent="0.3">
      <c r="B375" s="3">
        <v>44552</v>
      </c>
      <c r="C375">
        <v>124.199997</v>
      </c>
      <c r="D375">
        <v>128.020004</v>
      </c>
      <c r="E375">
        <v>124.199997</v>
      </c>
      <c r="F375">
        <v>127.83000199999999</v>
      </c>
      <c r="G375">
        <v>127.83000199999999</v>
      </c>
      <c r="H375">
        <v>2185700</v>
      </c>
      <c r="I375">
        <f t="shared" si="11"/>
        <v>2.7572346823595651E-2</v>
      </c>
    </row>
    <row r="376" spans="2:9" x14ac:dyDescent="0.3">
      <c r="B376" s="3">
        <v>44553</v>
      </c>
      <c r="C376">
        <v>128</v>
      </c>
      <c r="D376">
        <v>129.11999499999999</v>
      </c>
      <c r="E376">
        <v>127.650002</v>
      </c>
      <c r="F376">
        <v>128.570007</v>
      </c>
      <c r="G376">
        <v>128.570007</v>
      </c>
      <c r="H376">
        <v>1732200</v>
      </c>
      <c r="I376">
        <f t="shared" si="11"/>
        <v>5.7889774577333632E-3</v>
      </c>
    </row>
    <row r="377" spans="2:9" x14ac:dyDescent="0.3">
      <c r="B377" s="3">
        <v>44557</v>
      </c>
      <c r="C377">
        <v>129.070007</v>
      </c>
      <c r="D377">
        <v>130.60000600000001</v>
      </c>
      <c r="E377">
        <v>128.179993</v>
      </c>
      <c r="F377">
        <v>130.58000200000001</v>
      </c>
      <c r="G377">
        <v>130.58000200000001</v>
      </c>
      <c r="H377">
        <v>1254000</v>
      </c>
      <c r="I377">
        <f t="shared" si="11"/>
        <v>1.5633467298481234E-2</v>
      </c>
    </row>
    <row r="378" spans="2:9" x14ac:dyDescent="0.3">
      <c r="B378" s="3">
        <v>44558</v>
      </c>
      <c r="C378">
        <v>130.83000200000001</v>
      </c>
      <c r="D378">
        <v>130.89999399999999</v>
      </c>
      <c r="E378">
        <v>128.979996</v>
      </c>
      <c r="F378">
        <v>129.35000600000001</v>
      </c>
      <c r="G378">
        <v>129.35000600000001</v>
      </c>
      <c r="H378">
        <v>1298100</v>
      </c>
      <c r="I378">
        <f t="shared" si="11"/>
        <v>-9.4194821654237666E-3</v>
      </c>
    </row>
    <row r="379" spans="2:9" x14ac:dyDescent="0.3">
      <c r="B379" s="3">
        <v>44559</v>
      </c>
      <c r="C379">
        <v>129.66999799999999</v>
      </c>
      <c r="D379">
        <v>131.19000199999999</v>
      </c>
      <c r="E379">
        <v>129.60000600000001</v>
      </c>
      <c r="F379">
        <v>130.63999899999999</v>
      </c>
      <c r="G379">
        <v>130.63999899999999</v>
      </c>
      <c r="H379">
        <v>1137400</v>
      </c>
      <c r="I379">
        <f t="shared" si="11"/>
        <v>9.9728870518953142E-3</v>
      </c>
    </row>
    <row r="380" spans="2:9" x14ac:dyDescent="0.3">
      <c r="B380" s="3">
        <v>44560</v>
      </c>
      <c r="C380">
        <v>130.820007</v>
      </c>
      <c r="D380">
        <v>131.729996</v>
      </c>
      <c r="E380">
        <v>130.38999899999999</v>
      </c>
      <c r="F380">
        <v>130.679993</v>
      </c>
      <c r="G380">
        <v>130.679993</v>
      </c>
      <c r="H380">
        <v>1112400</v>
      </c>
      <c r="I380">
        <f t="shared" si="11"/>
        <v>3.0613901030424225E-4</v>
      </c>
    </row>
    <row r="381" spans="2:9" x14ac:dyDescent="0.3">
      <c r="B381" s="3">
        <v>44561</v>
      </c>
      <c r="C381">
        <v>130.30999800000001</v>
      </c>
      <c r="D381">
        <v>130.94000199999999</v>
      </c>
      <c r="E381">
        <v>129.270004</v>
      </c>
      <c r="F381">
        <v>129.550003</v>
      </c>
      <c r="G381">
        <v>129.550003</v>
      </c>
      <c r="H381">
        <v>1193700</v>
      </c>
      <c r="I381">
        <f t="shared" si="11"/>
        <v>-8.647000769276077E-3</v>
      </c>
    </row>
    <row r="382" spans="2:9" x14ac:dyDescent="0.3">
      <c r="B382" s="3">
        <v>44564</v>
      </c>
      <c r="C382">
        <v>129.070007</v>
      </c>
      <c r="D382">
        <v>129.509995</v>
      </c>
      <c r="E382">
        <v>126.43</v>
      </c>
      <c r="F382">
        <v>128.33999600000001</v>
      </c>
      <c r="G382">
        <v>128.33999600000001</v>
      </c>
      <c r="H382">
        <v>1765700</v>
      </c>
      <c r="I382">
        <f t="shared" si="11"/>
        <v>-9.3400769739850203E-3</v>
      </c>
    </row>
    <row r="383" spans="2:9" x14ac:dyDescent="0.3">
      <c r="B383" s="3">
        <v>44565</v>
      </c>
      <c r="C383">
        <v>128.36999499999999</v>
      </c>
      <c r="D383">
        <v>129.529999</v>
      </c>
      <c r="E383">
        <v>126.94000200000001</v>
      </c>
      <c r="F383">
        <v>127.889999</v>
      </c>
      <c r="G383">
        <v>127.889999</v>
      </c>
      <c r="H383">
        <v>2020300</v>
      </c>
      <c r="I383">
        <f t="shared" si="11"/>
        <v>-3.5062880943210438E-3</v>
      </c>
    </row>
    <row r="384" spans="2:9" x14ac:dyDescent="0.3">
      <c r="B384" s="3">
        <v>44566</v>
      </c>
      <c r="C384">
        <v>127.550003</v>
      </c>
      <c r="D384">
        <v>128.36000100000001</v>
      </c>
      <c r="E384">
        <v>123.91999800000001</v>
      </c>
      <c r="F384">
        <v>123.91999800000001</v>
      </c>
      <c r="G384">
        <v>123.91999800000001</v>
      </c>
      <c r="H384">
        <v>2201700</v>
      </c>
      <c r="I384">
        <f t="shared" si="11"/>
        <v>-3.1042310040208822E-2</v>
      </c>
    </row>
    <row r="385" spans="2:9" x14ac:dyDescent="0.3">
      <c r="B385" s="3">
        <v>44567</v>
      </c>
      <c r="C385">
        <v>124.349998</v>
      </c>
      <c r="D385">
        <v>125.400002</v>
      </c>
      <c r="E385">
        <v>122.970001</v>
      </c>
      <c r="F385">
        <v>123.230003</v>
      </c>
      <c r="G385">
        <v>123.230003</v>
      </c>
      <c r="H385">
        <v>2602100</v>
      </c>
      <c r="I385">
        <f t="shared" si="11"/>
        <v>-5.5680681983226819E-3</v>
      </c>
    </row>
    <row r="386" spans="2:9" x14ac:dyDescent="0.3">
      <c r="B386" s="3">
        <v>44568</v>
      </c>
      <c r="C386">
        <v>122.160004</v>
      </c>
      <c r="D386">
        <v>123.80999799999999</v>
      </c>
      <c r="E386">
        <v>121.019997</v>
      </c>
      <c r="F386">
        <v>122.300003</v>
      </c>
      <c r="G386">
        <v>122.300003</v>
      </c>
      <c r="H386">
        <v>2172000</v>
      </c>
      <c r="I386">
        <f t="shared" si="11"/>
        <v>-7.5468634046855672E-3</v>
      </c>
    </row>
    <row r="387" spans="2:9" x14ac:dyDescent="0.3">
      <c r="B387" s="3">
        <v>44571</v>
      </c>
      <c r="C387">
        <v>120.529999</v>
      </c>
      <c r="D387">
        <v>121.220001</v>
      </c>
      <c r="E387">
        <v>117.720001</v>
      </c>
      <c r="F387">
        <v>120.120003</v>
      </c>
      <c r="G387">
        <v>120.120003</v>
      </c>
      <c r="H387">
        <v>2652600</v>
      </c>
      <c r="I387">
        <f t="shared" si="11"/>
        <v>-1.7825020004292286E-2</v>
      </c>
    </row>
    <row r="388" spans="2:9" x14ac:dyDescent="0.3">
      <c r="B388" s="3">
        <v>44572</v>
      </c>
      <c r="C388">
        <v>120.599998</v>
      </c>
      <c r="D388">
        <v>122.19000200000001</v>
      </c>
      <c r="E388">
        <v>118.540001</v>
      </c>
      <c r="F388">
        <v>121.94000200000001</v>
      </c>
      <c r="G388">
        <v>121.94000200000001</v>
      </c>
      <c r="H388">
        <v>2389400</v>
      </c>
      <c r="I388">
        <f t="shared" si="11"/>
        <v>1.5151506448097658E-2</v>
      </c>
    </row>
    <row r="389" spans="2:9" x14ac:dyDescent="0.3">
      <c r="B389" s="3">
        <v>44573</v>
      </c>
      <c r="C389">
        <v>121.19000200000001</v>
      </c>
      <c r="D389">
        <v>123.769997</v>
      </c>
      <c r="E389">
        <v>121.19000200000001</v>
      </c>
      <c r="F389">
        <v>122.260002</v>
      </c>
      <c r="G389">
        <v>122.260002</v>
      </c>
      <c r="H389">
        <v>2006900</v>
      </c>
      <c r="I389">
        <f t="shared" si="11"/>
        <v>2.6242413871700046E-3</v>
      </c>
    </row>
    <row r="390" spans="2:9" x14ac:dyDescent="0.3">
      <c r="B390" s="3">
        <v>44574</v>
      </c>
      <c r="C390">
        <v>122.57</v>
      </c>
      <c r="D390">
        <v>122.900002</v>
      </c>
      <c r="E390">
        <v>120.050003</v>
      </c>
      <c r="F390">
        <v>120.459999</v>
      </c>
      <c r="G390">
        <v>120.459999</v>
      </c>
      <c r="H390">
        <v>1696000</v>
      </c>
      <c r="I390">
        <f t="shared" si="11"/>
        <v>-1.4722746364751439E-2</v>
      </c>
    </row>
    <row r="391" spans="2:9" x14ac:dyDescent="0.3">
      <c r="B391" s="3">
        <v>44575</v>
      </c>
      <c r="C391">
        <v>119.44000200000001</v>
      </c>
      <c r="D391">
        <v>120.209999</v>
      </c>
      <c r="E391">
        <v>116.699997</v>
      </c>
      <c r="F391">
        <v>118.260002</v>
      </c>
      <c r="G391">
        <v>118.260002</v>
      </c>
      <c r="H391">
        <v>2112800</v>
      </c>
      <c r="I391">
        <f t="shared" ref="I391:I447" si="12">(G391-G390)/G390</f>
        <v>-1.8263299172034661E-2</v>
      </c>
    </row>
    <row r="392" spans="2:9" x14ac:dyDescent="0.3">
      <c r="B392" s="3">
        <v>44579</v>
      </c>
      <c r="C392">
        <v>115</v>
      </c>
      <c r="D392">
        <v>116.519997</v>
      </c>
      <c r="E392">
        <v>114.16999800000001</v>
      </c>
      <c r="F392">
        <v>115.83000199999999</v>
      </c>
      <c r="G392">
        <v>115.83000199999999</v>
      </c>
      <c r="H392">
        <v>2601200</v>
      </c>
      <c r="I392">
        <f t="shared" si="12"/>
        <v>-2.0547944857974947E-2</v>
      </c>
    </row>
    <row r="393" spans="2:9" x14ac:dyDescent="0.3">
      <c r="B393" s="3">
        <v>44580</v>
      </c>
      <c r="C393">
        <v>116.25</v>
      </c>
      <c r="D393">
        <v>118.150002</v>
      </c>
      <c r="E393">
        <v>115.970001</v>
      </c>
      <c r="F393">
        <v>116.160004</v>
      </c>
      <c r="G393">
        <v>116.160004</v>
      </c>
      <c r="H393">
        <v>2245300</v>
      </c>
      <c r="I393">
        <f t="shared" si="12"/>
        <v>2.8490200664937179E-3</v>
      </c>
    </row>
    <row r="394" spans="2:9" x14ac:dyDescent="0.3">
      <c r="B394" s="3">
        <v>44581</v>
      </c>
      <c r="C394">
        <v>117.199997</v>
      </c>
      <c r="D394">
        <v>119.55999799999999</v>
      </c>
      <c r="E394">
        <v>115.339996</v>
      </c>
      <c r="F394">
        <v>115.55999799999999</v>
      </c>
      <c r="G394">
        <v>115.55999799999999</v>
      </c>
      <c r="H394">
        <v>1825500</v>
      </c>
      <c r="I394">
        <f t="shared" si="12"/>
        <v>-5.1653407312211141E-3</v>
      </c>
    </row>
    <row r="395" spans="2:9" x14ac:dyDescent="0.3">
      <c r="B395" s="3">
        <v>44582</v>
      </c>
      <c r="C395">
        <v>115.519997</v>
      </c>
      <c r="D395">
        <v>115.550003</v>
      </c>
      <c r="E395">
        <v>112.230003</v>
      </c>
      <c r="F395">
        <v>112.650002</v>
      </c>
      <c r="G395">
        <v>112.650002</v>
      </c>
      <c r="H395">
        <v>3144900</v>
      </c>
      <c r="I395">
        <f t="shared" si="12"/>
        <v>-2.5181689601621426E-2</v>
      </c>
    </row>
    <row r="396" spans="2:9" x14ac:dyDescent="0.3">
      <c r="B396" s="3">
        <v>44585</v>
      </c>
      <c r="C396">
        <v>110.300003</v>
      </c>
      <c r="D396">
        <v>110.75</v>
      </c>
      <c r="E396">
        <v>105.139999</v>
      </c>
      <c r="F396">
        <v>110.599998</v>
      </c>
      <c r="G396">
        <v>110.599998</v>
      </c>
      <c r="H396">
        <v>4692000</v>
      </c>
      <c r="I396">
        <f t="shared" si="12"/>
        <v>-1.819799346297394E-2</v>
      </c>
    </row>
    <row r="397" spans="2:9" x14ac:dyDescent="0.3">
      <c r="B397" s="3">
        <v>44586</v>
      </c>
      <c r="C397">
        <v>107.94000200000001</v>
      </c>
      <c r="D397">
        <v>111.120003</v>
      </c>
      <c r="E397">
        <v>106.529999</v>
      </c>
      <c r="F397">
        <v>109.489998</v>
      </c>
      <c r="G397">
        <v>109.489998</v>
      </c>
      <c r="H397">
        <v>3211900</v>
      </c>
      <c r="I397">
        <f t="shared" si="12"/>
        <v>-1.0036166546766118E-2</v>
      </c>
    </row>
    <row r="398" spans="2:9" x14ac:dyDescent="0.3">
      <c r="B398" s="3">
        <v>44587</v>
      </c>
      <c r="C398">
        <v>111.050003</v>
      </c>
      <c r="D398">
        <v>112.160004</v>
      </c>
      <c r="E398">
        <v>107.370003</v>
      </c>
      <c r="F398">
        <v>108.629997</v>
      </c>
      <c r="G398">
        <v>108.629997</v>
      </c>
      <c r="H398">
        <v>3144300</v>
      </c>
      <c r="I398">
        <f t="shared" si="12"/>
        <v>-7.8546078702092671E-3</v>
      </c>
    </row>
    <row r="399" spans="2:9" x14ac:dyDescent="0.3">
      <c r="B399" s="3">
        <v>44588</v>
      </c>
      <c r="C399">
        <v>100</v>
      </c>
      <c r="D399">
        <v>106.040001</v>
      </c>
      <c r="E399">
        <v>99.620002999999997</v>
      </c>
      <c r="F399">
        <v>101.959999</v>
      </c>
      <c r="G399">
        <v>101.959999</v>
      </c>
      <c r="H399">
        <v>6876000</v>
      </c>
      <c r="I399">
        <f t="shared" si="12"/>
        <v>-6.1401069540672149E-2</v>
      </c>
    </row>
    <row r="400" spans="2:9" x14ac:dyDescent="0.3">
      <c r="B400" s="3">
        <v>44589</v>
      </c>
      <c r="C400">
        <v>102.370003</v>
      </c>
      <c r="D400">
        <v>105.019997</v>
      </c>
      <c r="E400">
        <v>96.389999000000003</v>
      </c>
      <c r="F400">
        <v>104.870003</v>
      </c>
      <c r="G400">
        <v>104.870003</v>
      </c>
      <c r="H400">
        <v>3828600</v>
      </c>
      <c r="I400">
        <f t="shared" si="12"/>
        <v>2.8540643669484549E-2</v>
      </c>
    </row>
    <row r="401" spans="2:9" x14ac:dyDescent="0.3">
      <c r="B401" s="3">
        <v>44592</v>
      </c>
      <c r="C401">
        <v>105.32</v>
      </c>
      <c r="D401">
        <v>109.410004</v>
      </c>
      <c r="E401">
        <v>105</v>
      </c>
      <c r="F401">
        <v>109.199997</v>
      </c>
      <c r="G401">
        <v>109.199997</v>
      </c>
      <c r="H401">
        <v>3398300</v>
      </c>
      <c r="I401">
        <f t="shared" si="12"/>
        <v>4.1289156823996649E-2</v>
      </c>
    </row>
    <row r="402" spans="2:9" x14ac:dyDescent="0.3">
      <c r="B402" s="3">
        <v>44593</v>
      </c>
      <c r="C402">
        <v>109.589996</v>
      </c>
      <c r="D402">
        <v>110.540001</v>
      </c>
      <c r="E402">
        <v>107.019997</v>
      </c>
      <c r="F402">
        <v>108.370003</v>
      </c>
      <c r="G402">
        <v>108.370003</v>
      </c>
      <c r="H402">
        <v>3731900</v>
      </c>
      <c r="I402">
        <f t="shared" si="12"/>
        <v>-7.60067786448748E-3</v>
      </c>
    </row>
    <row r="403" spans="2:9" x14ac:dyDescent="0.3">
      <c r="B403" s="3">
        <v>44594</v>
      </c>
      <c r="C403">
        <v>111.790001</v>
      </c>
      <c r="D403">
        <v>112.989998</v>
      </c>
      <c r="E403">
        <v>109.769997</v>
      </c>
      <c r="F403">
        <v>112.839996</v>
      </c>
      <c r="G403">
        <v>112.839996</v>
      </c>
      <c r="H403">
        <v>3385300</v>
      </c>
      <c r="I403">
        <f t="shared" si="12"/>
        <v>4.1247512007543292E-2</v>
      </c>
    </row>
    <row r="404" spans="2:9" x14ac:dyDescent="0.3">
      <c r="B404" s="3">
        <v>44595</v>
      </c>
      <c r="C404">
        <v>110.800003</v>
      </c>
      <c r="D404">
        <v>113.910004</v>
      </c>
      <c r="E404">
        <v>110.589996</v>
      </c>
      <c r="F404">
        <v>111.589996</v>
      </c>
      <c r="G404">
        <v>111.589996</v>
      </c>
      <c r="H404">
        <v>2655300</v>
      </c>
      <c r="I404">
        <f t="shared" si="12"/>
        <v>-1.1077632438058576E-2</v>
      </c>
    </row>
    <row r="405" spans="2:9" x14ac:dyDescent="0.3">
      <c r="B405" s="3">
        <v>44596</v>
      </c>
      <c r="C405">
        <v>110.599998</v>
      </c>
      <c r="D405">
        <v>113.209999</v>
      </c>
      <c r="E405">
        <v>110.260002</v>
      </c>
      <c r="F405">
        <v>112.18</v>
      </c>
      <c r="G405">
        <v>112.18</v>
      </c>
      <c r="H405">
        <v>2303700</v>
      </c>
      <c r="I405">
        <f t="shared" si="12"/>
        <v>5.2872481508110056E-3</v>
      </c>
    </row>
    <row r="406" spans="2:9" x14ac:dyDescent="0.3">
      <c r="B406" s="3">
        <v>44599</v>
      </c>
      <c r="C406">
        <v>111.599998</v>
      </c>
      <c r="D406">
        <v>113.339996</v>
      </c>
      <c r="E406">
        <v>110.610001</v>
      </c>
      <c r="F406">
        <v>111.129997</v>
      </c>
      <c r="G406">
        <v>111.129997</v>
      </c>
      <c r="H406">
        <v>1833500</v>
      </c>
      <c r="I406">
        <f t="shared" si="12"/>
        <v>-9.3599839543590992E-3</v>
      </c>
    </row>
    <row r="407" spans="2:9" x14ac:dyDescent="0.3">
      <c r="B407" s="3">
        <v>44600</v>
      </c>
      <c r="C407">
        <v>110.349998</v>
      </c>
      <c r="D407">
        <v>111.80999799999999</v>
      </c>
      <c r="E407">
        <v>108.83000199999999</v>
      </c>
      <c r="F407">
        <v>111.41999800000001</v>
      </c>
      <c r="G407">
        <v>111.41999800000001</v>
      </c>
      <c r="H407">
        <v>3798300</v>
      </c>
      <c r="I407">
        <f t="shared" si="12"/>
        <v>2.609565444332764E-3</v>
      </c>
    </row>
    <row r="408" spans="2:9" x14ac:dyDescent="0.3">
      <c r="B408" s="3">
        <v>44601</v>
      </c>
      <c r="C408">
        <v>113.040001</v>
      </c>
      <c r="D408">
        <v>114.120003</v>
      </c>
      <c r="E408">
        <v>111.959999</v>
      </c>
      <c r="F408">
        <v>112.589996</v>
      </c>
      <c r="G408">
        <v>112.589996</v>
      </c>
      <c r="H408">
        <v>3025500</v>
      </c>
      <c r="I408">
        <f t="shared" si="12"/>
        <v>1.0500789992834074E-2</v>
      </c>
    </row>
    <row r="409" spans="2:9" x14ac:dyDescent="0.3">
      <c r="B409" s="3">
        <v>44602</v>
      </c>
      <c r="C409">
        <v>110.160004</v>
      </c>
      <c r="D409">
        <v>112.769997</v>
      </c>
      <c r="E409">
        <v>110.05999799999999</v>
      </c>
      <c r="F409">
        <v>110.639999</v>
      </c>
      <c r="G409">
        <v>110.639999</v>
      </c>
      <c r="H409">
        <v>2338200</v>
      </c>
      <c r="I409">
        <f t="shared" si="12"/>
        <v>-1.7319451721092487E-2</v>
      </c>
    </row>
    <row r="410" spans="2:9" x14ac:dyDescent="0.3">
      <c r="B410" s="3">
        <v>44603</v>
      </c>
      <c r="C410">
        <v>110.800003</v>
      </c>
      <c r="D410">
        <v>112</v>
      </c>
      <c r="E410">
        <v>108.82</v>
      </c>
      <c r="F410">
        <v>109</v>
      </c>
      <c r="G410">
        <v>109</v>
      </c>
      <c r="H410">
        <v>2797300</v>
      </c>
      <c r="I410">
        <f t="shared" si="12"/>
        <v>-1.4822839974899159E-2</v>
      </c>
    </row>
    <row r="411" spans="2:9" x14ac:dyDescent="0.3">
      <c r="B411" s="3">
        <v>44606</v>
      </c>
      <c r="C411">
        <v>108.339996</v>
      </c>
      <c r="D411">
        <v>109.480003</v>
      </c>
      <c r="E411">
        <v>106.41999800000001</v>
      </c>
      <c r="F411">
        <v>107.730003</v>
      </c>
      <c r="G411">
        <v>107.730003</v>
      </c>
      <c r="H411">
        <v>2405100</v>
      </c>
      <c r="I411">
        <f t="shared" si="12"/>
        <v>-1.1651348623853244E-2</v>
      </c>
    </row>
    <row r="412" spans="2:9" x14ac:dyDescent="0.3">
      <c r="B412" s="3">
        <v>44607</v>
      </c>
      <c r="C412">
        <v>108.550003</v>
      </c>
      <c r="D412">
        <v>110.970001</v>
      </c>
      <c r="E412">
        <v>108.550003</v>
      </c>
      <c r="F412">
        <v>110.93</v>
      </c>
      <c r="G412">
        <v>110.93</v>
      </c>
      <c r="H412">
        <v>3034700</v>
      </c>
      <c r="I412">
        <f t="shared" si="12"/>
        <v>2.9703860678440809E-2</v>
      </c>
    </row>
    <row r="413" spans="2:9" x14ac:dyDescent="0.3">
      <c r="B413" s="3">
        <v>44608</v>
      </c>
      <c r="C413">
        <v>110.209999</v>
      </c>
      <c r="D413">
        <v>111.110001</v>
      </c>
      <c r="E413">
        <v>108.5</v>
      </c>
      <c r="F413">
        <v>110.660004</v>
      </c>
      <c r="G413">
        <v>110.660004</v>
      </c>
      <c r="H413">
        <v>2823700</v>
      </c>
      <c r="I413">
        <f t="shared" si="12"/>
        <v>-2.4339313080321474E-3</v>
      </c>
    </row>
    <row r="414" spans="2:9" x14ac:dyDescent="0.3">
      <c r="B414" s="3">
        <v>44609</v>
      </c>
      <c r="C414">
        <v>109.639999</v>
      </c>
      <c r="D414">
        <v>109.800003</v>
      </c>
      <c r="E414">
        <v>106.699997</v>
      </c>
      <c r="F414">
        <v>106.879997</v>
      </c>
      <c r="G414">
        <v>106.879997</v>
      </c>
      <c r="H414">
        <v>2269000</v>
      </c>
      <c r="I414">
        <f t="shared" si="12"/>
        <v>-3.4158746280182652E-2</v>
      </c>
    </row>
    <row r="415" spans="2:9" x14ac:dyDescent="0.3">
      <c r="B415" s="3">
        <v>44610</v>
      </c>
      <c r="C415">
        <v>106.660004</v>
      </c>
      <c r="D415">
        <v>107.269997</v>
      </c>
      <c r="E415">
        <v>104.910004</v>
      </c>
      <c r="F415">
        <v>105.620003</v>
      </c>
      <c r="G415">
        <v>105.620003</v>
      </c>
      <c r="H415">
        <v>2525600</v>
      </c>
      <c r="I415">
        <f t="shared" si="12"/>
        <v>-1.1788866348864195E-2</v>
      </c>
    </row>
    <row r="416" spans="2:9" x14ac:dyDescent="0.3">
      <c r="B416" s="3">
        <v>44614</v>
      </c>
      <c r="C416">
        <v>104.989998</v>
      </c>
      <c r="D416">
        <v>107.269997</v>
      </c>
      <c r="E416">
        <v>104.80999799999999</v>
      </c>
      <c r="F416">
        <v>105.94000200000001</v>
      </c>
      <c r="G416">
        <v>105.94000200000001</v>
      </c>
      <c r="H416">
        <v>2074600</v>
      </c>
      <c r="I416">
        <f t="shared" si="12"/>
        <v>3.0297196639921505E-3</v>
      </c>
    </row>
    <row r="417" spans="2:9" x14ac:dyDescent="0.3">
      <c r="B417" s="3">
        <v>44615</v>
      </c>
      <c r="C417">
        <v>106.459999</v>
      </c>
      <c r="D417">
        <v>107.599998</v>
      </c>
      <c r="E417">
        <v>105.07</v>
      </c>
      <c r="F417">
        <v>105.33000199999999</v>
      </c>
      <c r="G417">
        <v>105.33000199999999</v>
      </c>
      <c r="H417">
        <v>2235000</v>
      </c>
      <c r="I417">
        <f t="shared" si="12"/>
        <v>-5.7579761042482669E-3</v>
      </c>
    </row>
    <row r="418" spans="2:9" x14ac:dyDescent="0.3">
      <c r="B418" s="3">
        <v>44616</v>
      </c>
      <c r="C418">
        <v>103.260002</v>
      </c>
      <c r="D418">
        <v>110.040001</v>
      </c>
      <c r="E418">
        <v>102.57</v>
      </c>
      <c r="F418">
        <v>109.639999</v>
      </c>
      <c r="G418">
        <v>109.639999</v>
      </c>
      <c r="H418">
        <v>3112000</v>
      </c>
      <c r="I418">
        <f t="shared" si="12"/>
        <v>4.0918987165689126E-2</v>
      </c>
    </row>
    <row r="419" spans="2:9" x14ac:dyDescent="0.3">
      <c r="B419" s="3">
        <v>44617</v>
      </c>
      <c r="C419">
        <v>109.58000199999999</v>
      </c>
      <c r="D419">
        <v>113.110001</v>
      </c>
      <c r="E419">
        <v>108.550003</v>
      </c>
      <c r="F419">
        <v>113.029999</v>
      </c>
      <c r="G419">
        <v>113.029999</v>
      </c>
      <c r="H419">
        <v>2157300</v>
      </c>
      <c r="I419">
        <f t="shared" si="12"/>
        <v>3.0919372773799463E-2</v>
      </c>
    </row>
    <row r="420" spans="2:9" x14ac:dyDescent="0.3">
      <c r="B420" s="3">
        <v>44620</v>
      </c>
      <c r="C420">
        <v>111.07</v>
      </c>
      <c r="D420">
        <v>113.139999</v>
      </c>
      <c r="E420">
        <v>110.290001</v>
      </c>
      <c r="F420">
        <v>112.370003</v>
      </c>
      <c r="G420">
        <v>112.370003</v>
      </c>
      <c r="H420">
        <v>3072400</v>
      </c>
      <c r="I420">
        <f t="shared" si="12"/>
        <v>-5.8391224085563931E-3</v>
      </c>
    </row>
    <row r="421" spans="2:9" x14ac:dyDescent="0.3">
      <c r="B421" s="3">
        <v>44621</v>
      </c>
      <c r="C421">
        <v>112.349998</v>
      </c>
      <c r="D421">
        <v>112.970001</v>
      </c>
      <c r="E421">
        <v>110.550003</v>
      </c>
      <c r="F421">
        <v>111.610001</v>
      </c>
      <c r="G421">
        <v>111.610001</v>
      </c>
      <c r="H421">
        <v>2001300</v>
      </c>
      <c r="I421">
        <f t="shared" si="12"/>
        <v>-6.7633886242754668E-3</v>
      </c>
    </row>
    <row r="422" spans="2:9" x14ac:dyDescent="0.3">
      <c r="B422" s="3">
        <v>44622</v>
      </c>
      <c r="C422">
        <v>112.510002</v>
      </c>
      <c r="D422">
        <v>112.82</v>
      </c>
      <c r="E422">
        <v>110.83000199999999</v>
      </c>
      <c r="F422">
        <v>111.379997</v>
      </c>
      <c r="G422">
        <v>111.379997</v>
      </c>
      <c r="H422">
        <v>2486500</v>
      </c>
      <c r="I422">
        <f t="shared" si="12"/>
        <v>-2.0607830654888522E-3</v>
      </c>
    </row>
    <row r="423" spans="2:9" x14ac:dyDescent="0.3">
      <c r="B423" s="3">
        <v>44623</v>
      </c>
      <c r="C423">
        <v>112.30999799999999</v>
      </c>
      <c r="D423">
        <v>113.400002</v>
      </c>
      <c r="E423">
        <v>110.32</v>
      </c>
      <c r="F423">
        <v>111.980003</v>
      </c>
      <c r="G423">
        <v>111.980003</v>
      </c>
      <c r="H423">
        <v>2405400</v>
      </c>
      <c r="I423">
        <f t="shared" si="12"/>
        <v>5.3870175629470822E-3</v>
      </c>
    </row>
    <row r="424" spans="2:9" x14ac:dyDescent="0.3">
      <c r="B424" s="3">
        <v>44624</v>
      </c>
      <c r="C424">
        <v>111.360001</v>
      </c>
      <c r="D424">
        <v>111.459999</v>
      </c>
      <c r="E424">
        <v>108.470001</v>
      </c>
      <c r="F424">
        <v>110.639999</v>
      </c>
      <c r="G424">
        <v>110.639999</v>
      </c>
      <c r="H424">
        <v>2280400</v>
      </c>
      <c r="I424">
        <f t="shared" si="12"/>
        <v>-1.1966457975536877E-2</v>
      </c>
    </row>
    <row r="425" spans="2:9" x14ac:dyDescent="0.3">
      <c r="B425" s="3">
        <v>44627</v>
      </c>
      <c r="C425">
        <v>110.33000199999999</v>
      </c>
      <c r="D425">
        <v>110.80999799999999</v>
      </c>
      <c r="E425">
        <v>107.220001</v>
      </c>
      <c r="F425">
        <v>108.349998</v>
      </c>
      <c r="G425">
        <v>108.349998</v>
      </c>
      <c r="H425">
        <v>1887500</v>
      </c>
      <c r="I425">
        <f t="shared" si="12"/>
        <v>-2.0697767721418757E-2</v>
      </c>
    </row>
    <row r="426" spans="2:9" x14ac:dyDescent="0.3">
      <c r="B426" s="3">
        <v>44628</v>
      </c>
      <c r="C426">
        <v>107.599998</v>
      </c>
      <c r="D426">
        <v>107.769997</v>
      </c>
      <c r="E426">
        <v>101.839996</v>
      </c>
      <c r="F426">
        <v>102</v>
      </c>
      <c r="G426">
        <v>102</v>
      </c>
      <c r="H426">
        <v>3553200</v>
      </c>
      <c r="I426">
        <f t="shared" si="12"/>
        <v>-5.8606350874136605E-2</v>
      </c>
    </row>
    <row r="427" spans="2:9" x14ac:dyDescent="0.3">
      <c r="B427" s="3">
        <v>44629</v>
      </c>
      <c r="C427">
        <v>104.910004</v>
      </c>
      <c r="D427">
        <v>106.379997</v>
      </c>
      <c r="E427">
        <v>103.230003</v>
      </c>
      <c r="F427">
        <v>105.910004</v>
      </c>
      <c r="G427">
        <v>105.910004</v>
      </c>
      <c r="H427">
        <v>3320800</v>
      </c>
      <c r="I427">
        <f t="shared" si="12"/>
        <v>3.8333372549019612E-2</v>
      </c>
    </row>
    <row r="428" spans="2:9" x14ac:dyDescent="0.3">
      <c r="B428" s="3">
        <v>44630</v>
      </c>
      <c r="C428">
        <v>104.089996</v>
      </c>
      <c r="D428">
        <v>106</v>
      </c>
      <c r="E428">
        <v>104.07</v>
      </c>
      <c r="F428">
        <v>105.699997</v>
      </c>
      <c r="G428">
        <v>105.699997</v>
      </c>
      <c r="H428">
        <v>2091400</v>
      </c>
      <c r="I428">
        <f t="shared" si="12"/>
        <v>-1.9828816171133796E-3</v>
      </c>
    </row>
    <row r="429" spans="2:9" x14ac:dyDescent="0.3">
      <c r="B429" s="3">
        <v>44631</v>
      </c>
      <c r="C429">
        <v>106.80999799999999</v>
      </c>
      <c r="D429">
        <v>106.980003</v>
      </c>
      <c r="E429">
        <v>103.400002</v>
      </c>
      <c r="F429">
        <v>103.449997</v>
      </c>
      <c r="G429">
        <v>103.449997</v>
      </c>
      <c r="H429">
        <v>2030400</v>
      </c>
      <c r="I429">
        <f t="shared" si="12"/>
        <v>-2.1286660963670604E-2</v>
      </c>
    </row>
    <row r="430" spans="2:9" x14ac:dyDescent="0.3">
      <c r="B430" s="3">
        <v>44634</v>
      </c>
      <c r="C430">
        <v>104.209999</v>
      </c>
      <c r="D430">
        <v>105.150002</v>
      </c>
      <c r="E430">
        <v>100.970001</v>
      </c>
      <c r="F430">
        <v>102.25</v>
      </c>
      <c r="G430">
        <v>102.25</v>
      </c>
      <c r="H430">
        <v>2391300</v>
      </c>
      <c r="I430">
        <f t="shared" si="12"/>
        <v>-1.159977800676008E-2</v>
      </c>
    </row>
    <row r="431" spans="2:9" x14ac:dyDescent="0.3">
      <c r="B431" s="3">
        <v>44635</v>
      </c>
      <c r="C431">
        <v>104.709999</v>
      </c>
      <c r="D431">
        <v>106.220001</v>
      </c>
      <c r="E431">
        <v>103.83000199999999</v>
      </c>
      <c r="F431">
        <v>106.150002</v>
      </c>
      <c r="G431">
        <v>106.150002</v>
      </c>
      <c r="H431">
        <v>2251100</v>
      </c>
      <c r="I431">
        <f t="shared" si="12"/>
        <v>3.814182885085575E-2</v>
      </c>
    </row>
    <row r="432" spans="2:9" x14ac:dyDescent="0.3">
      <c r="B432" s="3">
        <v>44636</v>
      </c>
      <c r="C432">
        <v>108.41999800000001</v>
      </c>
      <c r="D432">
        <v>109.839996</v>
      </c>
      <c r="E432">
        <v>106.620003</v>
      </c>
      <c r="F432">
        <v>109.790001</v>
      </c>
      <c r="G432">
        <v>109.790001</v>
      </c>
      <c r="H432">
        <v>2144500</v>
      </c>
      <c r="I432">
        <f t="shared" si="12"/>
        <v>3.4291087436814208E-2</v>
      </c>
    </row>
    <row r="433" spans="2:9" x14ac:dyDescent="0.3">
      <c r="B433" s="3">
        <v>44637</v>
      </c>
      <c r="C433">
        <v>109.120003</v>
      </c>
      <c r="D433">
        <v>112.610001</v>
      </c>
      <c r="E433">
        <v>109.050003</v>
      </c>
      <c r="F433">
        <v>112.540001</v>
      </c>
      <c r="G433">
        <v>112.540001</v>
      </c>
      <c r="H433">
        <v>1952000</v>
      </c>
      <c r="I433">
        <f t="shared" si="12"/>
        <v>2.5047818334567644E-2</v>
      </c>
    </row>
    <row r="434" spans="2:9" x14ac:dyDescent="0.3">
      <c r="B434" s="3">
        <v>44638</v>
      </c>
      <c r="C434">
        <v>113.010002</v>
      </c>
      <c r="D434">
        <v>113.230003</v>
      </c>
      <c r="E434">
        <v>111.08000199999999</v>
      </c>
      <c r="F434">
        <v>112.769997</v>
      </c>
      <c r="G434">
        <v>112.769997</v>
      </c>
      <c r="H434">
        <v>3975600</v>
      </c>
      <c r="I434">
        <f t="shared" si="12"/>
        <v>2.0436822281528137E-3</v>
      </c>
    </row>
    <row r="435" spans="2:9" x14ac:dyDescent="0.3">
      <c r="B435" s="3">
        <v>44641</v>
      </c>
      <c r="C435">
        <v>112</v>
      </c>
      <c r="D435">
        <v>113.41999800000001</v>
      </c>
      <c r="E435">
        <v>110.480003</v>
      </c>
      <c r="F435">
        <v>111.550003</v>
      </c>
      <c r="G435">
        <v>111.550003</v>
      </c>
      <c r="H435">
        <v>1683200</v>
      </c>
      <c r="I435">
        <f t="shared" si="12"/>
        <v>-1.0818427174383978E-2</v>
      </c>
    </row>
    <row r="436" spans="2:9" x14ac:dyDescent="0.3">
      <c r="B436" s="3">
        <v>44642</v>
      </c>
      <c r="C436">
        <v>110.25</v>
      </c>
      <c r="D436">
        <v>113.5</v>
      </c>
      <c r="E436">
        <v>109.269997</v>
      </c>
      <c r="F436">
        <v>112.949997</v>
      </c>
      <c r="G436">
        <v>112.949997</v>
      </c>
      <c r="H436">
        <v>3011300</v>
      </c>
      <c r="I436">
        <f t="shared" si="12"/>
        <v>1.2550371692952733E-2</v>
      </c>
    </row>
    <row r="437" spans="2:9" x14ac:dyDescent="0.3">
      <c r="B437" s="3">
        <v>44643</v>
      </c>
      <c r="C437">
        <v>110.389999</v>
      </c>
      <c r="D437">
        <v>111.599998</v>
      </c>
      <c r="E437">
        <v>106.779999</v>
      </c>
      <c r="F437">
        <v>107.199997</v>
      </c>
      <c r="G437">
        <v>107.199997</v>
      </c>
      <c r="H437">
        <v>2827300</v>
      </c>
      <c r="I437">
        <f t="shared" si="12"/>
        <v>-5.090748253849002E-2</v>
      </c>
    </row>
    <row r="438" spans="2:9" x14ac:dyDescent="0.3">
      <c r="B438" s="3">
        <v>44644</v>
      </c>
      <c r="C438">
        <v>108.519997</v>
      </c>
      <c r="D438">
        <v>109.5</v>
      </c>
      <c r="E438">
        <v>107.16999800000001</v>
      </c>
      <c r="F438">
        <v>109.459999</v>
      </c>
      <c r="G438">
        <v>109.459999</v>
      </c>
      <c r="H438">
        <v>1833000</v>
      </c>
      <c r="I438">
        <f t="shared" si="12"/>
        <v>2.1082108798939615E-2</v>
      </c>
    </row>
    <row r="439" spans="2:9" x14ac:dyDescent="0.3">
      <c r="B439" s="3">
        <v>44645</v>
      </c>
      <c r="C439">
        <v>110.30999799999999</v>
      </c>
      <c r="D439">
        <v>112.449997</v>
      </c>
      <c r="E439">
        <v>109.83000199999999</v>
      </c>
      <c r="F439">
        <v>112.370003</v>
      </c>
      <c r="G439">
        <v>112.370003</v>
      </c>
      <c r="H439">
        <v>1689900</v>
      </c>
      <c r="I439">
        <f t="shared" si="12"/>
        <v>2.6585090686872752E-2</v>
      </c>
    </row>
    <row r="440" spans="2:9" x14ac:dyDescent="0.3">
      <c r="B440" s="3">
        <v>44648</v>
      </c>
      <c r="C440">
        <v>112.489998</v>
      </c>
      <c r="D440">
        <v>114.160004</v>
      </c>
      <c r="E440">
        <v>111.5</v>
      </c>
      <c r="F440">
        <v>114.129997</v>
      </c>
      <c r="G440">
        <v>114.129997</v>
      </c>
      <c r="H440">
        <v>1926700</v>
      </c>
      <c r="I440">
        <f t="shared" si="12"/>
        <v>1.5662489570281546E-2</v>
      </c>
    </row>
    <row r="441" spans="2:9" x14ac:dyDescent="0.3">
      <c r="B441" s="3">
        <v>44649</v>
      </c>
      <c r="C441">
        <v>115.30999799999999</v>
      </c>
      <c r="D441">
        <v>116.800003</v>
      </c>
      <c r="E441">
        <v>114.94000200000001</v>
      </c>
      <c r="F441">
        <v>116.75</v>
      </c>
      <c r="G441">
        <v>116.75</v>
      </c>
      <c r="H441">
        <v>2249300</v>
      </c>
      <c r="I441">
        <f t="shared" si="12"/>
        <v>2.2956304817917387E-2</v>
      </c>
    </row>
    <row r="442" spans="2:9" x14ac:dyDescent="0.3">
      <c r="B442" s="3">
        <v>44650</v>
      </c>
      <c r="C442">
        <v>116.449997</v>
      </c>
      <c r="D442">
        <v>118.41999800000001</v>
      </c>
      <c r="E442">
        <v>116.050003</v>
      </c>
      <c r="F442">
        <v>117.089996</v>
      </c>
      <c r="G442">
        <v>117.089996</v>
      </c>
      <c r="H442">
        <v>2099100</v>
      </c>
      <c r="I442">
        <f t="shared" si="12"/>
        <v>2.9121713062098442E-3</v>
      </c>
    </row>
    <row r="443" spans="2:9" x14ac:dyDescent="0.3">
      <c r="B443" s="3">
        <v>44651</v>
      </c>
      <c r="C443">
        <v>118</v>
      </c>
      <c r="D443">
        <v>120.43</v>
      </c>
      <c r="E443">
        <v>117.300003</v>
      </c>
      <c r="F443">
        <v>117.720001</v>
      </c>
      <c r="G443">
        <v>117.720001</v>
      </c>
      <c r="H443">
        <v>3721700</v>
      </c>
      <c r="I443">
        <f t="shared" si="12"/>
        <v>5.3805194424978633E-3</v>
      </c>
    </row>
    <row r="444" spans="2:9" x14ac:dyDescent="0.3">
      <c r="B444" s="3">
        <v>44652</v>
      </c>
      <c r="C444">
        <v>119.5</v>
      </c>
      <c r="D444">
        <v>123.57</v>
      </c>
      <c r="E444">
        <v>118.75</v>
      </c>
      <c r="F444">
        <v>123.07</v>
      </c>
      <c r="G444">
        <v>123.07</v>
      </c>
      <c r="H444">
        <v>4770500</v>
      </c>
      <c r="I444">
        <f t="shared" si="12"/>
        <v>4.5446814088966898E-2</v>
      </c>
    </row>
    <row r="445" spans="2:9" x14ac:dyDescent="0.3">
      <c r="B445" s="3">
        <v>44655</v>
      </c>
      <c r="C445">
        <v>122.199997</v>
      </c>
      <c r="D445">
        <v>123.199997</v>
      </c>
      <c r="E445">
        <v>118.839996</v>
      </c>
      <c r="F445">
        <v>120.279999</v>
      </c>
      <c r="G445">
        <v>120.279999</v>
      </c>
      <c r="H445">
        <v>2310300</v>
      </c>
      <c r="I445">
        <f t="shared" si="12"/>
        <v>-2.2670033314373849E-2</v>
      </c>
    </row>
    <row r="446" spans="2:9" x14ac:dyDescent="0.3">
      <c r="B446" s="3">
        <v>44656</v>
      </c>
      <c r="C446">
        <v>120.089996</v>
      </c>
      <c r="D446">
        <v>122.32</v>
      </c>
      <c r="E446">
        <v>119.55999799999999</v>
      </c>
      <c r="F446">
        <v>120.220001</v>
      </c>
      <c r="G446">
        <v>120.220001</v>
      </c>
      <c r="H446">
        <v>2225900</v>
      </c>
      <c r="I446">
        <f t="shared" si="12"/>
        <v>-4.9881942549739563E-4</v>
      </c>
    </row>
    <row r="447" spans="2:9" x14ac:dyDescent="0.3">
      <c r="B447" s="3">
        <v>44657</v>
      </c>
      <c r="C447">
        <v>119.30999799999999</v>
      </c>
      <c r="D447">
        <v>120.69000200000001</v>
      </c>
      <c r="E447">
        <v>117.150002</v>
      </c>
      <c r="F447">
        <v>120.360001</v>
      </c>
      <c r="G447">
        <v>120.360001</v>
      </c>
      <c r="H447">
        <v>2049200</v>
      </c>
      <c r="I447">
        <f t="shared" si="12"/>
        <v>1.1645316822115196E-3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</vt:i4>
      </vt:variant>
    </vt:vector>
  </HeadingPairs>
  <TitlesOfParts>
    <vt:vector size="13" baseType="lpstr">
      <vt:lpstr>Sheet1</vt:lpstr>
      <vt:lpstr>report</vt:lpstr>
      <vt:lpstr>secontPart_new</vt:lpstr>
      <vt:lpstr>ThirdPart_new</vt:lpstr>
      <vt:lpstr>first_part_delta</vt:lpstr>
      <vt:lpstr>first_part_gamma</vt:lpstr>
      <vt:lpstr>first_part_theta</vt:lpstr>
      <vt:lpstr>first_part_rho</vt:lpstr>
      <vt:lpstr>first_part_vega</vt:lpstr>
      <vt:lpstr>second_part2</vt:lpstr>
      <vt:lpstr>Second_part</vt:lpstr>
      <vt:lpstr>Third_part</vt:lpstr>
      <vt:lpstr>report!Print_Area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Martino</dc:creator>
  <cp:lastModifiedBy>mojtaba amini</cp:lastModifiedBy>
  <cp:lastPrinted>2022-04-08T23:53:14Z</cp:lastPrinted>
  <dcterms:created xsi:type="dcterms:W3CDTF">2022-03-26T20:44:27Z</dcterms:created>
  <dcterms:modified xsi:type="dcterms:W3CDTF">2022-04-08T23:53:20Z</dcterms:modified>
</cp:coreProperties>
</file>