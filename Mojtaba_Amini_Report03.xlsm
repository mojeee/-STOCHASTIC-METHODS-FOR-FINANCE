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Stochastic\"/>
    </mc:Choice>
  </mc:AlternateContent>
  <xr:revisionPtr revIDLastSave="0" documentId="13_ncr:1_{E1709ED6-BC27-45FF-9B55-7E81662EB0C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definedNames>
    <definedName name="_xlnm.Print_Area" localSheetId="0">Sheet1!$A$1:$N$69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50" i="1" l="1"/>
  <c r="R113" i="1"/>
  <c r="R99" i="1"/>
  <c r="Q64" i="1"/>
  <c r="R96" i="1"/>
  <c r="R118" i="1"/>
  <c r="Q57" i="1"/>
  <c r="R66" i="1"/>
  <c r="Q86" i="1"/>
  <c r="Q107" i="1"/>
  <c r="Q71" i="1"/>
  <c r="R57" i="1"/>
  <c r="R43" i="1"/>
  <c r="Q119" i="1"/>
  <c r="R65" i="1"/>
  <c r="R108" i="1"/>
  <c r="R31" i="1"/>
  <c r="Q34" i="1"/>
  <c r="Q77" i="1"/>
  <c r="R61" i="1"/>
  <c r="Q87" i="1"/>
  <c r="Q76" i="1"/>
  <c r="R100" i="1"/>
  <c r="Q69" i="1"/>
  <c r="R62" i="1"/>
  <c r="R98" i="1"/>
  <c r="R85" i="1"/>
  <c r="R84" i="1"/>
  <c r="Q40" i="1"/>
  <c r="R64" i="1"/>
  <c r="Q85" i="1"/>
  <c r="R81" i="1"/>
  <c r="R70" i="1"/>
  <c r="Q112" i="1"/>
  <c r="Q101" i="1"/>
  <c r="Q110" i="1"/>
  <c r="Q114" i="1"/>
  <c r="R80" i="1"/>
  <c r="Q56" i="1"/>
  <c r="R86" i="1"/>
  <c r="Q109" i="1"/>
  <c r="Q79" i="1"/>
  <c r="Q100" i="1"/>
  <c r="Q105" i="1"/>
  <c r="R117" i="1"/>
  <c r="R52" i="1"/>
  <c r="Q81" i="1"/>
  <c r="Q126" i="1"/>
  <c r="R29" i="1"/>
  <c r="Q103" i="1"/>
  <c r="R78" i="1"/>
  <c r="R63" i="1"/>
  <c r="R46" i="1"/>
  <c r="Q127" i="1"/>
  <c r="R90" i="1"/>
  <c r="R32" i="1"/>
  <c r="Q90" i="1"/>
  <c r="Q49" i="1"/>
  <c r="Q89" i="1"/>
  <c r="R93" i="1"/>
  <c r="R116" i="1"/>
  <c r="Q72" i="1"/>
  <c r="Q83" i="1"/>
  <c r="R87" i="1"/>
  <c r="Q29" i="1"/>
  <c r="R33" i="1"/>
  <c r="R126" i="1"/>
  <c r="R75" i="1"/>
  <c r="R44" i="1"/>
  <c r="Q124" i="1"/>
  <c r="Q92" i="1"/>
  <c r="R71" i="1"/>
  <c r="Q82" i="1"/>
  <c r="Q46" i="1"/>
  <c r="R109" i="1"/>
  <c r="Q43" i="1"/>
  <c r="Q33" i="1"/>
  <c r="R123" i="1"/>
  <c r="R111" i="1"/>
  <c r="R53" i="1"/>
  <c r="R73" i="1"/>
  <c r="R56" i="1"/>
  <c r="Q59" i="1"/>
  <c r="R76" i="1"/>
  <c r="Q65" i="1"/>
  <c r="Q102" i="1"/>
  <c r="Q47" i="1"/>
  <c r="R89" i="1"/>
  <c r="Q53" i="1"/>
  <c r="R68" i="1"/>
  <c r="Q118" i="1"/>
  <c r="R102" i="1"/>
  <c r="R103" i="1"/>
  <c r="R91" i="1"/>
  <c r="Q121" i="1"/>
  <c r="Q113" i="1"/>
  <c r="Q37" i="1"/>
  <c r="Q45" i="1"/>
  <c r="R74" i="1"/>
  <c r="R121" i="1"/>
  <c r="Q88" i="1"/>
  <c r="R124" i="1"/>
  <c r="R54" i="1"/>
  <c r="Q91" i="1"/>
  <c r="Q122" i="1"/>
  <c r="Q128" i="1"/>
  <c r="Q125" i="1"/>
  <c r="Q98" i="1"/>
  <c r="Q60" i="1"/>
  <c r="R97" i="1"/>
  <c r="Q108" i="1"/>
  <c r="R112" i="1"/>
  <c r="R83" i="1"/>
  <c r="R101" i="1"/>
  <c r="R77" i="1"/>
  <c r="R104" i="1"/>
  <c r="Q58" i="1"/>
  <c r="Q95" i="1"/>
  <c r="R67" i="1"/>
  <c r="Q52" i="1"/>
  <c r="R110" i="1"/>
  <c r="R125" i="1"/>
  <c r="R92" i="1"/>
  <c r="Q44" i="1"/>
  <c r="Q38" i="1"/>
  <c r="Q35" i="1"/>
  <c r="R58" i="1"/>
  <c r="R55" i="1"/>
  <c r="R95" i="1"/>
  <c r="R72" i="1"/>
  <c r="Q96" i="1"/>
  <c r="Q84" i="1"/>
  <c r="R60" i="1"/>
  <c r="R105" i="1"/>
  <c r="Q48" i="1"/>
  <c r="R30" i="1"/>
  <c r="Q66" i="1"/>
  <c r="Q78" i="1"/>
  <c r="R34" i="1"/>
  <c r="Q93" i="1"/>
  <c r="R51" i="1"/>
  <c r="R36" i="1"/>
  <c r="R45" i="1"/>
  <c r="Q117" i="1"/>
  <c r="R42" i="1"/>
  <c r="Q36" i="1"/>
  <c r="R115" i="1"/>
  <c r="Q68" i="1"/>
  <c r="Q120" i="1"/>
  <c r="Q111" i="1"/>
  <c r="R106" i="1"/>
  <c r="R127" i="1"/>
  <c r="Q97" i="1"/>
  <c r="R41" i="1"/>
  <c r="Q32" i="1"/>
  <c r="R122" i="1"/>
  <c r="R69" i="1"/>
  <c r="Q62" i="1"/>
  <c r="R49" i="1"/>
  <c r="R38" i="1"/>
  <c r="Q115" i="1"/>
  <c r="R40" i="1"/>
  <c r="R107" i="1"/>
  <c r="Q74" i="1"/>
  <c r="R128" i="1"/>
  <c r="R39" i="1"/>
  <c r="Q123" i="1"/>
  <c r="Q61" i="1"/>
  <c r="R37" i="1"/>
  <c r="Q51" i="1"/>
  <c r="R119" i="1"/>
  <c r="Q104" i="1"/>
  <c r="Q55" i="1"/>
  <c r="Q94" i="1"/>
  <c r="Q80" i="1"/>
  <c r="Q116" i="1"/>
  <c r="R120" i="1"/>
  <c r="R47" i="1"/>
  <c r="Q30" i="1"/>
  <c r="Q39" i="1"/>
  <c r="Q75" i="1"/>
  <c r="R48" i="1"/>
  <c r="Q70" i="1"/>
  <c r="Q63" i="1"/>
  <c r="Q50" i="1"/>
  <c r="Q99" i="1"/>
  <c r="R59" i="1"/>
  <c r="Q54" i="1"/>
  <c r="R82" i="1"/>
  <c r="R35" i="1"/>
  <c r="R79" i="1"/>
  <c r="Q42" i="1"/>
  <c r="Q106" i="1"/>
  <c r="Q73" i="1"/>
  <c r="R114" i="1"/>
  <c r="Q41" i="1"/>
  <c r="Q31" i="1"/>
  <c r="R94" i="1"/>
  <c r="R88" i="1"/>
  <c r="Q67" i="1"/>
</calcChain>
</file>

<file path=xl/sharedStrings.xml><?xml version="1.0" encoding="utf-8"?>
<sst xmlns="http://schemas.openxmlformats.org/spreadsheetml/2006/main" count="57" uniqueCount="51">
  <si>
    <t>s</t>
  </si>
  <si>
    <t>x</t>
  </si>
  <si>
    <t>t</t>
  </si>
  <si>
    <t>r</t>
  </si>
  <si>
    <t>sd</t>
  </si>
  <si>
    <t>n</t>
  </si>
  <si>
    <t>LeisianRiemer</t>
  </si>
  <si>
    <t>Function Bi_Call_Eur</t>
  </si>
  <si>
    <t>Market Price</t>
  </si>
  <si>
    <t>Tarket Price</t>
  </si>
  <si>
    <t>Maturity</t>
  </si>
  <si>
    <t>Interest Rate</t>
  </si>
  <si>
    <t>Volatility</t>
  </si>
  <si>
    <t>Step</t>
  </si>
  <si>
    <t>Function BSCall</t>
  </si>
  <si>
    <t>LeisenReimerTrunc</t>
  </si>
  <si>
    <t>Function Name</t>
  </si>
  <si>
    <t>Assumptions</t>
  </si>
  <si>
    <t>s (market price)</t>
  </si>
  <si>
    <t>x (tarket price)</t>
  </si>
  <si>
    <t>t (maturity)</t>
  </si>
  <si>
    <t>r (interest rate)</t>
  </si>
  <si>
    <t>sd (volatility)</t>
  </si>
  <si>
    <t>n (step)</t>
  </si>
  <si>
    <t>Exercise (target price)</t>
  </si>
  <si>
    <t>Stock  price (market price)</t>
  </si>
  <si>
    <t>Rate (interest rate)</t>
  </si>
  <si>
    <t>Sigma (volatility)</t>
  </si>
  <si>
    <t>Time (maturity)</t>
  </si>
  <si>
    <t>AmeEurFlag ("a" or "e")</t>
  </si>
  <si>
    <t>CallPutFlag ("c" or "p")</t>
  </si>
  <si>
    <t>S (market price)</t>
  </si>
  <si>
    <t>X (target price)</t>
  </si>
  <si>
    <t>T (maturity)</t>
  </si>
  <si>
    <t>b (dividend parameter)</t>
  </si>
  <si>
    <t>v (volatility)</t>
  </si>
  <si>
    <t>Mojtaba Amini</t>
  </si>
  <si>
    <t>Calculation</t>
  </si>
  <si>
    <t>Black-Scholes Model</t>
  </si>
  <si>
    <t>Description</t>
  </si>
  <si>
    <t>Parameters definition</t>
  </si>
  <si>
    <t>Report 3</t>
  </si>
  <si>
    <t>Function</t>
  </si>
  <si>
    <t>Call Price Calculation with Simple binomial, Leisen Reimer and Black-Scholes Method</t>
  </si>
  <si>
    <t>Method</t>
  </si>
  <si>
    <t>Final value of call option</t>
  </si>
  <si>
    <t>Leisian Riemer</t>
  </si>
  <si>
    <t>Simple binomial</t>
  </si>
  <si>
    <t>This function calculates the binomial model with a different convergence algorithm which improves the convergence to the correct price, and convergence is also smoother.</t>
  </si>
  <si>
    <t>This function calculates the price of options by the Black-Scholes method.</t>
  </si>
  <si>
    <t>This function calculates the binomial model by the Cox-Ross Rubinstein method.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</si>
</sst>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6" borderId="7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center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0" fillId="6" borderId="15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11" borderId="1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0" fillId="8" borderId="3" xfId="0" applyFill="1" applyBorder="1" applyAlignment="1">
      <alignment horizontal="center" vertical="center" wrapText="1"/>
    </xf>
    <xf numFmtId="0" fontId="0" fillId="8" borderId="22" xfId="0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Call</a:t>
            </a:r>
            <a:r>
              <a:rPr lang="en-US" baseline="0"/>
              <a:t> Pricing with Binomial Model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Simple Binomal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Sheet1!$Q$29:$Q$52</c:f>
              <c:numCache>
                <c:formatCode>General</c:formatCode>
                <c:ptCount val="24"/>
                <c:pt idx="0">
                  <c:v>10.41459862337868</c:v>
                </c:pt>
                <c:pt idx="1">
                  <c:v>7.7697841484472487</c:v>
                </c:pt>
                <c:pt idx="2">
                  <c:v>9.0955389976946908</c:v>
                </c:pt>
                <c:pt idx="3">
                  <c:v>8.1336249364981317</c:v>
                </c:pt>
                <c:pt idx="4">
                  <c:v>8.8243709276863989</c:v>
                </c:pt>
                <c:pt idx="5">
                  <c:v>8.2562207592388308</c:v>
                </c:pt>
                <c:pt idx="6">
                  <c:v>8.7086912519583564</c:v>
                </c:pt>
                <c:pt idx="7">
                  <c:v>8.3156383283357886</c:v>
                </c:pt>
                <c:pt idx="8">
                  <c:v>8.6447208278529057</c:v>
                </c:pt>
                <c:pt idx="9">
                  <c:v>8.3499500153194752</c:v>
                </c:pt>
                <c:pt idx="10">
                  <c:v>8.6041605238417418</c:v>
                </c:pt>
                <c:pt idx="11">
                  <c:v>8.3719325301950853</c:v>
                </c:pt>
                <c:pt idx="12">
                  <c:v>8.5761531609566699</c:v>
                </c:pt>
                <c:pt idx="13">
                  <c:v>8.3870036140042572</c:v>
                </c:pt>
                <c:pt idx="14">
                  <c:v>8.5556492346671806</c:v>
                </c:pt>
                <c:pt idx="15">
                  <c:v>8.3978806307281122</c:v>
                </c:pt>
                <c:pt idx="16">
                  <c:v>8.5400116455310595</c:v>
                </c:pt>
                <c:pt idx="17">
                  <c:v>8.406021395832985</c:v>
                </c:pt>
                <c:pt idx="18">
                  <c:v>8.5276683143209961</c:v>
                </c:pt>
                <c:pt idx="19">
                  <c:v>8.4122624594027133</c:v>
                </c:pt>
                <c:pt idx="20">
                  <c:v>8.5176901656175321</c:v>
                </c:pt>
                <c:pt idx="21">
                  <c:v>8.4171939338852511</c:v>
                </c:pt>
                <c:pt idx="22">
                  <c:v>8.509459700404701</c:v>
                </c:pt>
                <c:pt idx="23">
                  <c:v>8.4211472350753755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0B-4F1D-A889-3B2C769A5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326032"/>
        <c:axId val="1714051264"/>
      </c:lineChart>
      <c:lineChart>
        <c:grouping val="stacked"/>
        <c:varyColors val="0"/>
        <c:ser>
          <c:idx val="1"/>
          <c:order val="1"/>
          <c:tx>
            <c:v>Leisen Reimer</c:v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Sheet1!$R$30:$R$52</c:f>
              <c:numCache>
                <c:formatCode>General</c:formatCode>
                <c:ptCount val="23"/>
                <c:pt idx="0">
                  <c:v>8.403232838109842</c:v>
                </c:pt>
                <c:pt idx="1">
                  <c:v>8.403232838109842</c:v>
                </c:pt>
                <c:pt idx="2">
                  <c:v>8.4209343027405623</c:v>
                </c:pt>
                <c:pt idx="3">
                  <c:v>8.4209343027405623</c:v>
                </c:pt>
                <c:pt idx="4">
                  <c:v>8.4265692233797598</c:v>
                </c:pt>
                <c:pt idx="5">
                  <c:v>8.4265692233797598</c:v>
                </c:pt>
                <c:pt idx="6">
                  <c:v>8.4290713834427908</c:v>
                </c:pt>
                <c:pt idx="7">
                  <c:v>8.4290713834427908</c:v>
                </c:pt>
                <c:pt idx="8">
                  <c:v>8.4303997829056119</c:v>
                </c:pt>
                <c:pt idx="9">
                  <c:v>8.4303997829056119</c:v>
                </c:pt>
                <c:pt idx="10">
                  <c:v>8.4311892752481352</c:v>
                </c:pt>
                <c:pt idx="11">
                  <c:v>8.4311892752481352</c:v>
                </c:pt>
                <c:pt idx="12">
                  <c:v>8.4316966308156438</c:v>
                </c:pt>
                <c:pt idx="13">
                  <c:v>8.4316966308156438</c:v>
                </c:pt>
                <c:pt idx="14">
                  <c:v>8.4320419715266883</c:v>
                </c:pt>
                <c:pt idx="15">
                  <c:v>8.4320419715266883</c:v>
                </c:pt>
                <c:pt idx="16">
                  <c:v>8.4322876414372718</c:v>
                </c:pt>
                <c:pt idx="17">
                  <c:v>8.4322876414372718</c:v>
                </c:pt>
                <c:pt idx="18">
                  <c:v>8.4324686288538029</c:v>
                </c:pt>
                <c:pt idx="19">
                  <c:v>8.4324686288538029</c:v>
                </c:pt>
                <c:pt idx="20">
                  <c:v>8.432605808162096</c:v>
                </c:pt>
                <c:pt idx="21">
                  <c:v>8.432605808162096</c:v>
                </c:pt>
                <c:pt idx="22">
                  <c:v>8.4327122618048769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0B-4F1D-A889-3B2C769A5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156080"/>
        <c:axId val="1846154832"/>
      </c:lineChart>
      <c:catAx>
        <c:axId val="116132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4051264"/>
        <c:crosses val="autoZero"/>
        <c:auto val="1"/>
        <c:lblAlgn val="ctr"/>
        <c:lblOffset val="100"/>
        <c:noMultiLvlLbl val="0"/>
      </c:catAx>
      <c:valAx>
        <c:axId val="17140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Simple Binomal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1326032"/>
        <c:crosses val="autoZero"/>
        <c:crossBetween val="between"/>
      </c:valAx>
      <c:valAx>
        <c:axId val="18461548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Leisen Reimer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6156080"/>
        <c:crosses val="max"/>
        <c:crossBetween val="between"/>
      </c:valAx>
      <c:catAx>
        <c:axId val="1846156080"/>
        <c:scaling>
          <c:orientation val="minMax"/>
        </c:scaling>
        <c:delete val="1"/>
        <c:axPos val="b"/>
        <c:majorTickMark val="out"/>
        <c:minorTickMark val="none"/>
        <c:tickLblPos val="nextTo"/>
        <c:crossAx val="1846154832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Leisen Reimer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Sheet1!$R$30:$R$128</c:f>
              <c:numCache>
                <c:formatCode>General</c:formatCode>
                <c:ptCount val="99"/>
                <c:pt idx="0">
                  <c:v>8.403232838109842</c:v>
                </c:pt>
                <c:pt idx="1">
                  <c:v>8.403232838109842</c:v>
                </c:pt>
                <c:pt idx="2">
                  <c:v>8.4209343027405623</c:v>
                </c:pt>
                <c:pt idx="3">
                  <c:v>8.4209343027405623</c:v>
                </c:pt>
                <c:pt idx="4">
                  <c:v>8.4265692233797598</c:v>
                </c:pt>
                <c:pt idx="5">
                  <c:v>8.4265692233797598</c:v>
                </c:pt>
                <c:pt idx="6">
                  <c:v>8.4290713834427908</c:v>
                </c:pt>
                <c:pt idx="7">
                  <c:v>8.4290713834427908</c:v>
                </c:pt>
                <c:pt idx="8">
                  <c:v>8.4303997829056119</c:v>
                </c:pt>
                <c:pt idx="9">
                  <c:v>8.4303997829056119</c:v>
                </c:pt>
                <c:pt idx="10">
                  <c:v>8.4311892752481352</c:v>
                </c:pt>
                <c:pt idx="11">
                  <c:v>8.4311892752481352</c:v>
                </c:pt>
                <c:pt idx="12">
                  <c:v>8.4316966308156438</c:v>
                </c:pt>
                <c:pt idx="13">
                  <c:v>8.4316966308156438</c:v>
                </c:pt>
                <c:pt idx="14">
                  <c:v>8.4320419715266883</c:v>
                </c:pt>
                <c:pt idx="15">
                  <c:v>8.4320419715266883</c:v>
                </c:pt>
                <c:pt idx="16">
                  <c:v>8.4322876414372718</c:v>
                </c:pt>
                <c:pt idx="17">
                  <c:v>8.4322876414372718</c:v>
                </c:pt>
                <c:pt idx="18">
                  <c:v>8.4324686288538029</c:v>
                </c:pt>
                <c:pt idx="19">
                  <c:v>8.4324686288538029</c:v>
                </c:pt>
                <c:pt idx="20">
                  <c:v>8.432605808162096</c:v>
                </c:pt>
                <c:pt idx="21">
                  <c:v>8.432605808162096</c:v>
                </c:pt>
                <c:pt idx="22">
                  <c:v>8.4327122618048769</c:v>
                </c:pt>
                <c:pt idx="23">
                  <c:v>8.4327122618048769</c:v>
                </c:pt>
                <c:pt idx="24">
                  <c:v>8.4327965280501456</c:v>
                </c:pt>
                <c:pt idx="25">
                  <c:v>8.4327965280501456</c:v>
                </c:pt>
                <c:pt idx="26">
                  <c:v>8.4328643720311707</c:v>
                </c:pt>
                <c:pt idx="27">
                  <c:v>8.4328643720311707</c:v>
                </c:pt>
                <c:pt idx="28">
                  <c:v>8.4329198006298984</c:v>
                </c:pt>
                <c:pt idx="29">
                  <c:v>8.4329198006298984</c:v>
                </c:pt>
                <c:pt idx="30">
                  <c:v>8.4329656689516561</c:v>
                </c:pt>
                <c:pt idx="31">
                  <c:v>8.4329656689516561</c:v>
                </c:pt>
                <c:pt idx="32">
                  <c:v>8.4330040560184933</c:v>
                </c:pt>
                <c:pt idx="33">
                  <c:v>8.4330040560184933</c:v>
                </c:pt>
                <c:pt idx="34">
                  <c:v>8.4330365048567586</c:v>
                </c:pt>
                <c:pt idx="35">
                  <c:v>8.4330365048567586</c:v>
                </c:pt>
                <c:pt idx="36">
                  <c:v>8.4330641801908399</c:v>
                </c:pt>
                <c:pt idx="37">
                  <c:v>8.4330641801908399</c:v>
                </c:pt>
                <c:pt idx="38">
                  <c:v>8.4330879745363614</c:v>
                </c:pt>
                <c:pt idx="39">
                  <c:v>8.4330879745363614</c:v>
                </c:pt>
                <c:pt idx="40">
                  <c:v>8.433108581131366</c:v>
                </c:pt>
                <c:pt idx="41">
                  <c:v>8.433108581131366</c:v>
                </c:pt>
                <c:pt idx="42">
                  <c:v>8.4331265450467257</c:v>
                </c:pt>
                <c:pt idx="43">
                  <c:v>8.4331265450467257</c:v>
                </c:pt>
                <c:pt idx="44">
                  <c:v>8.4331422996281731</c:v>
                </c:pt>
                <c:pt idx="45">
                  <c:v>8.4331422996281731</c:v>
                </c:pt>
                <c:pt idx="46">
                  <c:v>8.433156192897151</c:v>
                </c:pt>
                <c:pt idx="47">
                  <c:v>8.433156192897151</c:v>
                </c:pt>
                <c:pt idx="48">
                  <c:v>8.4331685069464193</c:v>
                </c:pt>
                <c:pt idx="49">
                  <c:v>8.4331685069464193</c:v>
                </c:pt>
                <c:pt idx="50">
                  <c:v>8.4331794723739915</c:v>
                </c:pt>
                <c:pt idx="51">
                  <c:v>8.4331794723739915</c:v>
                </c:pt>
                <c:pt idx="52">
                  <c:v>8.4331892791766396</c:v>
                </c:pt>
                <c:pt idx="53">
                  <c:v>8.4331892791766396</c:v>
                </c:pt>
                <c:pt idx="54">
                  <c:v>8.4331980850295611</c:v>
                </c:pt>
                <c:pt idx="55">
                  <c:v>8.4331980850295611</c:v>
                </c:pt>
                <c:pt idx="56">
                  <c:v>8.4332060216648106</c:v>
                </c:pt>
                <c:pt idx="57">
                  <c:v>8.4332060216648106</c:v>
                </c:pt>
                <c:pt idx="58">
                  <c:v>8.4332131998401341</c:v>
                </c:pt>
                <c:pt idx="59">
                  <c:v>8.4332131998401341</c:v>
                </c:pt>
                <c:pt idx="60">
                  <c:v>8.4332197132102777</c:v>
                </c:pt>
                <c:pt idx="61">
                  <c:v>8.4332197132102777</c:v>
                </c:pt>
                <c:pt idx="62">
                  <c:v>8.4332256414101376</c:v>
                </c:pt>
                <c:pt idx="63">
                  <c:v>8.4332256414101376</c:v>
                </c:pt>
                <c:pt idx="64">
                  <c:v>8.4332310525016627</c:v>
                </c:pt>
                <c:pt idx="65">
                  <c:v>8.4332310525016627</c:v>
                </c:pt>
                <c:pt idx="66">
                  <c:v>8.4332360049228434</c:v>
                </c:pt>
                <c:pt idx="67">
                  <c:v>8.4332360049228434</c:v>
                </c:pt>
                <c:pt idx="68">
                  <c:v>8.4332405490925346</c:v>
                </c:pt>
                <c:pt idx="69">
                  <c:v>8.4332405490925346</c:v>
                </c:pt>
                <c:pt idx="70">
                  <c:v>8.4332447286781367</c:v>
                </c:pt>
                <c:pt idx="71">
                  <c:v>8.4332447286781367</c:v>
                </c:pt>
                <c:pt idx="72">
                  <c:v>8.4332485816652571</c:v>
                </c:pt>
                <c:pt idx="73">
                  <c:v>8.4332485816652571</c:v>
                </c:pt>
                <c:pt idx="74">
                  <c:v>8.433252141218615</c:v>
                </c:pt>
                <c:pt idx="75">
                  <c:v>8.433252141218615</c:v>
                </c:pt>
                <c:pt idx="76">
                  <c:v>8.4332554363969141</c:v>
                </c:pt>
                <c:pt idx="77">
                  <c:v>8.4332554363969141</c:v>
                </c:pt>
                <c:pt idx="78">
                  <c:v>8.4332584927495695</c:v>
                </c:pt>
                <c:pt idx="79">
                  <c:v>8.4332584927495695</c:v>
                </c:pt>
                <c:pt idx="80">
                  <c:v>8.4332613328071826</c:v>
                </c:pt>
                <c:pt idx="81">
                  <c:v>8.4332613328071826</c:v>
                </c:pt>
                <c:pt idx="82">
                  <c:v>8.4332639765107071</c:v>
                </c:pt>
                <c:pt idx="83">
                  <c:v>8.4332639765107071</c:v>
                </c:pt>
                <c:pt idx="84">
                  <c:v>8.4332664415526235</c:v>
                </c:pt>
                <c:pt idx="85">
                  <c:v>8.4332664415526235</c:v>
                </c:pt>
                <c:pt idx="86">
                  <c:v>8.4332687436795961</c:v>
                </c:pt>
                <c:pt idx="87">
                  <c:v>8.4332687436795961</c:v>
                </c:pt>
                <c:pt idx="88">
                  <c:v>8.4332708969334789</c:v>
                </c:pt>
                <c:pt idx="89">
                  <c:v>8.4332708969334789</c:v>
                </c:pt>
                <c:pt idx="90">
                  <c:v>8.4332729138820621</c:v>
                </c:pt>
                <c:pt idx="91">
                  <c:v>8.4332729138820621</c:v>
                </c:pt>
                <c:pt idx="92">
                  <c:v>8.4332748057964686</c:v>
                </c:pt>
                <c:pt idx="93">
                  <c:v>8.4332748057964686</c:v>
                </c:pt>
                <c:pt idx="94">
                  <c:v>8.4332765827920486</c:v>
                </c:pt>
                <c:pt idx="95">
                  <c:v>8.4332765827920486</c:v>
                </c:pt>
                <c:pt idx="96">
                  <c:v>8.4332782540009124</c:v>
                </c:pt>
                <c:pt idx="97">
                  <c:v>8.4332782540009124</c:v>
                </c:pt>
                <c:pt idx="98">
                  <c:v>8.4332798276504857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0F-44B4-A2EC-DF6CAF404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1253392"/>
        <c:axId val="1841253808"/>
      </c:lineChart>
      <c:catAx>
        <c:axId val="1841253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step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1253808"/>
        <c:crosses val="autoZero"/>
        <c:auto val="1"/>
        <c:lblAlgn val="ctr"/>
        <c:lblOffset val="100"/>
        <c:noMultiLvlLbl val="0"/>
      </c:catAx>
      <c:valAx>
        <c:axId val="184125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call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125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Binomial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34925" cap="rnd">
              <a:solidFill>
                <a:srgbClr val="92D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Sheet1!$Q$29:$Q$128</c:f>
              <c:numCache>
                <c:formatCode>General</c:formatCode>
                <c:ptCount val="100"/>
                <c:pt idx="0">
                  <c:v>10.41459862337868</c:v>
                </c:pt>
                <c:pt idx="1">
                  <c:v>7.7697841484472487</c:v>
                </c:pt>
                <c:pt idx="2">
                  <c:v>9.0955389976946908</c:v>
                </c:pt>
                <c:pt idx="3">
                  <c:v>8.1336249364981317</c:v>
                </c:pt>
                <c:pt idx="4">
                  <c:v>8.8243709276863989</c:v>
                </c:pt>
                <c:pt idx="5">
                  <c:v>8.2562207592388308</c:v>
                </c:pt>
                <c:pt idx="6">
                  <c:v>8.7086912519583564</c:v>
                </c:pt>
                <c:pt idx="7">
                  <c:v>8.3156383283357886</c:v>
                </c:pt>
                <c:pt idx="8">
                  <c:v>8.6447208278529057</c:v>
                </c:pt>
                <c:pt idx="9">
                  <c:v>8.3499500153194752</c:v>
                </c:pt>
                <c:pt idx="10">
                  <c:v>8.6041605238417418</c:v>
                </c:pt>
                <c:pt idx="11">
                  <c:v>8.3719325301950853</c:v>
                </c:pt>
                <c:pt idx="12">
                  <c:v>8.5761531609566699</c:v>
                </c:pt>
                <c:pt idx="13">
                  <c:v>8.3870036140042572</c:v>
                </c:pt>
                <c:pt idx="14">
                  <c:v>8.5556492346671806</c:v>
                </c:pt>
                <c:pt idx="15">
                  <c:v>8.3978806307281122</c:v>
                </c:pt>
                <c:pt idx="16">
                  <c:v>8.5400116455310595</c:v>
                </c:pt>
                <c:pt idx="17">
                  <c:v>8.406021395832985</c:v>
                </c:pt>
                <c:pt idx="18">
                  <c:v>8.5276683143209961</c:v>
                </c:pt>
                <c:pt idx="19">
                  <c:v>8.4122624594027133</c:v>
                </c:pt>
                <c:pt idx="20">
                  <c:v>8.5176901656175321</c:v>
                </c:pt>
                <c:pt idx="21">
                  <c:v>8.4171939338852511</c:v>
                </c:pt>
                <c:pt idx="22">
                  <c:v>8.509459700404701</c:v>
                </c:pt>
                <c:pt idx="23">
                  <c:v>8.4211472350753755</c:v>
                </c:pt>
                <c:pt idx="24">
                  <c:v>8.5025426047605226</c:v>
                </c:pt>
                <c:pt idx="25">
                  <c:v>8.4243489667827074</c:v>
                </c:pt>
                <c:pt idx="26">
                  <c:v>8.496660328223955</c:v>
                </c:pt>
                <c:pt idx="27">
                  <c:v>8.4269945732043734</c:v>
                </c:pt>
                <c:pt idx="28">
                  <c:v>8.4915928847595357</c:v>
                </c:pt>
                <c:pt idx="29">
                  <c:v>8.4292068024731535</c:v>
                </c:pt>
                <c:pt idx="30">
                  <c:v>8.4871788253900551</c:v>
                </c:pt>
                <c:pt idx="31">
                  <c:v>8.4310668466488643</c:v>
                </c:pt>
                <c:pt idx="32">
                  <c:v>8.4833010509141928</c:v>
                </c:pt>
                <c:pt idx="33">
                  <c:v>8.4326285251945148</c:v>
                </c:pt>
                <c:pt idx="34">
                  <c:v>8.4798774356366309</c:v>
                </c:pt>
                <c:pt idx="35">
                  <c:v>8.4339919354199715</c:v>
                </c:pt>
                <c:pt idx="36">
                  <c:v>8.4768145002257373</c:v>
                </c:pt>
                <c:pt idx="37">
                  <c:v>8.4351287322838377</c:v>
                </c:pt>
                <c:pt idx="38">
                  <c:v>8.4740669226870384</c:v>
                </c:pt>
                <c:pt idx="39">
                  <c:v>8.4361342911577761</c:v>
                </c:pt>
                <c:pt idx="40">
                  <c:v>8.4715941033478437</c:v>
                </c:pt>
                <c:pt idx="41">
                  <c:v>8.4369916078999072</c:v>
                </c:pt>
                <c:pt idx="42">
                  <c:v>8.4693497750618238</c:v>
                </c:pt>
                <c:pt idx="43">
                  <c:v>8.4377573401533912</c:v>
                </c:pt>
                <c:pt idx="44">
                  <c:v>8.467301835620562</c:v>
                </c:pt>
                <c:pt idx="45">
                  <c:v>8.438402217380446</c:v>
                </c:pt>
                <c:pt idx="46">
                  <c:v>8.4654332937275356</c:v>
                </c:pt>
                <c:pt idx="47">
                  <c:v>8.4390017775284072</c:v>
                </c:pt>
                <c:pt idx="48">
                  <c:v>8.463713934716754</c:v>
                </c:pt>
                <c:pt idx="49">
                  <c:v>8.4395012500087319</c:v>
                </c:pt>
                <c:pt idx="50">
                  <c:v>8.4621229837804179</c:v>
                </c:pt>
                <c:pt idx="51">
                  <c:v>8.439937463106336</c:v>
                </c:pt>
                <c:pt idx="52">
                  <c:v>8.4606717712017296</c:v>
                </c:pt>
                <c:pt idx="53">
                  <c:v>8.4403481878505122</c:v>
                </c:pt>
                <c:pt idx="54">
                  <c:v>8.4593093118909497</c:v>
                </c:pt>
                <c:pt idx="55">
                  <c:v>8.440705086042156</c:v>
                </c:pt>
                <c:pt idx="56">
                  <c:v>8.4580478800737904</c:v>
                </c:pt>
                <c:pt idx="57">
                  <c:v>8.4410053386233876</c:v>
                </c:pt>
                <c:pt idx="58">
                  <c:v>8.4568704805628236</c:v>
                </c:pt>
                <c:pt idx="59">
                  <c:v>8.4412640417884344</c:v>
                </c:pt>
                <c:pt idx="60">
                  <c:v>8.4557714519849778</c:v>
                </c:pt>
                <c:pt idx="61">
                  <c:v>8.4415152014726171</c:v>
                </c:pt>
                <c:pt idx="62">
                  <c:v>8.4547394559049405</c:v>
                </c:pt>
                <c:pt idx="63">
                  <c:v>8.4417399150666004</c:v>
                </c:pt>
                <c:pt idx="64">
                  <c:v>8.4537811103292277</c:v>
                </c:pt>
                <c:pt idx="65">
                  <c:v>8.4419145862331959</c:v>
                </c:pt>
                <c:pt idx="66">
                  <c:v>8.4528765753343844</c:v>
                </c:pt>
                <c:pt idx="67">
                  <c:v>8.4420864257917874</c:v>
                </c:pt>
                <c:pt idx="68">
                  <c:v>8.4520315330391522</c:v>
                </c:pt>
                <c:pt idx="69">
                  <c:v>8.4422422234786332</c:v>
                </c:pt>
                <c:pt idx="70">
                  <c:v>8.4512157571314237</c:v>
                </c:pt>
                <c:pt idx="71">
                  <c:v>8.4423621284010082</c:v>
                </c:pt>
                <c:pt idx="72">
                  <c:v>8.4504556843172658</c:v>
                </c:pt>
                <c:pt idx="73">
                  <c:v>8.4424659946705312</c:v>
                </c:pt>
                <c:pt idx="74">
                  <c:v>8.4497296060673381</c:v>
                </c:pt>
                <c:pt idx="75">
                  <c:v>8.4425774090028725</c:v>
                </c:pt>
                <c:pt idx="76">
                  <c:v>8.4490375197362457</c:v>
                </c:pt>
                <c:pt idx="77">
                  <c:v>8.4426642721480949</c:v>
                </c:pt>
                <c:pt idx="78">
                  <c:v>8.4483907490356653</c:v>
                </c:pt>
                <c:pt idx="79">
                  <c:v>8.4427379223488686</c:v>
                </c:pt>
                <c:pt idx="80">
                  <c:v>8.4477770308117073</c:v>
                </c:pt>
                <c:pt idx="81">
                  <c:v>8.4427879595353801</c:v>
                </c:pt>
                <c:pt idx="82">
                  <c:v>8.4471944693143541</c:v>
                </c:pt>
                <c:pt idx="83">
                  <c:v>8.4428578297547965</c:v>
                </c:pt>
                <c:pt idx="84">
                  <c:v>8.4466270150374534</c:v>
                </c:pt>
                <c:pt idx="85">
                  <c:v>8.4429088142340838</c:v>
                </c:pt>
                <c:pt idx="86">
                  <c:v>8.446098271278986</c:v>
                </c:pt>
                <c:pt idx="87">
                  <c:v>8.4429569702420313</c:v>
                </c:pt>
                <c:pt idx="88">
                  <c:v>8.4455884103954411</c:v>
                </c:pt>
                <c:pt idx="89">
                  <c:v>8.4429862396440836</c:v>
                </c:pt>
                <c:pt idx="90">
                  <c:v>8.4451087639900155</c:v>
                </c:pt>
                <c:pt idx="91">
                  <c:v>8.4430079523379842</c:v>
                </c:pt>
                <c:pt idx="92">
                  <c:v>8.4446357276787811</c:v>
                </c:pt>
                <c:pt idx="93">
                  <c:v>8.4430277824749584</c:v>
                </c:pt>
                <c:pt idx="94">
                  <c:v>8.4441910168213123</c:v>
                </c:pt>
                <c:pt idx="95">
                  <c:v>8.443031561110617</c:v>
                </c:pt>
                <c:pt idx="96">
                  <c:v>8.4437717982338825</c:v>
                </c:pt>
                <c:pt idx="97">
                  <c:v>8.4430693239092989</c:v>
                </c:pt>
                <c:pt idx="98">
                  <c:v>8.4433573014484065</c:v>
                </c:pt>
                <c:pt idx="99">
                  <c:v>8.4430504401746056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17-4AA6-9C81-F44F87257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255120"/>
        <c:axId val="1404261360"/>
      </c:lineChart>
      <c:catAx>
        <c:axId val="1404255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step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261360"/>
        <c:crosses val="autoZero"/>
        <c:auto val="1"/>
        <c:lblAlgn val="ctr"/>
        <c:lblOffset val="100"/>
        <c:noMultiLvlLbl val="0"/>
      </c:catAx>
      <c:valAx>
        <c:axId val="140426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Call</a:t>
                </a:r>
                <a:r>
                  <a:rPr lang="en-US" baseline="0"/>
                  <a:t>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25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20320</xdr:colOff>
      <xdr:row>35</xdr:row>
      <xdr:rowOff>1270</xdr:rowOff>
    </xdr:from>
    <xdr:to>
      <xdr:col>10</xdr:col>
      <xdr:colOff>317500</xdr:colOff>
      <xdr:row>52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EBCA4E-EE6F-A077-10E3-E0C44E2618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495300</xdr:colOff>
      <xdr:row>53</xdr:row>
      <xdr:rowOff>152400</xdr:rowOff>
    </xdr:from>
    <xdr:to>
      <xdr:col>6</xdr:col>
      <xdr:colOff>60960</xdr:colOff>
      <xdr:row>66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B09AF1-F296-C372-A5D7-1F10526828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358140</xdr:colOff>
      <xdr:row>54</xdr:row>
      <xdr:rowOff>0</xdr:rowOff>
    </xdr:from>
    <xdr:to>
      <xdr:col>12</xdr:col>
      <xdr:colOff>337820</xdr:colOff>
      <xdr:row>66</xdr:row>
      <xdr:rowOff>106680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67662FF-3E53-2768-5766-5B64E72FC1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R128"/>
  <sheetViews>
    <sheetView tabSelected="1" topLeftCell="A6" zoomScaleNormal="100" workbookViewId="0">
      <selection activeCell="M51" sqref="M51"/>
    </sheetView>
  </sheetViews>
  <sheetFormatPr defaultRowHeight="14.4" x14ac:dyDescent="0.3"/>
  <cols>
    <col min="1" max="2" width="8.88671875" style="2"/>
    <col min="3" max="3" width="13.44140625" style="2" customWidth="1"/>
    <col min="4" max="4" width="14.33203125" style="2" customWidth="1"/>
    <col min="5" max="5" width="13.5546875" style="2" customWidth="1"/>
    <col min="6" max="6" width="10.109375" style="2" customWidth="1"/>
    <col min="7" max="7" width="13.88671875" style="2" customWidth="1"/>
    <col min="8" max="8" width="12.44140625" style="2" customWidth="1"/>
    <col min="9" max="9" width="8.88671875" style="2"/>
    <col min="10" max="10" width="8.88671875" style="2" customWidth="1"/>
    <col min="11" max="16384" width="8.88671875" style="2"/>
  </cols>
  <sheetData>
    <row r="1" spans="2:12" s="3" customFormat="1" ht="15" thickBot="1" x14ac:dyDescent="0.35"/>
    <row r="2" spans="2:12" s="3" customFormat="1" ht="14.4" customHeight="1" x14ac:dyDescent="0.3">
      <c r="B2"/>
      <c r="C2"/>
      <c r="D2" s="27" t="s">
        <v>43</v>
      </c>
      <c r="E2" s="28"/>
      <c r="F2" s="28"/>
      <c r="G2" s="28"/>
      <c r="H2" s="28"/>
      <c r="I2" s="28"/>
      <c r="J2" s="28"/>
      <c r="K2" s="28"/>
      <c r="L2" s="29"/>
    </row>
    <row r="3" spans="2:12" s="3" customFormat="1" x14ac:dyDescent="0.3">
      <c r="B3"/>
      <c r="C3"/>
      <c r="D3" s="30"/>
      <c r="E3" s="31"/>
      <c r="F3" s="31"/>
      <c r="G3" s="31"/>
      <c r="H3" s="31"/>
      <c r="I3" s="31"/>
      <c r="J3" s="31"/>
      <c r="K3" s="31"/>
      <c r="L3" s="32"/>
    </row>
    <row r="4" spans="2:12" s="3" customFormat="1" x14ac:dyDescent="0.3">
      <c r="B4"/>
      <c r="C4"/>
      <c r="D4" s="30"/>
      <c r="E4" s="31"/>
      <c r="F4" s="31"/>
      <c r="G4" s="31"/>
      <c r="H4" s="31"/>
      <c r="I4" s="31"/>
      <c r="J4" s="31"/>
      <c r="K4" s="31"/>
      <c r="L4" s="32"/>
    </row>
    <row r="5" spans="2:12" s="3" customFormat="1" ht="15" thickBot="1" x14ac:dyDescent="0.35">
      <c r="B5" s="40" t="s">
        <v>41</v>
      </c>
      <c r="C5" s="41"/>
      <c r="D5" s="33"/>
      <c r="E5" s="34"/>
      <c r="F5" s="34"/>
      <c r="G5" s="34"/>
      <c r="H5" s="34"/>
      <c r="I5" s="34"/>
      <c r="J5" s="34"/>
      <c r="K5" s="34"/>
      <c r="L5" s="35"/>
    </row>
    <row r="6" spans="2:12" s="3" customFormat="1" x14ac:dyDescent="0.3">
      <c r="B6" s="23" t="s">
        <v>36</v>
      </c>
      <c r="C6" s="24"/>
      <c r="D6"/>
      <c r="E6"/>
      <c r="F6"/>
      <c r="G6"/>
      <c r="H6"/>
      <c r="I6"/>
      <c r="J6"/>
      <c r="K6"/>
      <c r="L6"/>
    </row>
    <row r="7" spans="2:12" s="3" customFormat="1" ht="15" thickBot="1" x14ac:dyDescent="0.35">
      <c r="B7" s="25">
        <v>2041518</v>
      </c>
      <c r="C7" s="26"/>
    </row>
    <row r="8" spans="2:12" s="3" customFormat="1" ht="15" thickBot="1" x14ac:dyDescent="0.35">
      <c r="B8" s="6"/>
      <c r="C8" s="6"/>
    </row>
    <row r="9" spans="2:12" s="3" customFormat="1" x14ac:dyDescent="0.3">
      <c r="B9" s="36" t="s">
        <v>42</v>
      </c>
      <c r="C9" s="37"/>
      <c r="D9" s="37" t="s">
        <v>39</v>
      </c>
      <c r="E9" s="37"/>
      <c r="F9" s="37"/>
      <c r="G9" s="37"/>
      <c r="H9" s="37"/>
      <c r="I9" s="37"/>
      <c r="J9" s="37"/>
      <c r="K9" s="37"/>
      <c r="L9" s="38"/>
    </row>
    <row r="10" spans="2:12" s="3" customFormat="1" x14ac:dyDescent="0.3">
      <c r="B10" s="21" t="s">
        <v>15</v>
      </c>
      <c r="C10" s="84"/>
      <c r="D10" s="85" t="s">
        <v>48</v>
      </c>
      <c r="E10" s="85"/>
      <c r="F10" s="85"/>
      <c r="G10" s="85"/>
      <c r="H10" s="85"/>
      <c r="I10" s="85"/>
      <c r="J10" s="85"/>
      <c r="K10" s="85"/>
      <c r="L10" s="86"/>
    </row>
    <row r="11" spans="2:12" s="3" customFormat="1" ht="21" customHeight="1" x14ac:dyDescent="0.3">
      <c r="B11" s="21"/>
      <c r="C11" s="84"/>
      <c r="D11" s="85"/>
      <c r="E11" s="85"/>
      <c r="F11" s="85"/>
      <c r="G11" s="85"/>
      <c r="H11" s="85"/>
      <c r="I11" s="85"/>
      <c r="J11" s="85"/>
      <c r="K11" s="85"/>
      <c r="L11" s="86"/>
    </row>
    <row r="12" spans="2:12" s="3" customFormat="1" x14ac:dyDescent="0.3">
      <c r="B12" s="21" t="s">
        <v>14</v>
      </c>
      <c r="C12" s="84"/>
      <c r="D12" s="84" t="s">
        <v>49</v>
      </c>
      <c r="E12" s="84"/>
      <c r="F12" s="84"/>
      <c r="G12" s="84"/>
      <c r="H12" s="84"/>
      <c r="I12" s="84"/>
      <c r="J12" s="84"/>
      <c r="K12" s="84"/>
      <c r="L12" s="22"/>
    </row>
    <row r="13" spans="2:12" s="3" customFormat="1" x14ac:dyDescent="0.3">
      <c r="B13" s="21"/>
      <c r="C13" s="84"/>
      <c r="D13" s="84"/>
      <c r="E13" s="84"/>
      <c r="F13" s="84"/>
      <c r="G13" s="84"/>
      <c r="H13" s="84"/>
      <c r="I13" s="84"/>
      <c r="J13" s="84"/>
      <c r="K13" s="84"/>
      <c r="L13" s="22"/>
    </row>
    <row r="14" spans="2:12" s="3" customFormat="1" x14ac:dyDescent="0.3">
      <c r="B14" s="87" t="s">
        <v>7</v>
      </c>
      <c r="C14" s="88"/>
      <c r="D14" s="89" t="s">
        <v>50</v>
      </c>
      <c r="E14" s="90"/>
      <c r="F14" s="90"/>
      <c r="G14" s="90"/>
      <c r="H14" s="90"/>
      <c r="I14" s="90"/>
      <c r="J14" s="90"/>
      <c r="K14" s="90"/>
      <c r="L14" s="91"/>
    </row>
    <row r="15" spans="2:12" s="3" customFormat="1" x14ac:dyDescent="0.3">
      <c r="B15" s="92"/>
      <c r="C15" s="93"/>
      <c r="D15" s="94"/>
      <c r="E15" s="95"/>
      <c r="F15" s="95"/>
      <c r="G15" s="95"/>
      <c r="H15" s="95"/>
      <c r="I15" s="95"/>
      <c r="J15" s="95"/>
      <c r="K15" s="95"/>
      <c r="L15" s="96"/>
    </row>
    <row r="16" spans="2:12" s="3" customFormat="1" ht="15" thickBot="1" x14ac:dyDescent="0.35">
      <c r="B16" s="97"/>
      <c r="C16" s="98"/>
      <c r="D16" s="99"/>
      <c r="E16" s="100"/>
      <c r="F16" s="100"/>
      <c r="G16" s="100"/>
      <c r="H16" s="100"/>
      <c r="I16" s="100"/>
      <c r="J16" s="100"/>
      <c r="K16" s="100"/>
      <c r="L16" s="101"/>
    </row>
    <row r="17" spans="2:18" s="64" customFormat="1" x14ac:dyDescent="0.3"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</row>
    <row r="19" spans="2:18" ht="15" thickBot="1" x14ac:dyDescent="0.35"/>
    <row r="20" spans="2:18" ht="18" x14ac:dyDescent="0.3">
      <c r="B20" s="48" t="s">
        <v>16</v>
      </c>
      <c r="C20" s="49"/>
      <c r="D20" s="60" t="s">
        <v>40</v>
      </c>
      <c r="E20" s="49"/>
      <c r="F20" s="49"/>
      <c r="G20" s="49"/>
      <c r="H20" s="49"/>
      <c r="I20" s="49"/>
      <c r="J20" s="49"/>
      <c r="K20" s="49"/>
      <c r="L20" s="49"/>
      <c r="M20" s="61"/>
      <c r="N20" s="1"/>
    </row>
    <row r="21" spans="2:18" x14ac:dyDescent="0.3">
      <c r="B21" s="57" t="s">
        <v>15</v>
      </c>
      <c r="C21" s="55"/>
      <c r="D21" s="55" t="s">
        <v>29</v>
      </c>
      <c r="E21" s="55"/>
      <c r="F21" s="55" t="s">
        <v>30</v>
      </c>
      <c r="G21" s="55"/>
      <c r="H21" s="55" t="s">
        <v>31</v>
      </c>
      <c r="I21" s="55"/>
      <c r="J21" s="55" t="s">
        <v>32</v>
      </c>
      <c r="K21" s="55"/>
      <c r="L21" s="55" t="s">
        <v>33</v>
      </c>
      <c r="M21" s="59"/>
      <c r="P21" s="1"/>
    </row>
    <row r="22" spans="2:18" x14ac:dyDescent="0.3">
      <c r="B22" s="57"/>
      <c r="C22" s="55"/>
      <c r="D22" s="55" t="s">
        <v>21</v>
      </c>
      <c r="E22" s="55"/>
      <c r="F22" s="55" t="s">
        <v>34</v>
      </c>
      <c r="G22" s="55"/>
      <c r="H22" s="55" t="s">
        <v>35</v>
      </c>
      <c r="I22" s="55"/>
      <c r="J22" s="55" t="s">
        <v>23</v>
      </c>
      <c r="K22" s="55"/>
      <c r="L22" s="55"/>
      <c r="M22" s="59"/>
      <c r="P22" s="1"/>
    </row>
    <row r="23" spans="2:18" x14ac:dyDescent="0.3">
      <c r="B23" s="46" t="s">
        <v>14</v>
      </c>
      <c r="C23" s="47"/>
      <c r="D23" s="47" t="s">
        <v>25</v>
      </c>
      <c r="E23" s="47"/>
      <c r="F23" s="47" t="s">
        <v>24</v>
      </c>
      <c r="G23" s="47"/>
      <c r="H23" s="47" t="s">
        <v>26</v>
      </c>
      <c r="I23" s="47"/>
      <c r="J23" s="47" t="s">
        <v>27</v>
      </c>
      <c r="K23" s="47"/>
      <c r="L23" s="47" t="s">
        <v>28</v>
      </c>
      <c r="M23" s="62"/>
    </row>
    <row r="24" spans="2:18" ht="15" thickBot="1" x14ac:dyDescent="0.35">
      <c r="B24" s="53" t="s">
        <v>7</v>
      </c>
      <c r="C24" s="54"/>
      <c r="D24" s="5" t="s">
        <v>18</v>
      </c>
      <c r="E24" s="5" t="s">
        <v>19</v>
      </c>
      <c r="F24" s="5" t="s">
        <v>20</v>
      </c>
      <c r="G24" s="5" t="s">
        <v>21</v>
      </c>
      <c r="H24" s="5" t="s">
        <v>22</v>
      </c>
      <c r="I24" s="5" t="s">
        <v>23</v>
      </c>
      <c r="J24" s="54"/>
      <c r="K24" s="54"/>
      <c r="L24" s="54"/>
      <c r="M24" s="58"/>
    </row>
    <row r="25" spans="2:18" s="7" customFormat="1" x14ac:dyDescent="0.3">
      <c r="B25" s="8"/>
      <c r="C25" s="8"/>
      <c r="D25" s="8"/>
      <c r="E25" s="8"/>
      <c r="K25" s="83"/>
      <c r="L25" s="83"/>
      <c r="M25" s="83"/>
    </row>
    <row r="26" spans="2:18" ht="15" thickBot="1" x14ac:dyDescent="0.35"/>
    <row r="27" spans="2:18" x14ac:dyDescent="0.3">
      <c r="C27" s="50" t="s">
        <v>17</v>
      </c>
      <c r="D27" s="51"/>
      <c r="E27" s="51"/>
      <c r="F27" s="52"/>
      <c r="H27" s="36" t="s">
        <v>44</v>
      </c>
      <c r="I27" s="37"/>
      <c r="J27" s="65" t="s">
        <v>45</v>
      </c>
      <c r="K27" s="66"/>
      <c r="P27" s="36" t="s">
        <v>37</v>
      </c>
      <c r="Q27" s="37"/>
      <c r="R27" s="38"/>
    </row>
    <row r="28" spans="2:18" x14ac:dyDescent="0.3">
      <c r="C28" s="56"/>
      <c r="D28" s="39"/>
      <c r="E28" s="16"/>
      <c r="F28" s="18"/>
      <c r="H28" s="67"/>
      <c r="I28" s="68"/>
      <c r="J28" s="69"/>
      <c r="K28" s="70"/>
      <c r="P28" s="11"/>
      <c r="Q28" s="9" t="s">
        <v>47</v>
      </c>
      <c r="R28" s="4" t="s">
        <v>6</v>
      </c>
    </row>
    <row r="29" spans="2:18" ht="14.4" customHeight="1" x14ac:dyDescent="0.3">
      <c r="C29" s="42" t="s">
        <v>8</v>
      </c>
      <c r="D29" s="43"/>
      <c r="E29" s="17" t="s">
        <v>0</v>
      </c>
      <c r="F29" s="18">
        <v>100</v>
      </c>
      <c r="H29" s="74" t="s">
        <v>38</v>
      </c>
      <c r="I29" s="75"/>
      <c r="J29" s="75">
        <v>8.4333186900000001</v>
      </c>
      <c r="K29" s="76"/>
      <c r="P29" s="11">
        <v>1</v>
      </c>
      <c r="Q29" s="10">
        <f>Bi_Call_Eur($F$29,$F$30,$F$31,$F$32,$F$33,P29)</f>
        <v>10.41459862337868</v>
      </c>
      <c r="R29" s="12" t="e">
        <f>LeisenReimerTrunc("e","c",$F$29,$F$30,$F$31,$F$32,$F$32,$F$33,P29)</f>
        <v>#VALUE!</v>
      </c>
    </row>
    <row r="30" spans="2:18" ht="17.399999999999999" customHeight="1" x14ac:dyDescent="0.3">
      <c r="C30" s="42" t="s">
        <v>9</v>
      </c>
      <c r="D30" s="43"/>
      <c r="E30" s="17" t="s">
        <v>1</v>
      </c>
      <c r="F30" s="18">
        <v>100</v>
      </c>
      <c r="H30" s="74"/>
      <c r="I30" s="75"/>
      <c r="J30" s="75"/>
      <c r="K30" s="76"/>
      <c r="P30" s="11">
        <v>2</v>
      </c>
      <c r="Q30" s="10">
        <f>Bi_Call_Eur($F$29,$F$30,$F$31,$F$32,$F$33,P30)</f>
        <v>7.7697841484472487</v>
      </c>
      <c r="R30" s="12">
        <f>LeisenReimerTrunc("a","c",$F$29,$F$30,$F$31,$F$32,$F$32,$F$33,P30)</f>
        <v>8.403232838109842</v>
      </c>
    </row>
    <row r="31" spans="2:18" x14ac:dyDescent="0.3">
      <c r="C31" s="42" t="s">
        <v>10</v>
      </c>
      <c r="D31" s="43"/>
      <c r="E31" s="17" t="s">
        <v>2</v>
      </c>
      <c r="F31" s="18">
        <v>1</v>
      </c>
      <c r="H31" s="71" t="s">
        <v>46</v>
      </c>
      <c r="I31" s="72"/>
      <c r="J31" s="72">
        <v>8.4332798279999999</v>
      </c>
      <c r="K31" s="73"/>
      <c r="P31" s="11">
        <v>3</v>
      </c>
      <c r="Q31" s="10">
        <f>Bi_Call_Eur($F$29,$F$30,$F$31,$F$32,$F$33,P31)</f>
        <v>9.0955389976946908</v>
      </c>
      <c r="R31" s="12">
        <f>LeisenReimerTrunc("a","c",$F$29,$F$30,$F$31,$F$32,$F$32,$F$33,P31)</f>
        <v>8.403232838109842</v>
      </c>
    </row>
    <row r="32" spans="2:18" x14ac:dyDescent="0.3">
      <c r="C32" s="42" t="s">
        <v>11</v>
      </c>
      <c r="D32" s="43"/>
      <c r="E32" s="17" t="s">
        <v>3</v>
      </c>
      <c r="F32" s="18">
        <v>0.01</v>
      </c>
      <c r="H32" s="71"/>
      <c r="I32" s="72"/>
      <c r="J32" s="72"/>
      <c r="K32" s="73"/>
      <c r="P32" s="11">
        <v>4</v>
      </c>
      <c r="Q32" s="10">
        <f>Bi_Call_Eur($F$29,$F$30,$F$31,$F$32,$F$33,P32)</f>
        <v>8.1336249364981317</v>
      </c>
      <c r="R32" s="12">
        <f>LeisenReimerTrunc("a","c",$F$29,$F$30,$F$31,$F$32,$F$32,$F$33,P32)</f>
        <v>8.4209343027405623</v>
      </c>
    </row>
    <row r="33" spans="3:18" x14ac:dyDescent="0.3">
      <c r="C33" s="42" t="s">
        <v>12</v>
      </c>
      <c r="D33" s="43"/>
      <c r="E33" s="17" t="s">
        <v>4</v>
      </c>
      <c r="F33" s="18">
        <v>0.2</v>
      </c>
      <c r="H33" s="77" t="s">
        <v>47</v>
      </c>
      <c r="I33" s="78"/>
      <c r="J33" s="78">
        <v>8.4430504400000004</v>
      </c>
      <c r="K33" s="79"/>
      <c r="P33" s="11">
        <v>5</v>
      </c>
      <c r="Q33" s="10">
        <f>Bi_Call_Eur($F$29,$F$30,$F$31,$F$32,$F$33,P33)</f>
        <v>8.8243709276863989</v>
      </c>
      <c r="R33" s="12">
        <f>LeisenReimerTrunc("a","c",$F$29,$F$30,$F$31,$F$32,$F$32,$F$33,P33)</f>
        <v>8.4209343027405623</v>
      </c>
    </row>
    <row r="34" spans="3:18" ht="15" thickBot="1" x14ac:dyDescent="0.35">
      <c r="C34" s="44" t="s">
        <v>13</v>
      </c>
      <c r="D34" s="45"/>
      <c r="E34" s="19" t="s">
        <v>5</v>
      </c>
      <c r="F34" s="20"/>
      <c r="H34" s="80"/>
      <c r="I34" s="81"/>
      <c r="J34" s="81"/>
      <c r="K34" s="82"/>
      <c r="P34" s="11">
        <v>6</v>
      </c>
      <c r="Q34" s="10">
        <f>Bi_Call_Eur($F$29,$F$30,$F$31,$F$32,$F$33,P34)</f>
        <v>8.2562207592388308</v>
      </c>
      <c r="R34" s="12">
        <f>LeisenReimerTrunc("a","c",$F$29,$F$30,$F$31,$F$32,$F$32,$F$33,P34)</f>
        <v>8.4265692233797598</v>
      </c>
    </row>
    <row r="35" spans="3:18" x14ac:dyDescent="0.3">
      <c r="P35" s="11">
        <v>7</v>
      </c>
      <c r="Q35" s="10">
        <f>Bi_Call_Eur($F$29,$F$30,$F$31,$F$32,$F$33,P35)</f>
        <v>8.7086912519583564</v>
      </c>
      <c r="R35" s="12">
        <f>LeisenReimerTrunc("a","c",$F$29,$F$30,$F$31,$F$32,$F$32,$F$33,P35)</f>
        <v>8.4265692233797598</v>
      </c>
    </row>
    <row r="36" spans="3:18" x14ac:dyDescent="0.3">
      <c r="P36" s="11">
        <v>8</v>
      </c>
      <c r="Q36" s="10">
        <f>Bi_Call_Eur($F$29,$F$30,$F$31,$F$32,$F$33,P36)</f>
        <v>8.3156383283357886</v>
      </c>
      <c r="R36" s="12">
        <f>LeisenReimerTrunc("a","c",$F$29,$F$30,$F$31,$F$32,$F$32,$F$33,P36)</f>
        <v>8.4290713834427908</v>
      </c>
    </row>
    <row r="37" spans="3:18" x14ac:dyDescent="0.3">
      <c r="P37" s="11">
        <v>9</v>
      </c>
      <c r="Q37" s="10">
        <f>Bi_Call_Eur($F$29,$F$30,$F$31,$F$32,$F$33,P37)</f>
        <v>8.6447208278529057</v>
      </c>
      <c r="R37" s="12">
        <f>LeisenReimerTrunc("a","c",$F$29,$F$30,$F$31,$F$32,$F$32,$F$33,P37)</f>
        <v>8.4290713834427908</v>
      </c>
    </row>
    <row r="38" spans="3:18" x14ac:dyDescent="0.3">
      <c r="K38" s="83"/>
      <c r="L38" s="83"/>
      <c r="M38" s="83"/>
      <c r="P38" s="11">
        <v>10</v>
      </c>
      <c r="Q38" s="10">
        <f>Bi_Call_Eur($F$29,$F$30,$F$31,$F$32,$F$33,P38)</f>
        <v>8.3499500153194752</v>
      </c>
      <c r="R38" s="12">
        <f>LeisenReimerTrunc("a","c",$F$29,$F$30,$F$31,$F$32,$F$32,$F$33,P38)</f>
        <v>8.4303997829056119</v>
      </c>
    </row>
    <row r="39" spans="3:18" x14ac:dyDescent="0.3">
      <c r="P39" s="11">
        <v>11</v>
      </c>
      <c r="Q39" s="10">
        <f>Bi_Call_Eur($F$29,$F$30,$F$31,$F$32,$F$33,P39)</f>
        <v>8.6041605238417418</v>
      </c>
      <c r="R39" s="12">
        <f>LeisenReimerTrunc("a","c",$F$29,$F$30,$F$31,$F$32,$F$32,$F$33,P39)</f>
        <v>8.4303997829056119</v>
      </c>
    </row>
    <row r="40" spans="3:18" x14ac:dyDescent="0.3">
      <c r="P40" s="11">
        <v>12</v>
      </c>
      <c r="Q40" s="10">
        <f>Bi_Call_Eur($F$29,$F$30,$F$31,$F$32,$F$33,P40)</f>
        <v>8.3719325301950853</v>
      </c>
      <c r="R40" s="12">
        <f>LeisenReimerTrunc("a","c",$F$29,$F$30,$F$31,$F$32,$F$32,$F$33,P40)</f>
        <v>8.4311892752481352</v>
      </c>
    </row>
    <row r="41" spans="3:18" x14ac:dyDescent="0.3">
      <c r="P41" s="11">
        <v>13</v>
      </c>
      <c r="Q41" s="10">
        <f>Bi_Call_Eur($F$29,$F$30,$F$31,$F$32,$F$33,P41)</f>
        <v>8.5761531609566699</v>
      </c>
      <c r="R41" s="12">
        <f>LeisenReimerTrunc("a","c",$F$29,$F$30,$F$31,$F$32,$F$32,$F$33,P41)</f>
        <v>8.4311892752481352</v>
      </c>
    </row>
    <row r="42" spans="3:18" x14ac:dyDescent="0.3">
      <c r="P42" s="11">
        <v>14</v>
      </c>
      <c r="Q42" s="10">
        <f>Bi_Call_Eur($F$29,$F$30,$F$31,$F$32,$F$33,P42)</f>
        <v>8.3870036140042572</v>
      </c>
      <c r="R42" s="12">
        <f>LeisenReimerTrunc("a","c",$F$29,$F$30,$F$31,$F$32,$F$32,$F$33,P42)</f>
        <v>8.4316966308156438</v>
      </c>
    </row>
    <row r="43" spans="3:18" x14ac:dyDescent="0.3">
      <c r="P43" s="11">
        <v>15</v>
      </c>
      <c r="Q43" s="10">
        <f>Bi_Call_Eur($F$29,$F$30,$F$31,$F$32,$F$33,P43)</f>
        <v>8.5556492346671806</v>
      </c>
      <c r="R43" s="12">
        <f>LeisenReimerTrunc("a","c",$F$29,$F$30,$F$31,$F$32,$F$32,$F$33,P43)</f>
        <v>8.4316966308156438</v>
      </c>
    </row>
    <row r="44" spans="3:18" x14ac:dyDescent="0.3">
      <c r="P44" s="11">
        <v>16</v>
      </c>
      <c r="Q44" s="10">
        <f>Bi_Call_Eur($F$29,$F$30,$F$31,$F$32,$F$33,P44)</f>
        <v>8.3978806307281122</v>
      </c>
      <c r="R44" s="12">
        <f>LeisenReimerTrunc("a","c",$F$29,$F$30,$F$31,$F$32,$F$32,$F$33,P44)</f>
        <v>8.4320419715266883</v>
      </c>
    </row>
    <row r="45" spans="3:18" x14ac:dyDescent="0.3">
      <c r="P45" s="11">
        <v>17</v>
      </c>
      <c r="Q45" s="10">
        <f>Bi_Call_Eur($F$29,$F$30,$F$31,$F$32,$F$33,P45)</f>
        <v>8.5400116455310595</v>
      </c>
      <c r="R45" s="12">
        <f>LeisenReimerTrunc("a","c",$F$29,$F$30,$F$31,$F$32,$F$32,$F$33,P45)</f>
        <v>8.4320419715266883</v>
      </c>
    </row>
    <row r="46" spans="3:18" x14ac:dyDescent="0.3">
      <c r="P46" s="11">
        <v>18</v>
      </c>
      <c r="Q46" s="10">
        <f>Bi_Call_Eur($F$29,$F$30,$F$31,$F$32,$F$33,P46)</f>
        <v>8.406021395832985</v>
      </c>
      <c r="R46" s="12">
        <f>LeisenReimerTrunc("a","c",$F$29,$F$30,$F$31,$F$32,$F$32,$F$33,P46)</f>
        <v>8.4322876414372718</v>
      </c>
    </row>
    <row r="47" spans="3:18" x14ac:dyDescent="0.3">
      <c r="P47" s="11">
        <v>19</v>
      </c>
      <c r="Q47" s="10">
        <f>Bi_Call_Eur($F$29,$F$30,$F$31,$F$32,$F$33,P47)</f>
        <v>8.5276683143209961</v>
      </c>
      <c r="R47" s="12">
        <f>LeisenReimerTrunc("a","c",$F$29,$F$30,$F$31,$F$32,$F$32,$F$33,P47)</f>
        <v>8.4322876414372718</v>
      </c>
    </row>
    <row r="48" spans="3:18" x14ac:dyDescent="0.3">
      <c r="P48" s="11">
        <v>20</v>
      </c>
      <c r="Q48" s="10">
        <f>Bi_Call_Eur($F$29,$F$30,$F$31,$F$32,$F$33,P48)</f>
        <v>8.4122624594027133</v>
      </c>
      <c r="R48" s="12">
        <f>LeisenReimerTrunc("a","c",$F$29,$F$30,$F$31,$F$32,$F$32,$F$33,P48)</f>
        <v>8.4324686288538029</v>
      </c>
    </row>
    <row r="49" spans="16:18" x14ac:dyDescent="0.3">
      <c r="P49" s="11">
        <v>21</v>
      </c>
      <c r="Q49" s="10">
        <f>Bi_Call_Eur($F$29,$F$30,$F$31,$F$32,$F$33,P49)</f>
        <v>8.5176901656175321</v>
      </c>
      <c r="R49" s="12">
        <f>LeisenReimerTrunc("a","c",$F$29,$F$30,$F$31,$F$32,$F$32,$F$33,P49)</f>
        <v>8.4324686288538029</v>
      </c>
    </row>
    <row r="50" spans="16:18" x14ac:dyDescent="0.3">
      <c r="P50" s="11">
        <v>22</v>
      </c>
      <c r="Q50" s="10">
        <f>Bi_Call_Eur($F$29,$F$30,$F$31,$F$32,$F$33,P50)</f>
        <v>8.4171939338852511</v>
      </c>
      <c r="R50" s="12">
        <f>LeisenReimerTrunc("a","c",$F$29,$F$30,$F$31,$F$32,$F$32,$F$33,P50)</f>
        <v>8.432605808162096</v>
      </c>
    </row>
    <row r="51" spans="16:18" x14ac:dyDescent="0.3">
      <c r="P51" s="11">
        <v>23</v>
      </c>
      <c r="Q51" s="10">
        <f>Bi_Call_Eur($F$29,$F$30,$F$31,$F$32,$F$33,P51)</f>
        <v>8.509459700404701</v>
      </c>
      <c r="R51" s="12">
        <f>LeisenReimerTrunc("a","c",$F$29,$F$30,$F$31,$F$32,$F$32,$F$33,P51)</f>
        <v>8.432605808162096</v>
      </c>
    </row>
    <row r="52" spans="16:18" x14ac:dyDescent="0.3">
      <c r="P52" s="11">
        <v>24</v>
      </c>
      <c r="Q52" s="10">
        <f>Bi_Call_Eur($F$29,$F$30,$F$31,$F$32,$F$33,P52)</f>
        <v>8.4211472350753755</v>
      </c>
      <c r="R52" s="12">
        <f>LeisenReimerTrunc("a","c",$F$29,$F$30,$F$31,$F$32,$F$32,$F$33,P52)</f>
        <v>8.4327122618048769</v>
      </c>
    </row>
    <row r="53" spans="16:18" x14ac:dyDescent="0.3">
      <c r="P53" s="11">
        <v>25</v>
      </c>
      <c r="Q53" s="10">
        <f>Bi_Call_Eur($F$29,$F$30,$F$31,$F$32,$F$33,P53)</f>
        <v>8.5025426047605226</v>
      </c>
      <c r="R53" s="12">
        <f>LeisenReimerTrunc("a","c",$F$29,$F$30,$F$31,$F$32,$F$32,$F$33,P53)</f>
        <v>8.4327122618048769</v>
      </c>
    </row>
    <row r="54" spans="16:18" x14ac:dyDescent="0.3">
      <c r="P54" s="11">
        <v>26</v>
      </c>
      <c r="Q54" s="10">
        <f>Bi_Call_Eur($F$29,$F$30,$F$31,$F$32,$F$33,P54)</f>
        <v>8.4243489667827074</v>
      </c>
      <c r="R54" s="12">
        <f>LeisenReimerTrunc("a","c",$F$29,$F$30,$F$31,$F$32,$F$32,$F$33,P54)</f>
        <v>8.4327965280501456</v>
      </c>
    </row>
    <row r="55" spans="16:18" x14ac:dyDescent="0.3">
      <c r="P55" s="11">
        <v>27</v>
      </c>
      <c r="Q55" s="10">
        <f>Bi_Call_Eur($F$29,$F$30,$F$31,$F$32,$F$33,P55)</f>
        <v>8.496660328223955</v>
      </c>
      <c r="R55" s="12">
        <f>LeisenReimerTrunc("a","c",$F$29,$F$30,$F$31,$F$32,$F$32,$F$33,P55)</f>
        <v>8.4327965280501456</v>
      </c>
    </row>
    <row r="56" spans="16:18" x14ac:dyDescent="0.3">
      <c r="P56" s="11">
        <v>28</v>
      </c>
      <c r="Q56" s="10">
        <f>Bi_Call_Eur($F$29,$F$30,$F$31,$F$32,$F$33,P56)</f>
        <v>8.4269945732043734</v>
      </c>
      <c r="R56" s="12">
        <f>LeisenReimerTrunc("a","c",$F$29,$F$30,$F$31,$F$32,$F$32,$F$33,P56)</f>
        <v>8.4328643720311707</v>
      </c>
    </row>
    <row r="57" spans="16:18" x14ac:dyDescent="0.3">
      <c r="P57" s="11">
        <v>29</v>
      </c>
      <c r="Q57" s="10">
        <f>Bi_Call_Eur($F$29,$F$30,$F$31,$F$32,$F$33,P57)</f>
        <v>8.4915928847595357</v>
      </c>
      <c r="R57" s="12">
        <f>LeisenReimerTrunc("a","c",$F$29,$F$30,$F$31,$F$32,$F$32,$F$33,P57)</f>
        <v>8.4328643720311707</v>
      </c>
    </row>
    <row r="58" spans="16:18" x14ac:dyDescent="0.3">
      <c r="P58" s="11">
        <v>30</v>
      </c>
      <c r="Q58" s="10">
        <f>Bi_Call_Eur($F$29,$F$30,$F$31,$F$32,$F$33,P58)</f>
        <v>8.4292068024731535</v>
      </c>
      <c r="R58" s="12">
        <f>LeisenReimerTrunc("a","c",$F$29,$F$30,$F$31,$F$32,$F$32,$F$33,P58)</f>
        <v>8.4329198006298984</v>
      </c>
    </row>
    <row r="59" spans="16:18" x14ac:dyDescent="0.3">
      <c r="P59" s="11">
        <v>31</v>
      </c>
      <c r="Q59" s="10">
        <f>Bi_Call_Eur($F$29,$F$30,$F$31,$F$32,$F$33,P59)</f>
        <v>8.4871788253900551</v>
      </c>
      <c r="R59" s="12">
        <f>LeisenReimerTrunc("a","c",$F$29,$F$30,$F$31,$F$32,$F$32,$F$33,P59)</f>
        <v>8.4329198006298984</v>
      </c>
    </row>
    <row r="60" spans="16:18" x14ac:dyDescent="0.3">
      <c r="P60" s="11">
        <v>32</v>
      </c>
      <c r="Q60" s="10">
        <f>Bi_Call_Eur($F$29,$F$30,$F$31,$F$32,$F$33,P60)</f>
        <v>8.4310668466488643</v>
      </c>
      <c r="R60" s="12">
        <f>LeisenReimerTrunc("a","c",$F$29,$F$30,$F$31,$F$32,$F$32,$F$33,P60)</f>
        <v>8.4329656689516561</v>
      </c>
    </row>
    <row r="61" spans="16:18" x14ac:dyDescent="0.3">
      <c r="P61" s="11">
        <v>33</v>
      </c>
      <c r="Q61" s="10">
        <f>Bi_Call_Eur($F$29,$F$30,$F$31,$F$32,$F$33,P61)</f>
        <v>8.4833010509141928</v>
      </c>
      <c r="R61" s="12">
        <f>LeisenReimerTrunc("a","c",$F$29,$F$30,$F$31,$F$32,$F$32,$F$33,P61)</f>
        <v>8.4329656689516561</v>
      </c>
    </row>
    <row r="62" spans="16:18" x14ac:dyDescent="0.3">
      <c r="P62" s="11">
        <v>34</v>
      </c>
      <c r="Q62" s="10">
        <f>Bi_Call_Eur($F$29,$F$30,$F$31,$F$32,$F$33,P62)</f>
        <v>8.4326285251945148</v>
      </c>
      <c r="R62" s="12">
        <f>LeisenReimerTrunc("a","c",$F$29,$F$30,$F$31,$F$32,$F$32,$F$33,P62)</f>
        <v>8.4330040560184933</v>
      </c>
    </row>
    <row r="63" spans="16:18" x14ac:dyDescent="0.3">
      <c r="P63" s="11">
        <v>35</v>
      </c>
      <c r="Q63" s="10">
        <f>Bi_Call_Eur($F$29,$F$30,$F$31,$F$32,$F$33,P63)</f>
        <v>8.4798774356366309</v>
      </c>
      <c r="R63" s="12">
        <f>LeisenReimerTrunc("a","c",$F$29,$F$30,$F$31,$F$32,$F$32,$F$33,P63)</f>
        <v>8.4330040560184933</v>
      </c>
    </row>
    <row r="64" spans="16:18" x14ac:dyDescent="0.3">
      <c r="P64" s="11">
        <v>36</v>
      </c>
      <c r="Q64" s="10">
        <f>Bi_Call_Eur($F$29,$F$30,$F$31,$F$32,$F$33,P64)</f>
        <v>8.4339919354199715</v>
      </c>
      <c r="R64" s="12">
        <f>LeisenReimerTrunc("a","c",$F$29,$F$30,$F$31,$F$32,$F$32,$F$33,P64)</f>
        <v>8.4330365048567586</v>
      </c>
    </row>
    <row r="65" spans="16:18" x14ac:dyDescent="0.3">
      <c r="P65" s="11">
        <v>37</v>
      </c>
      <c r="Q65" s="10">
        <f>Bi_Call_Eur($F$29,$F$30,$F$31,$F$32,$F$33,P65)</f>
        <v>8.4768145002257373</v>
      </c>
      <c r="R65" s="12">
        <f>LeisenReimerTrunc("a","c",$F$29,$F$30,$F$31,$F$32,$F$32,$F$33,P65)</f>
        <v>8.4330365048567586</v>
      </c>
    </row>
    <row r="66" spans="16:18" x14ac:dyDescent="0.3">
      <c r="P66" s="11">
        <v>38</v>
      </c>
      <c r="Q66" s="10">
        <f>Bi_Call_Eur($F$29,$F$30,$F$31,$F$32,$F$33,P66)</f>
        <v>8.4351287322838377</v>
      </c>
      <c r="R66" s="12">
        <f>LeisenReimerTrunc("a","c",$F$29,$F$30,$F$31,$F$32,$F$32,$F$33,P66)</f>
        <v>8.4330641801908399</v>
      </c>
    </row>
    <row r="67" spans="16:18" x14ac:dyDescent="0.3">
      <c r="P67" s="11">
        <v>39</v>
      </c>
      <c r="Q67" s="10">
        <f>Bi_Call_Eur($F$29,$F$30,$F$31,$F$32,$F$33,P67)</f>
        <v>8.4740669226870384</v>
      </c>
      <c r="R67" s="12">
        <f>LeisenReimerTrunc("a","c",$F$29,$F$30,$F$31,$F$32,$F$32,$F$33,P67)</f>
        <v>8.4330641801908399</v>
      </c>
    </row>
    <row r="68" spans="16:18" x14ac:dyDescent="0.3">
      <c r="P68" s="11">
        <v>40</v>
      </c>
      <c r="Q68" s="10">
        <f>Bi_Call_Eur($F$29,$F$30,$F$31,$F$32,$F$33,P68)</f>
        <v>8.4361342911577761</v>
      </c>
      <c r="R68" s="12">
        <f>LeisenReimerTrunc("a","c",$F$29,$F$30,$F$31,$F$32,$F$32,$F$33,P68)</f>
        <v>8.4330879745363614</v>
      </c>
    </row>
    <row r="69" spans="16:18" x14ac:dyDescent="0.3">
      <c r="P69" s="11">
        <v>41</v>
      </c>
      <c r="Q69" s="10">
        <f>Bi_Call_Eur($F$29,$F$30,$F$31,$F$32,$F$33,P69)</f>
        <v>8.4715941033478437</v>
      </c>
      <c r="R69" s="12">
        <f>LeisenReimerTrunc("a","c",$F$29,$F$30,$F$31,$F$32,$F$32,$F$33,P69)</f>
        <v>8.4330879745363614</v>
      </c>
    </row>
    <row r="70" spans="16:18" x14ac:dyDescent="0.3">
      <c r="P70" s="11">
        <v>42</v>
      </c>
      <c r="Q70" s="10">
        <f>Bi_Call_Eur($F$29,$F$30,$F$31,$F$32,$F$33,P70)</f>
        <v>8.4369916078999072</v>
      </c>
      <c r="R70" s="12">
        <f>LeisenReimerTrunc("a","c",$F$29,$F$30,$F$31,$F$32,$F$32,$F$33,P70)</f>
        <v>8.433108581131366</v>
      </c>
    </row>
    <row r="71" spans="16:18" x14ac:dyDescent="0.3">
      <c r="P71" s="11">
        <v>43</v>
      </c>
      <c r="Q71" s="10">
        <f>Bi_Call_Eur($F$29,$F$30,$F$31,$F$32,$F$33,P71)</f>
        <v>8.4693497750618238</v>
      </c>
      <c r="R71" s="12">
        <f>LeisenReimerTrunc("a","c",$F$29,$F$30,$F$31,$F$32,$F$32,$F$33,P71)</f>
        <v>8.433108581131366</v>
      </c>
    </row>
    <row r="72" spans="16:18" x14ac:dyDescent="0.3">
      <c r="P72" s="11">
        <v>44</v>
      </c>
      <c r="Q72" s="10">
        <f>Bi_Call_Eur($F$29,$F$30,$F$31,$F$32,$F$33,P72)</f>
        <v>8.4377573401533912</v>
      </c>
      <c r="R72" s="12">
        <f>LeisenReimerTrunc("a","c",$F$29,$F$30,$F$31,$F$32,$F$32,$F$33,P72)</f>
        <v>8.4331265450467257</v>
      </c>
    </row>
    <row r="73" spans="16:18" x14ac:dyDescent="0.3">
      <c r="P73" s="11">
        <v>45</v>
      </c>
      <c r="Q73" s="10">
        <f>Bi_Call_Eur($F$29,$F$30,$F$31,$F$32,$F$33,P73)</f>
        <v>8.467301835620562</v>
      </c>
      <c r="R73" s="12">
        <f>LeisenReimerTrunc("a","c",$F$29,$F$30,$F$31,$F$32,$F$32,$F$33,P73)</f>
        <v>8.4331265450467257</v>
      </c>
    </row>
    <row r="74" spans="16:18" x14ac:dyDescent="0.3">
      <c r="P74" s="11">
        <v>46</v>
      </c>
      <c r="Q74" s="10">
        <f>Bi_Call_Eur($F$29,$F$30,$F$31,$F$32,$F$33,P74)</f>
        <v>8.438402217380446</v>
      </c>
      <c r="R74" s="12">
        <f>LeisenReimerTrunc("a","c",$F$29,$F$30,$F$31,$F$32,$F$32,$F$33,P74)</f>
        <v>8.4331422996281731</v>
      </c>
    </row>
    <row r="75" spans="16:18" x14ac:dyDescent="0.3">
      <c r="P75" s="11">
        <v>47</v>
      </c>
      <c r="Q75" s="10">
        <f>Bi_Call_Eur($F$29,$F$30,$F$31,$F$32,$F$33,P75)</f>
        <v>8.4654332937275356</v>
      </c>
      <c r="R75" s="12">
        <f>LeisenReimerTrunc("a","c",$F$29,$F$30,$F$31,$F$32,$F$32,$F$33,P75)</f>
        <v>8.4331422996281731</v>
      </c>
    </row>
    <row r="76" spans="16:18" x14ac:dyDescent="0.3">
      <c r="P76" s="11">
        <v>48</v>
      </c>
      <c r="Q76" s="10">
        <f>Bi_Call_Eur($F$29,$F$30,$F$31,$F$32,$F$33,P76)</f>
        <v>8.4390017775284072</v>
      </c>
      <c r="R76" s="12">
        <f>LeisenReimerTrunc("a","c",$F$29,$F$30,$F$31,$F$32,$F$32,$F$33,P76)</f>
        <v>8.433156192897151</v>
      </c>
    </row>
    <row r="77" spans="16:18" x14ac:dyDescent="0.3">
      <c r="P77" s="11">
        <v>49</v>
      </c>
      <c r="Q77" s="10">
        <f>Bi_Call_Eur($F$29,$F$30,$F$31,$F$32,$F$33,P77)</f>
        <v>8.463713934716754</v>
      </c>
      <c r="R77" s="12">
        <f>LeisenReimerTrunc("a","c",$F$29,$F$30,$F$31,$F$32,$F$32,$F$33,P77)</f>
        <v>8.433156192897151</v>
      </c>
    </row>
    <row r="78" spans="16:18" x14ac:dyDescent="0.3">
      <c r="P78" s="11">
        <v>50</v>
      </c>
      <c r="Q78" s="10">
        <f>Bi_Call_Eur($F$29,$F$30,$F$31,$F$32,$F$33,P78)</f>
        <v>8.4395012500087319</v>
      </c>
      <c r="R78" s="12">
        <f>LeisenReimerTrunc("a","c",$F$29,$F$30,$F$31,$F$32,$F$32,$F$33,P78)</f>
        <v>8.4331685069464193</v>
      </c>
    </row>
    <row r="79" spans="16:18" x14ac:dyDescent="0.3">
      <c r="P79" s="11">
        <v>51</v>
      </c>
      <c r="Q79" s="10">
        <f>Bi_Call_Eur($F$29,$F$30,$F$31,$F$32,$F$33,P79)</f>
        <v>8.4621229837804179</v>
      </c>
      <c r="R79" s="12">
        <f>LeisenReimerTrunc("a","c",$F$29,$F$30,$F$31,$F$32,$F$32,$F$33,P79)</f>
        <v>8.4331685069464193</v>
      </c>
    </row>
    <row r="80" spans="16:18" x14ac:dyDescent="0.3">
      <c r="P80" s="11">
        <v>52</v>
      </c>
      <c r="Q80" s="10">
        <f>Bi_Call_Eur($F$29,$F$30,$F$31,$F$32,$F$33,P80)</f>
        <v>8.439937463106336</v>
      </c>
      <c r="R80" s="12">
        <f>LeisenReimerTrunc("a","c",$F$29,$F$30,$F$31,$F$32,$F$32,$F$33,P80)</f>
        <v>8.4331794723739915</v>
      </c>
    </row>
    <row r="81" spans="16:18" x14ac:dyDescent="0.3">
      <c r="P81" s="11">
        <v>53</v>
      </c>
      <c r="Q81" s="10">
        <f>Bi_Call_Eur($F$29,$F$30,$F$31,$F$32,$F$33,P81)</f>
        <v>8.4606717712017296</v>
      </c>
      <c r="R81" s="12">
        <f>LeisenReimerTrunc("a","c",$F$29,$F$30,$F$31,$F$32,$F$32,$F$33,P81)</f>
        <v>8.4331794723739915</v>
      </c>
    </row>
    <row r="82" spans="16:18" x14ac:dyDescent="0.3">
      <c r="P82" s="11">
        <v>54</v>
      </c>
      <c r="Q82" s="10">
        <f>Bi_Call_Eur($F$29,$F$30,$F$31,$F$32,$F$33,P82)</f>
        <v>8.4403481878505122</v>
      </c>
      <c r="R82" s="12">
        <f>LeisenReimerTrunc("a","c",$F$29,$F$30,$F$31,$F$32,$F$32,$F$33,P82)</f>
        <v>8.4331892791766396</v>
      </c>
    </row>
    <row r="83" spans="16:18" x14ac:dyDescent="0.3">
      <c r="P83" s="11">
        <v>55</v>
      </c>
      <c r="Q83" s="10">
        <f>Bi_Call_Eur($F$29,$F$30,$F$31,$F$32,$F$33,P83)</f>
        <v>8.4593093118909497</v>
      </c>
      <c r="R83" s="12">
        <f>LeisenReimerTrunc("a","c",$F$29,$F$30,$F$31,$F$32,$F$32,$F$33,P83)</f>
        <v>8.4331892791766396</v>
      </c>
    </row>
    <row r="84" spans="16:18" x14ac:dyDescent="0.3">
      <c r="P84" s="11">
        <v>56</v>
      </c>
      <c r="Q84" s="10">
        <f>Bi_Call_Eur($F$29,$F$30,$F$31,$F$32,$F$33,P84)</f>
        <v>8.440705086042156</v>
      </c>
      <c r="R84" s="12">
        <f>LeisenReimerTrunc("a","c",$F$29,$F$30,$F$31,$F$32,$F$32,$F$33,P84)</f>
        <v>8.4331980850295611</v>
      </c>
    </row>
    <row r="85" spans="16:18" x14ac:dyDescent="0.3">
      <c r="P85" s="11">
        <v>57</v>
      </c>
      <c r="Q85" s="10">
        <f>Bi_Call_Eur($F$29,$F$30,$F$31,$F$32,$F$33,P85)</f>
        <v>8.4580478800737904</v>
      </c>
      <c r="R85" s="12">
        <f>LeisenReimerTrunc("a","c",$F$29,$F$30,$F$31,$F$32,$F$32,$F$33,P85)</f>
        <v>8.4331980850295611</v>
      </c>
    </row>
    <row r="86" spans="16:18" x14ac:dyDescent="0.3">
      <c r="P86" s="11">
        <v>58</v>
      </c>
      <c r="Q86" s="10">
        <f>Bi_Call_Eur($F$29,$F$30,$F$31,$F$32,$F$33,P86)</f>
        <v>8.4410053386233876</v>
      </c>
      <c r="R86" s="12">
        <f>LeisenReimerTrunc("a","c",$F$29,$F$30,$F$31,$F$32,$F$32,$F$33,P86)</f>
        <v>8.4332060216648106</v>
      </c>
    </row>
    <row r="87" spans="16:18" x14ac:dyDescent="0.3">
      <c r="P87" s="11">
        <v>59</v>
      </c>
      <c r="Q87" s="10">
        <f>Bi_Call_Eur($F$29,$F$30,$F$31,$F$32,$F$33,P87)</f>
        <v>8.4568704805628236</v>
      </c>
      <c r="R87" s="12">
        <f>LeisenReimerTrunc("a","c",$F$29,$F$30,$F$31,$F$32,$F$32,$F$33,P87)</f>
        <v>8.4332060216648106</v>
      </c>
    </row>
    <row r="88" spans="16:18" x14ac:dyDescent="0.3">
      <c r="P88" s="11">
        <v>60</v>
      </c>
      <c r="Q88" s="10">
        <f>Bi_Call_Eur($F$29,$F$30,$F$31,$F$32,$F$33,P88)</f>
        <v>8.4412640417884344</v>
      </c>
      <c r="R88" s="12">
        <f>LeisenReimerTrunc("a","c",$F$29,$F$30,$F$31,$F$32,$F$32,$F$33,P88)</f>
        <v>8.4332131998401341</v>
      </c>
    </row>
    <row r="89" spans="16:18" x14ac:dyDescent="0.3">
      <c r="P89" s="11">
        <v>61</v>
      </c>
      <c r="Q89" s="10">
        <f>Bi_Call_Eur($F$29,$F$30,$F$31,$F$32,$F$33,P89)</f>
        <v>8.4557714519849778</v>
      </c>
      <c r="R89" s="12">
        <f>LeisenReimerTrunc("a","c",$F$29,$F$30,$F$31,$F$32,$F$32,$F$33,P89)</f>
        <v>8.4332131998401341</v>
      </c>
    </row>
    <row r="90" spans="16:18" x14ac:dyDescent="0.3">
      <c r="P90" s="11">
        <v>62</v>
      </c>
      <c r="Q90" s="10">
        <f>Bi_Call_Eur($F$29,$F$30,$F$31,$F$32,$F$33,P90)</f>
        <v>8.4415152014726171</v>
      </c>
      <c r="R90" s="12">
        <f>LeisenReimerTrunc("a","c",$F$29,$F$30,$F$31,$F$32,$F$32,$F$33,P90)</f>
        <v>8.4332197132102777</v>
      </c>
    </row>
    <row r="91" spans="16:18" x14ac:dyDescent="0.3">
      <c r="P91" s="11">
        <v>63</v>
      </c>
      <c r="Q91" s="10">
        <f>Bi_Call_Eur($F$29,$F$30,$F$31,$F$32,$F$33,P91)</f>
        <v>8.4547394559049405</v>
      </c>
      <c r="R91" s="12">
        <f>LeisenReimerTrunc("a","c",$F$29,$F$30,$F$31,$F$32,$F$32,$F$33,P91)</f>
        <v>8.4332197132102777</v>
      </c>
    </row>
    <row r="92" spans="16:18" x14ac:dyDescent="0.3">
      <c r="P92" s="11">
        <v>64</v>
      </c>
      <c r="Q92" s="10">
        <f>Bi_Call_Eur($F$29,$F$30,$F$31,$F$32,$F$33,P92)</f>
        <v>8.4417399150666004</v>
      </c>
      <c r="R92" s="12">
        <f>LeisenReimerTrunc("a","c",$F$29,$F$30,$F$31,$F$32,$F$32,$F$33,P92)</f>
        <v>8.4332256414101376</v>
      </c>
    </row>
    <row r="93" spans="16:18" x14ac:dyDescent="0.3">
      <c r="P93" s="11">
        <v>65</v>
      </c>
      <c r="Q93" s="10">
        <f>Bi_Call_Eur($F$29,$F$30,$F$31,$F$32,$F$33,P93)</f>
        <v>8.4537811103292277</v>
      </c>
      <c r="R93" s="12">
        <f>LeisenReimerTrunc("a","c",$F$29,$F$30,$F$31,$F$32,$F$32,$F$33,P93)</f>
        <v>8.4332256414101376</v>
      </c>
    </row>
    <row r="94" spans="16:18" x14ac:dyDescent="0.3">
      <c r="P94" s="11">
        <v>66</v>
      </c>
      <c r="Q94" s="10">
        <f>Bi_Call_Eur($F$29,$F$30,$F$31,$F$32,$F$33,P94)</f>
        <v>8.4419145862331959</v>
      </c>
      <c r="R94" s="12">
        <f>LeisenReimerTrunc("a","c",$F$29,$F$30,$F$31,$F$32,$F$32,$F$33,P94)</f>
        <v>8.4332310525016627</v>
      </c>
    </row>
    <row r="95" spans="16:18" x14ac:dyDescent="0.3">
      <c r="P95" s="11">
        <v>67</v>
      </c>
      <c r="Q95" s="10">
        <f>Bi_Call_Eur($F$29,$F$30,$F$31,$F$32,$F$33,P95)</f>
        <v>8.4528765753343844</v>
      </c>
      <c r="R95" s="12">
        <f>LeisenReimerTrunc("a","c",$F$29,$F$30,$F$31,$F$32,$F$32,$F$33,P95)</f>
        <v>8.4332310525016627</v>
      </c>
    </row>
    <row r="96" spans="16:18" x14ac:dyDescent="0.3">
      <c r="P96" s="11">
        <v>68</v>
      </c>
      <c r="Q96" s="10">
        <f>Bi_Call_Eur($F$29,$F$30,$F$31,$F$32,$F$33,P96)</f>
        <v>8.4420864257917874</v>
      </c>
      <c r="R96" s="12">
        <f>LeisenReimerTrunc("a","c",$F$29,$F$30,$F$31,$F$32,$F$32,$F$33,P96)</f>
        <v>8.4332360049228434</v>
      </c>
    </row>
    <row r="97" spans="16:18" x14ac:dyDescent="0.3">
      <c r="P97" s="11">
        <v>69</v>
      </c>
      <c r="Q97" s="10">
        <f>Bi_Call_Eur($F$29,$F$30,$F$31,$F$32,$F$33,P97)</f>
        <v>8.4520315330391522</v>
      </c>
      <c r="R97" s="12">
        <f>LeisenReimerTrunc("a","c",$F$29,$F$30,$F$31,$F$32,$F$32,$F$33,P97)</f>
        <v>8.4332360049228434</v>
      </c>
    </row>
    <row r="98" spans="16:18" x14ac:dyDescent="0.3">
      <c r="P98" s="11">
        <v>70</v>
      </c>
      <c r="Q98" s="10">
        <f>Bi_Call_Eur($F$29,$F$30,$F$31,$F$32,$F$33,P98)</f>
        <v>8.4422422234786332</v>
      </c>
      <c r="R98" s="12">
        <f>LeisenReimerTrunc("a","c",$F$29,$F$30,$F$31,$F$32,$F$32,$F$33,P98)</f>
        <v>8.4332405490925346</v>
      </c>
    </row>
    <row r="99" spans="16:18" x14ac:dyDescent="0.3">
      <c r="P99" s="11">
        <v>71</v>
      </c>
      <c r="Q99" s="10">
        <f>Bi_Call_Eur($F$29,$F$30,$F$31,$F$32,$F$33,P99)</f>
        <v>8.4512157571314237</v>
      </c>
      <c r="R99" s="12">
        <f>LeisenReimerTrunc("a","c",$F$29,$F$30,$F$31,$F$32,$F$32,$F$33,P99)</f>
        <v>8.4332405490925346</v>
      </c>
    </row>
    <row r="100" spans="16:18" x14ac:dyDescent="0.3">
      <c r="P100" s="11">
        <v>72</v>
      </c>
      <c r="Q100" s="10">
        <f>Bi_Call_Eur($F$29,$F$30,$F$31,$F$32,$F$33,P100)</f>
        <v>8.4423621284010082</v>
      </c>
      <c r="R100" s="12">
        <f>LeisenReimerTrunc("a","c",$F$29,$F$30,$F$31,$F$32,$F$32,$F$33,P100)</f>
        <v>8.4332447286781367</v>
      </c>
    </row>
    <row r="101" spans="16:18" x14ac:dyDescent="0.3">
      <c r="P101" s="11">
        <v>73</v>
      </c>
      <c r="Q101" s="10">
        <f>Bi_Call_Eur($F$29,$F$30,$F$31,$F$32,$F$33,P101)</f>
        <v>8.4504556843172658</v>
      </c>
      <c r="R101" s="12">
        <f>LeisenReimerTrunc("a","c",$F$29,$F$30,$F$31,$F$32,$F$32,$F$33,P101)</f>
        <v>8.4332447286781367</v>
      </c>
    </row>
    <row r="102" spans="16:18" x14ac:dyDescent="0.3">
      <c r="P102" s="11">
        <v>74</v>
      </c>
      <c r="Q102" s="10">
        <f>Bi_Call_Eur($F$29,$F$30,$F$31,$F$32,$F$33,P102)</f>
        <v>8.4424659946705312</v>
      </c>
      <c r="R102" s="12">
        <f>LeisenReimerTrunc("a","c",$F$29,$F$30,$F$31,$F$32,$F$32,$F$33,P102)</f>
        <v>8.4332485816652571</v>
      </c>
    </row>
    <row r="103" spans="16:18" x14ac:dyDescent="0.3">
      <c r="P103" s="11">
        <v>75</v>
      </c>
      <c r="Q103" s="10">
        <f>Bi_Call_Eur($F$29,$F$30,$F$31,$F$32,$F$33,P103)</f>
        <v>8.4497296060673381</v>
      </c>
      <c r="R103" s="12">
        <f>LeisenReimerTrunc("a","c",$F$29,$F$30,$F$31,$F$32,$F$32,$F$33,P103)</f>
        <v>8.4332485816652571</v>
      </c>
    </row>
    <row r="104" spans="16:18" x14ac:dyDescent="0.3">
      <c r="P104" s="11">
        <v>76</v>
      </c>
      <c r="Q104" s="10">
        <f>Bi_Call_Eur($F$29,$F$30,$F$31,$F$32,$F$33,P104)</f>
        <v>8.4425774090028725</v>
      </c>
      <c r="R104" s="12">
        <f>LeisenReimerTrunc("a","c",$F$29,$F$30,$F$31,$F$32,$F$32,$F$33,P104)</f>
        <v>8.433252141218615</v>
      </c>
    </row>
    <row r="105" spans="16:18" x14ac:dyDescent="0.3">
      <c r="P105" s="11">
        <v>77</v>
      </c>
      <c r="Q105" s="10">
        <f>Bi_Call_Eur($F$29,$F$30,$F$31,$F$32,$F$33,P105)</f>
        <v>8.4490375197362457</v>
      </c>
      <c r="R105" s="12">
        <f>LeisenReimerTrunc("a","c",$F$29,$F$30,$F$31,$F$32,$F$32,$F$33,P105)</f>
        <v>8.433252141218615</v>
      </c>
    </row>
    <row r="106" spans="16:18" x14ac:dyDescent="0.3">
      <c r="P106" s="11">
        <v>78</v>
      </c>
      <c r="Q106" s="10">
        <f>Bi_Call_Eur($F$29,$F$30,$F$31,$F$32,$F$33,P106)</f>
        <v>8.4426642721480949</v>
      </c>
      <c r="R106" s="12">
        <f>LeisenReimerTrunc("a","c",$F$29,$F$30,$F$31,$F$32,$F$32,$F$33,P106)</f>
        <v>8.4332554363969141</v>
      </c>
    </row>
    <row r="107" spans="16:18" x14ac:dyDescent="0.3">
      <c r="P107" s="11">
        <v>79</v>
      </c>
      <c r="Q107" s="10">
        <f>Bi_Call_Eur($F$29,$F$30,$F$31,$F$32,$F$33,P107)</f>
        <v>8.4483907490356653</v>
      </c>
      <c r="R107" s="12">
        <f>LeisenReimerTrunc("a","c",$F$29,$F$30,$F$31,$F$32,$F$32,$F$33,P107)</f>
        <v>8.4332554363969141</v>
      </c>
    </row>
    <row r="108" spans="16:18" x14ac:dyDescent="0.3">
      <c r="P108" s="11">
        <v>80</v>
      </c>
      <c r="Q108" s="10">
        <f>Bi_Call_Eur($F$29,$F$30,$F$31,$F$32,$F$33,P108)</f>
        <v>8.4427379223488686</v>
      </c>
      <c r="R108" s="12">
        <f>LeisenReimerTrunc("a","c",$F$29,$F$30,$F$31,$F$32,$F$32,$F$33,P108)</f>
        <v>8.4332584927495695</v>
      </c>
    </row>
    <row r="109" spans="16:18" x14ac:dyDescent="0.3">
      <c r="P109" s="11">
        <v>81</v>
      </c>
      <c r="Q109" s="10">
        <f>Bi_Call_Eur($F$29,$F$30,$F$31,$F$32,$F$33,P109)</f>
        <v>8.4477770308117073</v>
      </c>
      <c r="R109" s="12">
        <f>LeisenReimerTrunc("a","c",$F$29,$F$30,$F$31,$F$32,$F$32,$F$33,P109)</f>
        <v>8.4332584927495695</v>
      </c>
    </row>
    <row r="110" spans="16:18" x14ac:dyDescent="0.3">
      <c r="P110" s="11">
        <v>82</v>
      </c>
      <c r="Q110" s="10">
        <f>Bi_Call_Eur($F$29,$F$30,$F$31,$F$32,$F$33,P110)</f>
        <v>8.4427879595353801</v>
      </c>
      <c r="R110" s="12">
        <f>LeisenReimerTrunc("a","c",$F$29,$F$30,$F$31,$F$32,$F$32,$F$33,P110)</f>
        <v>8.4332613328071826</v>
      </c>
    </row>
    <row r="111" spans="16:18" x14ac:dyDescent="0.3">
      <c r="P111" s="11">
        <v>83</v>
      </c>
      <c r="Q111" s="10">
        <f>Bi_Call_Eur($F$29,$F$30,$F$31,$F$32,$F$33,P111)</f>
        <v>8.4471944693143541</v>
      </c>
      <c r="R111" s="12">
        <f>LeisenReimerTrunc("a","c",$F$29,$F$30,$F$31,$F$32,$F$32,$F$33,P111)</f>
        <v>8.4332613328071826</v>
      </c>
    </row>
    <row r="112" spans="16:18" x14ac:dyDescent="0.3">
      <c r="P112" s="11">
        <v>84</v>
      </c>
      <c r="Q112" s="10">
        <f>Bi_Call_Eur($F$29,$F$30,$F$31,$F$32,$F$33,P112)</f>
        <v>8.4428578297547965</v>
      </c>
      <c r="R112" s="12">
        <f>LeisenReimerTrunc("a","c",$F$29,$F$30,$F$31,$F$32,$F$32,$F$33,P112)</f>
        <v>8.4332639765107071</v>
      </c>
    </row>
    <row r="113" spans="16:18" x14ac:dyDescent="0.3">
      <c r="P113" s="11">
        <v>85</v>
      </c>
      <c r="Q113" s="10">
        <f>Bi_Call_Eur($F$29,$F$30,$F$31,$F$32,$F$33,P113)</f>
        <v>8.4466270150374534</v>
      </c>
      <c r="R113" s="12">
        <f>LeisenReimerTrunc("a","c",$F$29,$F$30,$F$31,$F$32,$F$32,$F$33,P113)</f>
        <v>8.4332639765107071</v>
      </c>
    </row>
    <row r="114" spans="16:18" x14ac:dyDescent="0.3">
      <c r="P114" s="11">
        <v>86</v>
      </c>
      <c r="Q114" s="10">
        <f>Bi_Call_Eur($F$29,$F$30,$F$31,$F$32,$F$33,P114)</f>
        <v>8.4429088142340838</v>
      </c>
      <c r="R114" s="12">
        <f>LeisenReimerTrunc("a","c",$F$29,$F$30,$F$31,$F$32,$F$32,$F$33,P114)</f>
        <v>8.4332664415526235</v>
      </c>
    </row>
    <row r="115" spans="16:18" x14ac:dyDescent="0.3">
      <c r="P115" s="11">
        <v>87</v>
      </c>
      <c r="Q115" s="10">
        <f>Bi_Call_Eur($F$29,$F$30,$F$31,$F$32,$F$33,P115)</f>
        <v>8.446098271278986</v>
      </c>
      <c r="R115" s="12">
        <f>LeisenReimerTrunc("a","c",$F$29,$F$30,$F$31,$F$32,$F$32,$F$33,P115)</f>
        <v>8.4332664415526235</v>
      </c>
    </row>
    <row r="116" spans="16:18" x14ac:dyDescent="0.3">
      <c r="P116" s="11">
        <v>88</v>
      </c>
      <c r="Q116" s="10">
        <f>Bi_Call_Eur($F$29,$F$30,$F$31,$F$32,$F$33,P116)</f>
        <v>8.4429569702420313</v>
      </c>
      <c r="R116" s="12">
        <f>LeisenReimerTrunc("a","c",$F$29,$F$30,$F$31,$F$32,$F$32,$F$33,P116)</f>
        <v>8.4332687436795961</v>
      </c>
    </row>
    <row r="117" spans="16:18" x14ac:dyDescent="0.3">
      <c r="P117" s="11">
        <v>89</v>
      </c>
      <c r="Q117" s="10">
        <f>Bi_Call_Eur($F$29,$F$30,$F$31,$F$32,$F$33,P117)</f>
        <v>8.4455884103954411</v>
      </c>
      <c r="R117" s="12">
        <f>LeisenReimerTrunc("a","c",$F$29,$F$30,$F$31,$F$32,$F$32,$F$33,P117)</f>
        <v>8.4332687436795961</v>
      </c>
    </row>
    <row r="118" spans="16:18" x14ac:dyDescent="0.3">
      <c r="P118" s="11">
        <v>90</v>
      </c>
      <c r="Q118" s="10">
        <f>Bi_Call_Eur($F$29,$F$30,$F$31,$F$32,$F$33,P118)</f>
        <v>8.4429862396440836</v>
      </c>
      <c r="R118" s="12">
        <f>LeisenReimerTrunc("a","c",$F$29,$F$30,$F$31,$F$32,$F$32,$F$33,P118)</f>
        <v>8.4332708969334789</v>
      </c>
    </row>
    <row r="119" spans="16:18" x14ac:dyDescent="0.3">
      <c r="P119" s="11">
        <v>91</v>
      </c>
      <c r="Q119" s="10">
        <f>Bi_Call_Eur($F$29,$F$30,$F$31,$F$32,$F$33,P119)</f>
        <v>8.4451087639900155</v>
      </c>
      <c r="R119" s="12">
        <f>LeisenReimerTrunc("a","c",$F$29,$F$30,$F$31,$F$32,$F$32,$F$33,P119)</f>
        <v>8.4332708969334789</v>
      </c>
    </row>
    <row r="120" spans="16:18" x14ac:dyDescent="0.3">
      <c r="P120" s="11">
        <v>92</v>
      </c>
      <c r="Q120" s="10">
        <f>Bi_Call_Eur($F$29,$F$30,$F$31,$F$32,$F$33,P120)</f>
        <v>8.4430079523379842</v>
      </c>
      <c r="R120" s="12">
        <f>LeisenReimerTrunc("a","c",$F$29,$F$30,$F$31,$F$32,$F$32,$F$33,P120)</f>
        <v>8.4332729138820621</v>
      </c>
    </row>
    <row r="121" spans="16:18" x14ac:dyDescent="0.3">
      <c r="P121" s="11">
        <v>93</v>
      </c>
      <c r="Q121" s="10">
        <f>Bi_Call_Eur($F$29,$F$30,$F$31,$F$32,$F$33,P121)</f>
        <v>8.4446357276787811</v>
      </c>
      <c r="R121" s="12">
        <f>LeisenReimerTrunc("a","c",$F$29,$F$30,$F$31,$F$32,$F$32,$F$33,P121)</f>
        <v>8.4332729138820621</v>
      </c>
    </row>
    <row r="122" spans="16:18" x14ac:dyDescent="0.3">
      <c r="P122" s="11">
        <v>94</v>
      </c>
      <c r="Q122" s="10">
        <f>Bi_Call_Eur($F$29,$F$30,$F$31,$F$32,$F$33,P122)</f>
        <v>8.4430277824749584</v>
      </c>
      <c r="R122" s="12">
        <f>LeisenReimerTrunc("a","c",$F$29,$F$30,$F$31,$F$32,$F$32,$F$33,P122)</f>
        <v>8.4332748057964686</v>
      </c>
    </row>
    <row r="123" spans="16:18" x14ac:dyDescent="0.3">
      <c r="P123" s="11">
        <v>95</v>
      </c>
      <c r="Q123" s="10">
        <f>Bi_Call_Eur($F$29,$F$30,$F$31,$F$32,$F$33,P123)</f>
        <v>8.4441910168213123</v>
      </c>
      <c r="R123" s="12">
        <f>LeisenReimerTrunc("a","c",$F$29,$F$30,$F$31,$F$32,$F$32,$F$33,P123)</f>
        <v>8.4332748057964686</v>
      </c>
    </row>
    <row r="124" spans="16:18" x14ac:dyDescent="0.3">
      <c r="P124" s="11">
        <v>96</v>
      </c>
      <c r="Q124" s="10">
        <f>Bi_Call_Eur($F$29,$F$30,$F$31,$F$32,$F$33,P124)</f>
        <v>8.443031561110617</v>
      </c>
      <c r="R124" s="12">
        <f>LeisenReimerTrunc("a","c",$F$29,$F$30,$F$31,$F$32,$F$32,$F$33,P124)</f>
        <v>8.4332765827920486</v>
      </c>
    </row>
    <row r="125" spans="16:18" x14ac:dyDescent="0.3">
      <c r="P125" s="11">
        <v>97</v>
      </c>
      <c r="Q125" s="10">
        <f>Bi_Call_Eur($F$29,$F$30,$F$31,$F$32,$F$33,P125)</f>
        <v>8.4437717982338825</v>
      </c>
      <c r="R125" s="12">
        <f>LeisenReimerTrunc("a","c",$F$29,$F$30,$F$31,$F$32,$F$32,$F$33,P125)</f>
        <v>8.4332765827920486</v>
      </c>
    </row>
    <row r="126" spans="16:18" x14ac:dyDescent="0.3">
      <c r="P126" s="11">
        <v>98</v>
      </c>
      <c r="Q126" s="10">
        <f>Bi_Call_Eur($F$29,$F$30,$F$31,$F$32,$F$33,P126)</f>
        <v>8.4430693239092989</v>
      </c>
      <c r="R126" s="12">
        <f>LeisenReimerTrunc("a","c",$F$29,$F$30,$F$31,$F$32,$F$32,$F$33,P126)</f>
        <v>8.4332782540009124</v>
      </c>
    </row>
    <row r="127" spans="16:18" x14ac:dyDescent="0.3">
      <c r="P127" s="11">
        <v>99</v>
      </c>
      <c r="Q127" s="10">
        <f>Bi_Call_Eur($F$29,$F$30,$F$31,$F$32,$F$33,P127)</f>
        <v>8.4433573014484065</v>
      </c>
      <c r="R127" s="12">
        <f>LeisenReimerTrunc("a","c",$F$29,$F$30,$F$31,$F$32,$F$32,$F$33,P127)</f>
        <v>8.4332782540009124</v>
      </c>
    </row>
    <row r="128" spans="16:18" ht="15" thickBot="1" x14ac:dyDescent="0.35">
      <c r="P128" s="13">
        <v>100</v>
      </c>
      <c r="Q128" s="14">
        <f>Bi_Call_Eur($F$29,$F$30,$F$31,$F$32,$F$33,P128)</f>
        <v>8.4430504401746056</v>
      </c>
      <c r="R128" s="15">
        <f>LeisenReimerTrunc("a","c",$F$29,$F$30,$F$31,$F$32,$F$32,$F$33,P128)</f>
        <v>8.4332798276504857</v>
      </c>
    </row>
  </sheetData>
  <mergeCells count="51">
    <mergeCell ref="J31:K32"/>
    <mergeCell ref="J33:K34"/>
    <mergeCell ref="H29:I30"/>
    <mergeCell ref="H31:I32"/>
    <mergeCell ref="H33:I34"/>
    <mergeCell ref="D14:L16"/>
    <mergeCell ref="B14:C16"/>
    <mergeCell ref="H27:I28"/>
    <mergeCell ref="J27:K28"/>
    <mergeCell ref="J29:K30"/>
    <mergeCell ref="L24:M24"/>
    <mergeCell ref="L22:M22"/>
    <mergeCell ref="D20:M20"/>
    <mergeCell ref="F21:G21"/>
    <mergeCell ref="H21:I21"/>
    <mergeCell ref="J21:K21"/>
    <mergeCell ref="L21:M21"/>
    <mergeCell ref="D22:E22"/>
    <mergeCell ref="L23:M23"/>
    <mergeCell ref="F22:G22"/>
    <mergeCell ref="H22:I22"/>
    <mergeCell ref="J22:K22"/>
    <mergeCell ref="C32:D32"/>
    <mergeCell ref="J23:K23"/>
    <mergeCell ref="J24:K24"/>
    <mergeCell ref="D2:L5"/>
    <mergeCell ref="P27:R27"/>
    <mergeCell ref="B9:C9"/>
    <mergeCell ref="D9:L9"/>
    <mergeCell ref="B10:C11"/>
    <mergeCell ref="B12:C13"/>
    <mergeCell ref="D12:L13"/>
    <mergeCell ref="D10:L11"/>
    <mergeCell ref="B5:C5"/>
    <mergeCell ref="B23:C23"/>
    <mergeCell ref="B20:C20"/>
    <mergeCell ref="C27:F27"/>
    <mergeCell ref="D23:E23"/>
    <mergeCell ref="F23:G23"/>
    <mergeCell ref="B6:C6"/>
    <mergeCell ref="B7:C7"/>
    <mergeCell ref="C33:D33"/>
    <mergeCell ref="C34:D34"/>
    <mergeCell ref="B24:C24"/>
    <mergeCell ref="C29:D29"/>
    <mergeCell ref="C30:D30"/>
    <mergeCell ref="C31:D31"/>
    <mergeCell ref="H23:I23"/>
    <mergeCell ref="D21:E21"/>
    <mergeCell ref="C28:D28"/>
    <mergeCell ref="B21:C22"/>
  </mergeCells>
  <pageMargins left="0.7" right="0.7" top="0.75" bottom="0.75" header="0.3" footer="0.3"/>
  <pageSetup scale="57" orientation="portrait" r:id="rId1"/>
  <rowBreaks count="1" manualBreakCount="1">
    <brk id="69" max="14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mojtaba amini</dc:creator>
  <cp:lastModifiedBy>mojtaba amini</cp:lastModifiedBy>
  <cp:lastPrinted>2022-04-01T19:56:51Z</cp:lastPrinted>
  <dcterms:created xsi:type="dcterms:W3CDTF">2015-06-05T18:17:20Z</dcterms:created>
  <dcterms:modified xsi:type="dcterms:W3CDTF">2022-04-01T20:53:38Z</dcterms:modified>
</cp:coreProperties>
</file>